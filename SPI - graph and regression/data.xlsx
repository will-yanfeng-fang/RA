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SPI - graph and regression/"/>
    </mc:Choice>
  </mc:AlternateContent>
  <xr:revisionPtr revIDLastSave="0" documentId="13_ncr:1_{F22B2016-FDEA-F141-A007-741899D431B1}" xr6:coauthVersionLast="47" xr6:coauthVersionMax="47" xr10:uidLastSave="{00000000-0000-0000-0000-000000000000}"/>
  <bookViews>
    <workbookView xWindow="0" yWindow="500" windowWidth="28800" windowHeight="15880" xr2:uid="{759FBD81-29F0-F145-96FE-6E13E18CF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8" i="1" l="1"/>
  <c r="E158" i="1"/>
  <c r="E141" i="1"/>
  <c r="E142" i="1"/>
  <c r="E115" i="1"/>
  <c r="E53" i="1"/>
  <c r="E147" i="1"/>
  <c r="E148" i="1"/>
  <c r="E68" i="1"/>
  <c r="E109" i="1"/>
  <c r="E73" i="1"/>
  <c r="E91" i="1"/>
  <c r="E58" i="1"/>
  <c r="E9" i="1"/>
  <c r="E8" i="1"/>
  <c r="E15" i="1"/>
  <c r="E78" i="1"/>
  <c r="E135" i="1"/>
  <c r="E49" i="1"/>
  <c r="E137" i="1"/>
  <c r="E27" i="1"/>
  <c r="E110" i="1"/>
  <c r="E162" i="1"/>
  <c r="E143" i="1"/>
  <c r="E39" i="1"/>
  <c r="E54" i="1"/>
  <c r="E124" i="1"/>
  <c r="E75" i="1"/>
  <c r="E97" i="1"/>
  <c r="E90" i="1"/>
  <c r="E38" i="1"/>
  <c r="E74" i="1"/>
  <c r="E163" i="1"/>
  <c r="E85" i="1"/>
  <c r="E123" i="1"/>
  <c r="E136" i="1"/>
  <c r="E60" i="1"/>
  <c r="E31" i="1"/>
  <c r="E36" i="1"/>
  <c r="E164" i="1"/>
  <c r="E35" i="1"/>
  <c r="E67" i="1"/>
  <c r="E6" i="1"/>
  <c r="E13" i="1"/>
  <c r="E22" i="1"/>
  <c r="E127" i="1"/>
  <c r="E94" i="1"/>
  <c r="E103" i="1"/>
  <c r="E133" i="1"/>
  <c r="E161" i="1"/>
  <c r="E125" i="1"/>
  <c r="E57" i="1"/>
  <c r="E7" i="1"/>
  <c r="E99" i="1"/>
  <c r="E118" i="1"/>
  <c r="E21" i="1"/>
  <c r="E101" i="1"/>
  <c r="E77" i="1"/>
  <c r="E80" i="1"/>
  <c r="E116" i="1"/>
  <c r="E3" i="1"/>
  <c r="E167" i="1"/>
  <c r="E152" i="1"/>
  <c r="E160" i="1"/>
  <c r="E114" i="1"/>
  <c r="E155" i="1"/>
  <c r="E14" i="1"/>
  <c r="E95" i="1"/>
  <c r="E33" i="1"/>
  <c r="E19" i="1"/>
  <c r="E100" i="1"/>
  <c r="E11" i="1"/>
  <c r="E32" i="1"/>
  <c r="E120" i="1"/>
  <c r="E44" i="1"/>
  <c r="E165" i="1"/>
  <c r="E128" i="1"/>
  <c r="E42" i="1"/>
  <c r="E131" i="1"/>
  <c r="E79" i="1"/>
  <c r="E83" i="1"/>
  <c r="E70" i="1"/>
  <c r="E157" i="1"/>
  <c r="E121" i="1"/>
  <c r="E28" i="1"/>
  <c r="E122" i="1"/>
  <c r="E17" i="1"/>
  <c r="E140" i="1"/>
  <c r="E102" i="1"/>
  <c r="E144" i="1"/>
  <c r="E146" i="1"/>
  <c r="E156" i="1"/>
  <c r="E52" i="1"/>
  <c r="E86" i="1"/>
  <c r="E4" i="1"/>
  <c r="E18" i="1"/>
  <c r="E10" i="1"/>
  <c r="E64" i="1"/>
  <c r="E20" i="1"/>
  <c r="E46" i="1"/>
  <c r="E104" i="1"/>
  <c r="E71" i="1"/>
  <c r="E59" i="1"/>
  <c r="E66" i="1"/>
  <c r="E89" i="1"/>
  <c r="E61" i="1"/>
  <c r="E107" i="1"/>
  <c r="E69" i="1"/>
  <c r="E130" i="1"/>
  <c r="E150" i="1"/>
  <c r="E111" i="1"/>
  <c r="E108" i="1"/>
  <c r="E45" i="1"/>
  <c r="E153" i="1"/>
  <c r="E72" i="1"/>
  <c r="E81" i="1"/>
  <c r="E55" i="1"/>
  <c r="E25" i="1"/>
  <c r="E12" i="1"/>
  <c r="E132" i="1"/>
  <c r="E84" i="1"/>
  <c r="E138" i="1"/>
  <c r="E151" i="1"/>
  <c r="E106" i="1"/>
  <c r="E76" i="1"/>
  <c r="E169" i="1"/>
  <c r="E41" i="1"/>
  <c r="E16" i="1"/>
  <c r="E113" i="1"/>
  <c r="E56" i="1"/>
  <c r="E129" i="1"/>
  <c r="E117" i="1"/>
  <c r="E93" i="1"/>
  <c r="E50" i="1"/>
  <c r="E154" i="1"/>
  <c r="E34" i="1"/>
  <c r="E87" i="1"/>
  <c r="E149" i="1"/>
  <c r="E170" i="1"/>
  <c r="E26" i="1"/>
  <c r="E159" i="1"/>
  <c r="E5" i="1"/>
  <c r="E105" i="1"/>
  <c r="E119" i="1"/>
  <c r="E47" i="1"/>
  <c r="E96" i="1"/>
  <c r="E98" i="1"/>
  <c r="E51" i="1"/>
  <c r="E63" i="1"/>
  <c r="E88" i="1"/>
  <c r="E23" i="1"/>
  <c r="E145" i="1"/>
  <c r="E134" i="1"/>
  <c r="E126" i="1"/>
  <c r="E92" i="1"/>
  <c r="E62" i="1"/>
  <c r="E24" i="1"/>
  <c r="E112" i="1"/>
  <c r="E65" i="1"/>
  <c r="E139" i="1"/>
  <c r="E43" i="1"/>
  <c r="E2" i="1"/>
  <c r="E30" i="1"/>
  <c r="E29" i="1"/>
  <c r="E40" i="1"/>
  <c r="D82" i="1"/>
  <c r="E82" i="1" s="1"/>
</calcChain>
</file>

<file path=xl/sharedStrings.xml><?xml version="1.0" encoding="utf-8"?>
<sst xmlns="http://schemas.openxmlformats.org/spreadsheetml/2006/main" count="344" uniqueCount="344">
  <si>
    <t>code</t>
  </si>
  <si>
    <t>country</t>
  </si>
  <si>
    <t>SPI_2025</t>
  </si>
  <si>
    <t>GDPpc_USD_2025</t>
  </si>
  <si>
    <t>SPI_2022</t>
  </si>
  <si>
    <t>DK</t>
  </si>
  <si>
    <t>Denmark</t>
  </si>
  <si>
    <t>NO</t>
  </si>
  <si>
    <t>Norway</t>
  </si>
  <si>
    <t>FI</t>
  </si>
  <si>
    <t>Finland</t>
  </si>
  <si>
    <t>SE</t>
  </si>
  <si>
    <t>Sweden</t>
  </si>
  <si>
    <t>CH</t>
  </si>
  <si>
    <t>Switzerland</t>
  </si>
  <si>
    <t>IS</t>
  </si>
  <si>
    <t>Iceland</t>
  </si>
  <si>
    <t>NL</t>
  </si>
  <si>
    <t>Netherlands</t>
  </si>
  <si>
    <t>IE</t>
  </si>
  <si>
    <t>Ireland</t>
  </si>
  <si>
    <t>LU</t>
  </si>
  <si>
    <t>Luxembourg</t>
  </si>
  <si>
    <t>DE</t>
  </si>
  <si>
    <t>Germany</t>
  </si>
  <si>
    <t>AT</t>
  </si>
  <si>
    <t>Austria</t>
  </si>
  <si>
    <t>AU</t>
  </si>
  <si>
    <t>Australia</t>
  </si>
  <si>
    <t>BE</t>
  </si>
  <si>
    <t>Belgium</t>
  </si>
  <si>
    <t>JP</t>
  </si>
  <si>
    <t>Japan</t>
  </si>
  <si>
    <t>SG</t>
  </si>
  <si>
    <t>Singapore</t>
  </si>
  <si>
    <t>EE</t>
  </si>
  <si>
    <t>Estonia</t>
  </si>
  <si>
    <t>SI</t>
  </si>
  <si>
    <t>Slovenia</t>
  </si>
  <si>
    <t>CA</t>
  </si>
  <si>
    <t>Canada</t>
  </si>
  <si>
    <t>NZ</t>
  </si>
  <si>
    <t>New Zealand</t>
  </si>
  <si>
    <t>GB</t>
  </si>
  <si>
    <t>United Kingdom</t>
  </si>
  <si>
    <t>ES</t>
  </si>
  <si>
    <t>Spain</t>
  </si>
  <si>
    <t>CZ</t>
  </si>
  <si>
    <t>Czech Republic</t>
  </si>
  <si>
    <t>FR</t>
  </si>
  <si>
    <t>France</t>
  </si>
  <si>
    <t>PT</t>
  </si>
  <si>
    <t>Portugal</t>
  </si>
  <si>
    <t>IT</t>
  </si>
  <si>
    <t>Italy</t>
  </si>
  <si>
    <t>MT</t>
  </si>
  <si>
    <t>Malta</t>
  </si>
  <si>
    <t>LT</t>
  </si>
  <si>
    <t>Lithuania</t>
  </si>
  <si>
    <t>CY</t>
  </si>
  <si>
    <t>Cyprus</t>
  </si>
  <si>
    <t>IL</t>
  </si>
  <si>
    <t>Israel</t>
  </si>
  <si>
    <t>US</t>
  </si>
  <si>
    <t>United States</t>
  </si>
  <si>
    <t>LV</t>
  </si>
  <si>
    <t>Latvia</t>
  </si>
  <si>
    <t>PL</t>
  </si>
  <si>
    <t>Poland</t>
  </si>
  <si>
    <t>SK</t>
  </si>
  <si>
    <t>Slovakia</t>
  </si>
  <si>
    <t>GR</t>
  </si>
  <si>
    <t>Greece</t>
  </si>
  <si>
    <t>CL</t>
  </si>
  <si>
    <t>Chile</t>
  </si>
  <si>
    <t>HR</t>
  </si>
  <si>
    <t>Croatia</t>
  </si>
  <si>
    <t>UY</t>
  </si>
  <si>
    <t>Uruguay</t>
  </si>
  <si>
    <t>CR</t>
  </si>
  <si>
    <t>Costa Rica</t>
  </si>
  <si>
    <t>HU</t>
  </si>
  <si>
    <t>Hungary</t>
  </si>
  <si>
    <t>AR</t>
  </si>
  <si>
    <t>Argentina</t>
  </si>
  <si>
    <t>BB</t>
  </si>
  <si>
    <t>Barbados</t>
  </si>
  <si>
    <t>BG</t>
  </si>
  <si>
    <t>Bulgaria</t>
  </si>
  <si>
    <t>KW</t>
  </si>
  <si>
    <t>Kuwait</t>
  </si>
  <si>
    <t>RO</t>
  </si>
  <si>
    <t>Romania</t>
  </si>
  <si>
    <t>MY</t>
  </si>
  <si>
    <t>Malaysia</t>
  </si>
  <si>
    <t>ME</t>
  </si>
  <si>
    <t>Montenegro</t>
  </si>
  <si>
    <t>RS</t>
  </si>
  <si>
    <t>Serbia</t>
  </si>
  <si>
    <t>AE</t>
  </si>
  <si>
    <t>United Arab Emirates</t>
  </si>
  <si>
    <t>QA</t>
  </si>
  <si>
    <t>Qatar</t>
  </si>
  <si>
    <t>GE</t>
  </si>
  <si>
    <t>Georgia</t>
  </si>
  <si>
    <t>AM</t>
  </si>
  <si>
    <t>Armenia</t>
  </si>
  <si>
    <t>MU</t>
  </si>
  <si>
    <t>Mauritius</t>
  </si>
  <si>
    <t>PA</t>
  </si>
  <si>
    <t>Panama</t>
  </si>
  <si>
    <t>BR</t>
  </si>
  <si>
    <t>Brazil</t>
  </si>
  <si>
    <t>MD</t>
  </si>
  <si>
    <t>Moldova</t>
  </si>
  <si>
    <t>JM</t>
  </si>
  <si>
    <t>Jamaica</t>
  </si>
  <si>
    <t>KZ</t>
  </si>
  <si>
    <t>Kazakhstan</t>
  </si>
  <si>
    <t>OM</t>
  </si>
  <si>
    <t>Oman</t>
  </si>
  <si>
    <t>AL</t>
  </si>
  <si>
    <t>Albania</t>
  </si>
  <si>
    <t>VN</t>
  </si>
  <si>
    <t>Vietnam</t>
  </si>
  <si>
    <t>TH</t>
  </si>
  <si>
    <t>Thailand</t>
  </si>
  <si>
    <t>UA</t>
  </si>
  <si>
    <t>Ukraine</t>
  </si>
  <si>
    <t>MK</t>
  </si>
  <si>
    <t>North Macedonia</t>
  </si>
  <si>
    <t>TT</t>
  </si>
  <si>
    <t>Trinidad and Tobago</t>
  </si>
  <si>
    <t>BY</t>
  </si>
  <si>
    <t>Belarus</t>
  </si>
  <si>
    <t>MV</t>
  </si>
  <si>
    <t>Maldives</t>
  </si>
  <si>
    <t>CO</t>
  </si>
  <si>
    <t>Colombia</t>
  </si>
  <si>
    <t>BA</t>
  </si>
  <si>
    <t>Bosnia and Herzegovina</t>
  </si>
  <si>
    <t>MX</t>
  </si>
  <si>
    <t>Mexico</t>
  </si>
  <si>
    <t>BH</t>
  </si>
  <si>
    <t>Bahrain</t>
  </si>
  <si>
    <t>CN</t>
  </si>
  <si>
    <t>China</t>
  </si>
  <si>
    <t>PY</t>
  </si>
  <si>
    <t>Paraguay</t>
  </si>
  <si>
    <t>CU</t>
  </si>
  <si>
    <t>Cuba</t>
  </si>
  <si>
    <t>EC</t>
  </si>
  <si>
    <t>Ecuador</t>
  </si>
  <si>
    <t>UZ</t>
  </si>
  <si>
    <t>Uzbekistan</t>
  </si>
  <si>
    <t>RU</t>
  </si>
  <si>
    <t>Russia</t>
  </si>
  <si>
    <t>DO</t>
  </si>
  <si>
    <t>Dominican Republic</t>
  </si>
  <si>
    <t>SA</t>
  </si>
  <si>
    <t>Saudi Arabia</t>
  </si>
  <si>
    <t>JO</t>
  </si>
  <si>
    <t>Jordan</t>
  </si>
  <si>
    <t>KG</t>
  </si>
  <si>
    <t>Kyrgyzstan</t>
  </si>
  <si>
    <t>ID</t>
  </si>
  <si>
    <t>Indonesia</t>
  </si>
  <si>
    <t>TR</t>
  </si>
  <si>
    <t>Turkey</t>
  </si>
  <si>
    <t>PE</t>
  </si>
  <si>
    <t>Peru</t>
  </si>
  <si>
    <t>CV</t>
  </si>
  <si>
    <t>Cape Verde</t>
  </si>
  <si>
    <t>PH</t>
  </si>
  <si>
    <t>Philippines</t>
  </si>
  <si>
    <t>BT</t>
  </si>
  <si>
    <t>Bhutan</t>
  </si>
  <si>
    <t>ZA</t>
  </si>
  <si>
    <t>South Africa</t>
  </si>
  <si>
    <t>MN</t>
  </si>
  <si>
    <t>Mongolia</t>
  </si>
  <si>
    <t>LK</t>
  </si>
  <si>
    <t>Sri Lanka</t>
  </si>
  <si>
    <t>SR</t>
  </si>
  <si>
    <t>Suriname</t>
  </si>
  <si>
    <t>TN</t>
  </si>
  <si>
    <t>Tunisia</t>
  </si>
  <si>
    <t>FJ</t>
  </si>
  <si>
    <t>Fiji</t>
  </si>
  <si>
    <t>LB</t>
  </si>
  <si>
    <t>Lebanon</t>
  </si>
  <si>
    <t>DZ</t>
  </si>
  <si>
    <t>Algeria</t>
  </si>
  <si>
    <t>BO</t>
  </si>
  <si>
    <t>Bolivia</t>
  </si>
  <si>
    <t>AZ</t>
  </si>
  <si>
    <t>Azerbaijan</t>
  </si>
  <si>
    <t>GY</t>
  </si>
  <si>
    <t>Guyana</t>
  </si>
  <si>
    <t>BW</t>
  </si>
  <si>
    <t>Botswana</t>
  </si>
  <si>
    <t>SV</t>
  </si>
  <si>
    <t>El Salvador</t>
  </si>
  <si>
    <t>MA</t>
  </si>
  <si>
    <t>Morocco</t>
  </si>
  <si>
    <t>IR</t>
  </si>
  <si>
    <t>Iran</t>
  </si>
  <si>
    <t>TM</t>
  </si>
  <si>
    <t>Turkmenistan</t>
  </si>
  <si>
    <t>GH</t>
  </si>
  <si>
    <t>Ghana</t>
  </si>
  <si>
    <t>HN</t>
  </si>
  <si>
    <t>Honduras</t>
  </si>
  <si>
    <t>LY</t>
  </si>
  <si>
    <t>Libya</t>
  </si>
  <si>
    <t>GT</t>
  </si>
  <si>
    <t>Guatemala</t>
  </si>
  <si>
    <t>NA</t>
  </si>
  <si>
    <t>Namibia</t>
  </si>
  <si>
    <t>VE</t>
  </si>
  <si>
    <t>Venezuela</t>
  </si>
  <si>
    <t>IN</t>
  </si>
  <si>
    <t>India</t>
  </si>
  <si>
    <t>ST</t>
  </si>
  <si>
    <t>Sao Tome and Principe</t>
  </si>
  <si>
    <t>TJ</t>
  </si>
  <si>
    <t>Tajikistan</t>
  </si>
  <si>
    <t>NI</t>
  </si>
  <si>
    <t>Nicaragua</t>
  </si>
  <si>
    <t>NP</t>
  </si>
  <si>
    <t>Nepal</t>
  </si>
  <si>
    <t>EG</t>
  </si>
  <si>
    <t>Egypt</t>
  </si>
  <si>
    <t>TL</t>
  </si>
  <si>
    <t>Timor-Leste</t>
  </si>
  <si>
    <t>IQ</t>
  </si>
  <si>
    <t>Iraq</t>
  </si>
  <si>
    <t>KE</t>
  </si>
  <si>
    <t>Kenya</t>
  </si>
  <si>
    <t>GA</t>
  </si>
  <si>
    <t>Gabon</t>
  </si>
  <si>
    <t>KH</t>
  </si>
  <si>
    <t>Cambodia</t>
  </si>
  <si>
    <t>BD</t>
  </si>
  <si>
    <t>Bangladesh</t>
  </si>
  <si>
    <t>SN</t>
  </si>
  <si>
    <t>Senegal</t>
  </si>
  <si>
    <t>LA</t>
  </si>
  <si>
    <t>Laos</t>
  </si>
  <si>
    <t>SB</t>
  </si>
  <si>
    <t>Solomon Islands</t>
  </si>
  <si>
    <t>TZ</t>
  </si>
  <si>
    <t>Tanzania</t>
  </si>
  <si>
    <t>MM</t>
  </si>
  <si>
    <t>Myanmar</t>
  </si>
  <si>
    <t>CI</t>
  </si>
  <si>
    <t>Ivory Coast</t>
  </si>
  <si>
    <t>ZM</t>
  </si>
  <si>
    <t>Zambia</t>
  </si>
  <si>
    <t>DJ</t>
  </si>
  <si>
    <t>Djibouti</t>
  </si>
  <si>
    <t>BJ</t>
  </si>
  <si>
    <t>Benin</t>
  </si>
  <si>
    <t>NG</t>
  </si>
  <si>
    <t>Nigeria</t>
  </si>
  <si>
    <t>GM</t>
  </si>
  <si>
    <t>Gambia</t>
  </si>
  <si>
    <t>RW</t>
  </si>
  <si>
    <t>Rwanda</t>
  </si>
  <si>
    <t>PK</t>
  </si>
  <si>
    <t>Pakistan</t>
  </si>
  <si>
    <t>MW</t>
  </si>
  <si>
    <t>Malawi</t>
  </si>
  <si>
    <t>SZ</t>
  </si>
  <si>
    <t>Eswatini</t>
  </si>
  <si>
    <t>TG</t>
  </si>
  <si>
    <t>Togo</t>
  </si>
  <si>
    <t>KM</t>
  </si>
  <si>
    <t>Comoros</t>
  </si>
  <si>
    <t>LS</t>
  </si>
  <si>
    <t>Lesotho</t>
  </si>
  <si>
    <t>SY</t>
  </si>
  <si>
    <t>Syria</t>
  </si>
  <si>
    <t>ZW</t>
  </si>
  <si>
    <t>Zimbabwe</t>
  </si>
  <si>
    <t>CM</t>
  </si>
  <si>
    <t>Cameroon</t>
  </si>
  <si>
    <t>UG</t>
  </si>
  <si>
    <t>Uganda</t>
  </si>
  <si>
    <t>AO</t>
  </si>
  <si>
    <t>Angola</t>
  </si>
  <si>
    <t>MZ</t>
  </si>
  <si>
    <t>Mozambique</t>
  </si>
  <si>
    <t>PG</t>
  </si>
  <si>
    <t>Papua New Guinea</t>
  </si>
  <si>
    <t>GQ</t>
  </si>
  <si>
    <t>Equatorial Guinea</t>
  </si>
  <si>
    <t>ML</t>
  </si>
  <si>
    <t>Mali</t>
  </si>
  <si>
    <t>MR</t>
  </si>
  <si>
    <t>Mauritania</t>
  </si>
  <si>
    <t>ET</t>
  </si>
  <si>
    <t>Ethiopia</t>
  </si>
  <si>
    <t>GW</t>
  </si>
  <si>
    <t>Guinea-Bissau</t>
  </si>
  <si>
    <t>LR</t>
  </si>
  <si>
    <t>Liberia</t>
  </si>
  <si>
    <t>BF</t>
  </si>
  <si>
    <t>Burkina Faso</t>
  </si>
  <si>
    <t>SD</t>
  </si>
  <si>
    <t>Sudan</t>
  </si>
  <si>
    <t>SL</t>
  </si>
  <si>
    <t>Sierra Leone</t>
  </si>
  <si>
    <t>CG</t>
  </si>
  <si>
    <t>Republic of the Congo</t>
  </si>
  <si>
    <t>MG</t>
  </si>
  <si>
    <t>Madagascar</t>
  </si>
  <si>
    <t>YE</t>
  </si>
  <si>
    <t>Yemen</t>
  </si>
  <si>
    <t>GN</t>
  </si>
  <si>
    <t>Guinea</t>
  </si>
  <si>
    <t>BI</t>
  </si>
  <si>
    <t>Burundi</t>
  </si>
  <si>
    <t>NE</t>
  </si>
  <si>
    <t>Niger</t>
  </si>
  <si>
    <t>HT</t>
  </si>
  <si>
    <t>Haiti</t>
  </si>
  <si>
    <t>SO</t>
  </si>
  <si>
    <t>Somalia</t>
  </si>
  <si>
    <t>ER</t>
  </si>
  <si>
    <t>Eritrea</t>
  </si>
  <si>
    <t>CD</t>
  </si>
  <si>
    <t>DR Congo</t>
  </si>
  <si>
    <t>AF</t>
  </si>
  <si>
    <t>Afghanistan</t>
  </si>
  <si>
    <t>TD</t>
  </si>
  <si>
    <t>Chad</t>
  </si>
  <si>
    <t>CF</t>
  </si>
  <si>
    <t>Central African Republic</t>
  </si>
  <si>
    <t>SS</t>
  </si>
  <si>
    <t>South Sudan</t>
  </si>
  <si>
    <t>KR</t>
  </si>
  <si>
    <t>South Korea</t>
  </si>
  <si>
    <t>logG_2025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</si>
</sst>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2D50-9E36-F54F-8776-CA765C779046}">
  <dimension ref="A1:F170"/>
  <sheetViews>
    <sheetView tabSelected="1" topLeftCell="A131" zoomScale="165" workbookViewId="0">
      <selection activeCell="I136" sqref="I136"/>
    </sheetView>
  </sheetViews>
  <sheetFormatPr baseColWidth="10" defaultRowHeight="16" x14ac:dyDescent="0.2"/>
  <cols>
    <col min="1" max="3" width="10.83203125" style="2"/>
    <col min="4" max="4" width="15.1640625" style="2" customWidth="1"/>
    <col min="5" max="16384" width="10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343</v>
      </c>
      <c r="F1" s="1" t="s">
        <v>4</v>
      </c>
    </row>
    <row r="2" spans="1:6" x14ac:dyDescent="0.2">
      <c r="A2" s="1" t="s">
        <v>333</v>
      </c>
      <c r="B2" s="1" t="s">
        <v>334</v>
      </c>
      <c r="C2" s="1">
        <v>32.11</v>
      </c>
      <c r="D2" s="1">
        <v>2138.87</v>
      </c>
      <c r="E2" s="2">
        <f>LN(D2)</f>
        <v>7.6680329311718847</v>
      </c>
      <c r="F2" s="1">
        <v>37.340000000000003</v>
      </c>
    </row>
    <row r="3" spans="1:6" x14ac:dyDescent="0.2">
      <c r="A3" s="1" t="s">
        <v>121</v>
      </c>
      <c r="B3" s="1" t="s">
        <v>122</v>
      </c>
      <c r="C3" s="1">
        <v>71.209999999999994</v>
      </c>
      <c r="D3" s="1">
        <v>17261.03</v>
      </c>
      <c r="E3" s="2">
        <f>LN(D3)</f>
        <v>9.7562066384073098</v>
      </c>
      <c r="F3" s="1">
        <v>74.12</v>
      </c>
    </row>
    <row r="4" spans="1:6" x14ac:dyDescent="0.2">
      <c r="A4" s="1" t="s">
        <v>191</v>
      </c>
      <c r="B4" s="1" t="s">
        <v>192</v>
      </c>
      <c r="C4" s="1">
        <v>64.180000000000007</v>
      </c>
      <c r="D4" s="1">
        <v>63379</v>
      </c>
      <c r="E4" s="2">
        <f>LN(D4)</f>
        <v>11.056887855272539</v>
      </c>
      <c r="F4" s="1">
        <v>65.59</v>
      </c>
    </row>
    <row r="5" spans="1:6" x14ac:dyDescent="0.2">
      <c r="A5" s="1" t="s">
        <v>289</v>
      </c>
      <c r="B5" s="1" t="s">
        <v>290</v>
      </c>
      <c r="C5" s="1">
        <v>46.04</v>
      </c>
      <c r="D5" s="1">
        <v>7407.11</v>
      </c>
      <c r="E5" s="2">
        <f>LN(D5)</f>
        <v>8.9101956287198121</v>
      </c>
      <c r="F5" s="1">
        <v>46.87</v>
      </c>
    </row>
    <row r="6" spans="1:6" x14ac:dyDescent="0.2">
      <c r="A6" s="1" t="s">
        <v>83</v>
      </c>
      <c r="B6" s="1" t="s">
        <v>84</v>
      </c>
      <c r="C6" s="1">
        <v>76.849999999999994</v>
      </c>
      <c r="D6" s="1">
        <v>27127.439999999999</v>
      </c>
      <c r="E6" s="2">
        <f>LN(D6)</f>
        <v>10.208301040714201</v>
      </c>
      <c r="F6" s="1">
        <v>78.64</v>
      </c>
    </row>
    <row r="7" spans="1:6" x14ac:dyDescent="0.2">
      <c r="A7" s="1" t="s">
        <v>105</v>
      </c>
      <c r="B7" s="1" t="s">
        <v>106</v>
      </c>
      <c r="C7" s="1">
        <v>72.94</v>
      </c>
      <c r="D7" s="1">
        <v>19100.25</v>
      </c>
      <c r="E7" s="2">
        <f>LN(D7)</f>
        <v>9.8574567029542965</v>
      </c>
      <c r="F7" s="1">
        <v>74.78</v>
      </c>
    </row>
    <row r="8" spans="1:6" x14ac:dyDescent="0.2">
      <c r="A8" s="1" t="s">
        <v>27</v>
      </c>
      <c r="B8" s="1" t="s">
        <v>28</v>
      </c>
      <c r="C8" s="1">
        <v>87.6</v>
      </c>
      <c r="D8" s="1">
        <v>59119.98</v>
      </c>
      <c r="E8" s="2">
        <f>LN(D8)</f>
        <v>10.987324217327034</v>
      </c>
      <c r="F8" s="1">
        <v>87.83</v>
      </c>
    </row>
    <row r="9" spans="1:6" x14ac:dyDescent="0.2">
      <c r="A9" s="1" t="s">
        <v>25</v>
      </c>
      <c r="B9" s="1" t="s">
        <v>26</v>
      </c>
      <c r="C9" s="1">
        <v>87.8</v>
      </c>
      <c r="D9" s="1">
        <v>65836.89</v>
      </c>
      <c r="E9" s="2">
        <f>LN(D9)</f>
        <v>11.094935598512345</v>
      </c>
      <c r="F9" s="1">
        <v>88.05</v>
      </c>
    </row>
    <row r="10" spans="1:6" x14ac:dyDescent="0.2">
      <c r="A10" s="1" t="s">
        <v>195</v>
      </c>
      <c r="B10" s="1" t="s">
        <v>196</v>
      </c>
      <c r="C10" s="1">
        <v>63.44</v>
      </c>
      <c r="D10" s="1">
        <v>21031.5</v>
      </c>
      <c r="E10" s="2">
        <f>LN(D10)</f>
        <v>9.9537765928292963</v>
      </c>
      <c r="F10" s="1">
        <v>63.26</v>
      </c>
    </row>
    <row r="11" spans="1:6" x14ac:dyDescent="0.2">
      <c r="A11" s="1" t="s">
        <v>143</v>
      </c>
      <c r="B11" s="1" t="s">
        <v>144</v>
      </c>
      <c r="C11" s="1">
        <v>69.099999999999994</v>
      </c>
      <c r="D11" s="1">
        <v>56646.43</v>
      </c>
      <c r="E11" s="2">
        <f>LN(D11)</f>
        <v>10.944584245935538</v>
      </c>
      <c r="F11" s="1">
        <v>66.09</v>
      </c>
    </row>
    <row r="12" spans="1:6" x14ac:dyDescent="0.2">
      <c r="A12" s="1" t="s">
        <v>243</v>
      </c>
      <c r="B12" s="1" t="s">
        <v>244</v>
      </c>
      <c r="C12" s="1">
        <v>54.6</v>
      </c>
      <c r="D12" s="1">
        <v>7805.15</v>
      </c>
      <c r="E12" s="2">
        <f>LN(D12)</f>
        <v>8.9625390512145717</v>
      </c>
      <c r="F12" s="1">
        <v>56.06</v>
      </c>
    </row>
    <row r="13" spans="1:6" x14ac:dyDescent="0.2">
      <c r="A13" s="1" t="s">
        <v>85</v>
      </c>
      <c r="B13" s="1" t="s">
        <v>86</v>
      </c>
      <c r="C13" s="1">
        <v>75.95</v>
      </c>
      <c r="D13" s="1">
        <v>16325.46</v>
      </c>
      <c r="E13" s="2">
        <f>LN(D13)</f>
        <v>9.7004811313893029</v>
      </c>
      <c r="F13" s="1">
        <v>79.599999999999994</v>
      </c>
    </row>
    <row r="14" spans="1:6" x14ac:dyDescent="0.2">
      <c r="A14" s="1" t="s">
        <v>133</v>
      </c>
      <c r="B14" s="1" t="s">
        <v>134</v>
      </c>
      <c r="C14" s="1">
        <v>70.3</v>
      </c>
      <c r="D14" s="1">
        <v>26526.639999999999</v>
      </c>
      <c r="E14" s="2">
        <f>LN(D14)</f>
        <v>10.185904790034597</v>
      </c>
      <c r="F14" s="1">
        <v>71.489999999999995</v>
      </c>
    </row>
    <row r="15" spans="1:6" x14ac:dyDescent="0.2">
      <c r="A15" s="1" t="s">
        <v>29</v>
      </c>
      <c r="B15" s="1" t="s">
        <v>30</v>
      </c>
      <c r="C15" s="1">
        <v>87.51</v>
      </c>
      <c r="D15" s="1">
        <v>63431.05</v>
      </c>
      <c r="E15" s="2">
        <f>LN(D15)</f>
        <v>11.057708768172155</v>
      </c>
      <c r="F15" s="1">
        <v>87.22</v>
      </c>
    </row>
    <row r="16" spans="1:6" x14ac:dyDescent="0.2">
      <c r="A16" s="1" t="s">
        <v>261</v>
      </c>
      <c r="B16" s="1" t="s">
        <v>262</v>
      </c>
      <c r="C16" s="1">
        <v>50.26</v>
      </c>
      <c r="D16" s="1">
        <v>3697.61</v>
      </c>
      <c r="E16" s="2">
        <f>LN(D16)</f>
        <v>8.2154419439734045</v>
      </c>
      <c r="F16" s="1">
        <v>55.59</v>
      </c>
    </row>
    <row r="17" spans="1:6" x14ac:dyDescent="0.2">
      <c r="A17" s="1" t="s">
        <v>175</v>
      </c>
      <c r="B17" s="1" t="s">
        <v>176</v>
      </c>
      <c r="C17" s="1">
        <v>66.819999999999993</v>
      </c>
      <c r="D17" s="1">
        <v>13423.43</v>
      </c>
      <c r="E17" s="2">
        <f>LN(D17)</f>
        <v>9.5047569665420735</v>
      </c>
      <c r="F17" s="1">
        <v>68.05</v>
      </c>
    </row>
    <row r="18" spans="1:6" x14ac:dyDescent="0.2">
      <c r="A18" s="1" t="s">
        <v>193</v>
      </c>
      <c r="B18" s="1" t="s">
        <v>194</v>
      </c>
      <c r="C18" s="1">
        <v>63.97</v>
      </c>
      <c r="D18" s="1">
        <v>9565.32</v>
      </c>
      <c r="E18" s="2">
        <f>LN(D18)</f>
        <v>9.165899336620539</v>
      </c>
      <c r="F18" s="1">
        <v>67.150000000000006</v>
      </c>
    </row>
    <row r="19" spans="1:6" x14ac:dyDescent="0.2">
      <c r="A19" s="1" t="s">
        <v>139</v>
      </c>
      <c r="B19" s="1" t="s">
        <v>140</v>
      </c>
      <c r="C19" s="1">
        <v>69.48</v>
      </c>
      <c r="D19" s="1">
        <v>19355.669999999998</v>
      </c>
      <c r="E19" s="2">
        <f>LN(D19)</f>
        <v>9.8707406787908116</v>
      </c>
      <c r="F19" s="1">
        <v>71.23</v>
      </c>
    </row>
    <row r="20" spans="1:6" x14ac:dyDescent="0.2">
      <c r="A20" s="1" t="s">
        <v>199</v>
      </c>
      <c r="B20" s="1" t="s">
        <v>200</v>
      </c>
      <c r="C20" s="1">
        <v>63.06</v>
      </c>
      <c r="D20" s="1">
        <v>17334.88</v>
      </c>
      <c r="E20" s="2">
        <f>LN(D20)</f>
        <v>9.7604759356838571</v>
      </c>
      <c r="F20" s="1">
        <v>65.89</v>
      </c>
    </row>
    <row r="21" spans="1:6" x14ac:dyDescent="0.2">
      <c r="A21" s="1" t="s">
        <v>111</v>
      </c>
      <c r="B21" s="1" t="s">
        <v>112</v>
      </c>
      <c r="C21" s="1">
        <v>72.349999999999994</v>
      </c>
      <c r="D21" s="1">
        <v>17847.330000000002</v>
      </c>
      <c r="E21" s="2">
        <f>LN(D21)</f>
        <v>9.7896091961876746</v>
      </c>
      <c r="F21" s="1">
        <v>71.260000000000005</v>
      </c>
    </row>
    <row r="22" spans="1:6" x14ac:dyDescent="0.2">
      <c r="A22" s="1" t="s">
        <v>87</v>
      </c>
      <c r="B22" s="1" t="s">
        <v>88</v>
      </c>
      <c r="C22" s="1">
        <v>75.73</v>
      </c>
      <c r="D22" s="1">
        <v>32511.83</v>
      </c>
      <c r="E22" s="2">
        <f>LN(D22)</f>
        <v>10.3893593020859</v>
      </c>
      <c r="F22" s="1">
        <v>76.81</v>
      </c>
    </row>
    <row r="23" spans="1:6" x14ac:dyDescent="0.2">
      <c r="A23" s="1" t="s">
        <v>307</v>
      </c>
      <c r="B23" s="1" t="s">
        <v>308</v>
      </c>
      <c r="C23" s="1">
        <v>43.73</v>
      </c>
      <c r="D23" s="1">
        <v>2448.13</v>
      </c>
      <c r="E23" s="2">
        <f>LN(D23)</f>
        <v>7.8030797467973825</v>
      </c>
      <c r="F23" s="1">
        <v>49.83</v>
      </c>
    </row>
    <row r="24" spans="1:6" x14ac:dyDescent="0.2">
      <c r="A24" s="1" t="s">
        <v>321</v>
      </c>
      <c r="B24" s="1" t="s">
        <v>322</v>
      </c>
      <c r="C24" s="1">
        <v>40.42</v>
      </c>
      <c r="D24" s="1">
        <v>857.17</v>
      </c>
      <c r="E24" s="2">
        <f>LN(D24)</f>
        <v>6.7536362653201669</v>
      </c>
      <c r="F24" s="1">
        <v>42.91</v>
      </c>
    </row>
    <row r="25" spans="1:6" x14ac:dyDescent="0.2">
      <c r="A25" s="1" t="s">
        <v>241</v>
      </c>
      <c r="B25" s="1" t="s">
        <v>242</v>
      </c>
      <c r="C25" s="1">
        <v>55.84</v>
      </c>
      <c r="D25" s="1">
        <v>4860.45</v>
      </c>
      <c r="E25" s="2">
        <f>LN(D25)</f>
        <v>8.4888863052007029</v>
      </c>
      <c r="F25" s="1">
        <v>55.71</v>
      </c>
    </row>
    <row r="26" spans="1:6" x14ac:dyDescent="0.2">
      <c r="A26" s="1" t="s">
        <v>285</v>
      </c>
      <c r="B26" s="1" t="s">
        <v>286</v>
      </c>
      <c r="C26" s="1">
        <v>47.18</v>
      </c>
      <c r="D26" s="1">
        <v>4785.68</v>
      </c>
      <c r="E26" s="2">
        <f>LN(D26)</f>
        <v>8.4733834045530774</v>
      </c>
      <c r="F26" s="1">
        <v>51.4</v>
      </c>
    </row>
    <row r="27" spans="1:6" x14ac:dyDescent="0.2">
      <c r="A27" s="1" t="s">
        <v>39</v>
      </c>
      <c r="B27" s="1" t="s">
        <v>40</v>
      </c>
      <c r="C27" s="1">
        <v>86.02</v>
      </c>
      <c r="D27" s="1">
        <v>56716.37</v>
      </c>
      <c r="E27" s="2">
        <f>LN(D27)</f>
        <v>10.94581816056845</v>
      </c>
      <c r="F27" s="1">
        <v>88.17</v>
      </c>
    </row>
    <row r="28" spans="1:6" x14ac:dyDescent="0.2">
      <c r="A28" s="1" t="s">
        <v>171</v>
      </c>
      <c r="B28" s="1" t="s">
        <v>172</v>
      </c>
      <c r="C28" s="1">
        <v>67.59</v>
      </c>
      <c r="D28" s="1">
        <v>7633.8</v>
      </c>
      <c r="E28" s="2">
        <f>LN(D28)</f>
        <v>8.9403410343767096</v>
      </c>
      <c r="F28" s="1">
        <v>69.010000000000005</v>
      </c>
    </row>
    <row r="29" spans="1:6" x14ac:dyDescent="0.2">
      <c r="A29" s="1" t="s">
        <v>337</v>
      </c>
      <c r="B29" s="1" t="s">
        <v>338</v>
      </c>
      <c r="C29" s="1">
        <v>27.42</v>
      </c>
      <c r="D29" s="1">
        <v>1039.27</v>
      </c>
      <c r="E29" s="2">
        <f>LN(D29)</f>
        <v>6.9462738225951535</v>
      </c>
      <c r="F29" s="1">
        <v>32.39</v>
      </c>
    </row>
    <row r="30" spans="1:6" x14ac:dyDescent="0.2">
      <c r="A30" s="1" t="s">
        <v>335</v>
      </c>
      <c r="B30" s="1" t="s">
        <v>336</v>
      </c>
      <c r="C30" s="1">
        <v>29.46</v>
      </c>
      <c r="D30" s="1">
        <v>1748.48</v>
      </c>
      <c r="E30" s="2">
        <f>LN(D30)</f>
        <v>7.4665021180622615</v>
      </c>
      <c r="F30" s="1">
        <v>34.69</v>
      </c>
    </row>
    <row r="31" spans="1:6" x14ac:dyDescent="0.2">
      <c r="A31" s="1" t="s">
        <v>73</v>
      </c>
      <c r="B31" s="1" t="s">
        <v>74</v>
      </c>
      <c r="C31" s="1">
        <v>79.489999999999995</v>
      </c>
      <c r="D31" s="1">
        <v>29691.19</v>
      </c>
      <c r="E31" s="2">
        <f>LN(D31)</f>
        <v>10.298605647789888</v>
      </c>
      <c r="F31" s="1">
        <v>80.78</v>
      </c>
    </row>
    <row r="32" spans="1:6" x14ac:dyDescent="0.2">
      <c r="A32" s="1" t="s">
        <v>145</v>
      </c>
      <c r="B32" s="1" t="s">
        <v>146</v>
      </c>
      <c r="C32" s="1">
        <v>69.08</v>
      </c>
      <c r="D32" s="1">
        <v>21019.46</v>
      </c>
      <c r="E32" s="2">
        <f>LN(D32)</f>
        <v>9.953203954281733</v>
      </c>
      <c r="F32" s="1">
        <v>65.739999999999995</v>
      </c>
    </row>
    <row r="33" spans="1:6" x14ac:dyDescent="0.2">
      <c r="A33" s="1" t="s">
        <v>137</v>
      </c>
      <c r="B33" s="1" t="s">
        <v>138</v>
      </c>
      <c r="C33" s="1">
        <v>69.91</v>
      </c>
      <c r="D33" s="1">
        <v>18732.72</v>
      </c>
      <c r="E33" s="2">
        <f>LN(D33)</f>
        <v>9.838027006464177</v>
      </c>
      <c r="F33" s="1">
        <v>69.83</v>
      </c>
    </row>
    <row r="34" spans="1:6" x14ac:dyDescent="0.2">
      <c r="A34" s="1" t="s">
        <v>277</v>
      </c>
      <c r="B34" s="1" t="s">
        <v>278</v>
      </c>
      <c r="C34" s="1">
        <v>47.78</v>
      </c>
      <c r="D34" s="1">
        <v>3445.06</v>
      </c>
      <c r="E34" s="2">
        <f>LN(D34)</f>
        <v>8.1446965998418115</v>
      </c>
      <c r="F34" s="1">
        <v>52.11</v>
      </c>
    </row>
    <row r="35" spans="1:6" x14ac:dyDescent="0.2">
      <c r="A35" s="1" t="s">
        <v>79</v>
      </c>
      <c r="B35" s="1" t="s">
        <v>80</v>
      </c>
      <c r="C35" s="1">
        <v>79.02</v>
      </c>
      <c r="D35" s="1">
        <v>24650.49</v>
      </c>
      <c r="E35" s="2">
        <f>LN(D35)</f>
        <v>10.112552057569411</v>
      </c>
      <c r="F35" s="1">
        <v>80.650000000000006</v>
      </c>
    </row>
    <row r="36" spans="1:6" x14ac:dyDescent="0.2">
      <c r="A36" s="1" t="s">
        <v>75</v>
      </c>
      <c r="B36" s="1" t="s">
        <v>76</v>
      </c>
      <c r="C36" s="1">
        <v>79.33</v>
      </c>
      <c r="D36" s="1">
        <v>39538.49</v>
      </c>
      <c r="E36" s="2">
        <f>LN(D36)</f>
        <v>10.585029906819864</v>
      </c>
      <c r="F36" s="1">
        <v>82.32</v>
      </c>
    </row>
    <row r="37" spans="1:6" x14ac:dyDescent="0.2">
      <c r="A37" s="1" t="s">
        <v>149</v>
      </c>
      <c r="B37" s="1" t="s">
        <v>150</v>
      </c>
      <c r="C37" s="1">
        <v>68.67</v>
      </c>
      <c r="D37" s="1"/>
      <c r="F37" s="1"/>
    </row>
    <row r="38" spans="1:6" x14ac:dyDescent="0.2">
      <c r="A38" s="1" t="s">
        <v>59</v>
      </c>
      <c r="B38" s="1" t="s">
        <v>60</v>
      </c>
      <c r="C38" s="1">
        <v>82</v>
      </c>
      <c r="D38" s="1">
        <v>50232.2</v>
      </c>
      <c r="E38" s="2">
        <f>LN(D38)</f>
        <v>10.824411534311739</v>
      </c>
      <c r="F38" s="1">
        <v>83.18</v>
      </c>
    </row>
    <row r="39" spans="1:6" x14ac:dyDescent="0.2">
      <c r="A39" s="1" t="s">
        <v>47</v>
      </c>
      <c r="B39" s="1" t="s">
        <v>48</v>
      </c>
      <c r="C39" s="1">
        <v>84.85</v>
      </c>
      <c r="D39" s="1">
        <v>48783.99</v>
      </c>
      <c r="E39" s="2">
        <f>LN(D39)</f>
        <v>10.795157464242774</v>
      </c>
      <c r="F39" s="1">
        <v>85.19</v>
      </c>
    </row>
    <row r="40" spans="1:6" x14ac:dyDescent="0.2">
      <c r="A40" s="1" t="s">
        <v>5</v>
      </c>
      <c r="B40" s="1" t="s">
        <v>6</v>
      </c>
      <c r="C40" s="1">
        <v>91.96</v>
      </c>
      <c r="D40" s="1">
        <v>71224.34</v>
      </c>
      <c r="E40" s="2">
        <f>LN(D40)</f>
        <v>11.17358989291391</v>
      </c>
      <c r="F40" s="1">
        <v>90.54</v>
      </c>
    </row>
    <row r="41" spans="1:6" x14ac:dyDescent="0.2">
      <c r="A41" s="1" t="s">
        <v>259</v>
      </c>
      <c r="B41" s="1" t="s">
        <v>260</v>
      </c>
      <c r="C41" s="1">
        <v>50.33</v>
      </c>
      <c r="D41" s="1">
        <v>6135.85</v>
      </c>
      <c r="E41" s="2">
        <f>LN(D41)</f>
        <v>8.7219038968551956</v>
      </c>
      <c r="F41" s="1">
        <v>49.39</v>
      </c>
    </row>
    <row r="42" spans="1:6" x14ac:dyDescent="0.2">
      <c r="A42" s="1" t="s">
        <v>157</v>
      </c>
      <c r="B42" s="1" t="s">
        <v>158</v>
      </c>
      <c r="C42" s="1">
        <v>68.17</v>
      </c>
      <c r="D42" s="1">
        <v>22761.27</v>
      </c>
      <c r="E42" s="2">
        <f>LN(D42)</f>
        <v>10.032815686332031</v>
      </c>
      <c r="F42" s="1">
        <v>69.760000000000005</v>
      </c>
    </row>
    <row r="43" spans="1:6" x14ac:dyDescent="0.2">
      <c r="A43" s="1" t="s">
        <v>331</v>
      </c>
      <c r="B43" s="1" t="s">
        <v>332</v>
      </c>
      <c r="C43" s="1">
        <v>37.229999999999997</v>
      </c>
      <c r="D43" s="1">
        <v>1432.86</v>
      </c>
      <c r="E43" s="2">
        <f>LN(D43)</f>
        <v>7.267427725916626</v>
      </c>
      <c r="F43" s="1">
        <v>42.7</v>
      </c>
    </row>
    <row r="44" spans="1:6" x14ac:dyDescent="0.2">
      <c r="A44" s="1" t="s">
        <v>151</v>
      </c>
      <c r="B44" s="1" t="s">
        <v>152</v>
      </c>
      <c r="C44" s="1">
        <v>68.64</v>
      </c>
      <c r="D44" s="1">
        <v>13530.4</v>
      </c>
      <c r="E44" s="2">
        <f>LN(D44)</f>
        <v>9.5126942846598315</v>
      </c>
      <c r="F44" s="1">
        <v>71.75</v>
      </c>
    </row>
    <row r="45" spans="1:6" x14ac:dyDescent="0.2">
      <c r="A45" s="1" t="s">
        <v>231</v>
      </c>
      <c r="B45" s="1" t="s">
        <v>232</v>
      </c>
      <c r="C45" s="1">
        <v>57.56</v>
      </c>
      <c r="D45" s="1">
        <v>16600.39</v>
      </c>
      <c r="E45" s="2">
        <f>LN(D45)</f>
        <v>9.7171814680445596</v>
      </c>
      <c r="F45" s="1">
        <v>58.73</v>
      </c>
    </row>
    <row r="46" spans="1:6" x14ac:dyDescent="0.2">
      <c r="A46" s="1" t="s">
        <v>201</v>
      </c>
      <c r="B46" s="1" t="s">
        <v>202</v>
      </c>
      <c r="C46" s="1">
        <v>62.89</v>
      </c>
      <c r="D46" s="1">
        <v>11103.49</v>
      </c>
      <c r="E46" s="2">
        <f>LN(D46)</f>
        <v>9.3150147522969853</v>
      </c>
      <c r="F46" s="1">
        <v>64.42</v>
      </c>
    </row>
    <row r="47" spans="1:6" x14ac:dyDescent="0.2">
      <c r="A47" s="1" t="s">
        <v>295</v>
      </c>
      <c r="B47" s="1" t="s">
        <v>296</v>
      </c>
      <c r="C47" s="1">
        <v>45.24</v>
      </c>
      <c r="D47" s="1">
        <v>18165.16</v>
      </c>
      <c r="E47" s="2">
        <f>LN(D47)</f>
        <v>9.8072607527640479</v>
      </c>
      <c r="F47" s="1">
        <v>46.58</v>
      </c>
    </row>
    <row r="48" spans="1:6" x14ac:dyDescent="0.2">
      <c r="A48" s="1" t="s">
        <v>329</v>
      </c>
      <c r="B48" s="1" t="s">
        <v>330</v>
      </c>
      <c r="C48" s="1">
        <v>37.9</v>
      </c>
      <c r="D48" s="1"/>
      <c r="F48" s="1">
        <v>34.85</v>
      </c>
    </row>
    <row r="49" spans="1:6" x14ac:dyDescent="0.2">
      <c r="A49" s="1" t="s">
        <v>35</v>
      </c>
      <c r="B49" s="1" t="s">
        <v>36</v>
      </c>
      <c r="C49" s="1">
        <v>86.28</v>
      </c>
      <c r="D49" s="1">
        <v>43877</v>
      </c>
      <c r="E49" s="2">
        <f>LN(D49)</f>
        <v>10.68914554377483</v>
      </c>
      <c r="F49" s="1">
        <v>86.16</v>
      </c>
    </row>
    <row r="50" spans="1:6" x14ac:dyDescent="0.2">
      <c r="A50" s="1" t="s">
        <v>273</v>
      </c>
      <c r="B50" s="1" t="s">
        <v>274</v>
      </c>
      <c r="C50" s="1">
        <v>48.56</v>
      </c>
      <c r="D50" s="1">
        <v>10170.94</v>
      </c>
      <c r="E50" s="2">
        <f>LN(D50)</f>
        <v>9.2272899134832329</v>
      </c>
      <c r="F50" s="1">
        <v>49.19</v>
      </c>
    </row>
    <row r="51" spans="1:6" x14ac:dyDescent="0.2">
      <c r="A51" s="1" t="s">
        <v>301</v>
      </c>
      <c r="B51" s="1" t="s">
        <v>302</v>
      </c>
      <c r="C51" s="1">
        <v>44.63</v>
      </c>
      <c r="D51" s="1">
        <v>2698.61</v>
      </c>
      <c r="E51" s="2">
        <f>LN(D51)</f>
        <v>7.9004921046149601</v>
      </c>
      <c r="F51" s="1">
        <v>47.43</v>
      </c>
    </row>
    <row r="52" spans="1:6" x14ac:dyDescent="0.2">
      <c r="A52" s="1" t="s">
        <v>187</v>
      </c>
      <c r="B52" s="1" t="s">
        <v>188</v>
      </c>
      <c r="C52" s="1">
        <v>65.7</v>
      </c>
      <c r="D52" s="1">
        <v>12643.93</v>
      </c>
      <c r="E52" s="2">
        <f>LN(D52)</f>
        <v>9.4449325370974684</v>
      </c>
      <c r="F52" s="1">
        <v>67.02</v>
      </c>
    </row>
    <row r="53" spans="1:6" x14ac:dyDescent="0.2">
      <c r="A53" s="1" t="s">
        <v>9</v>
      </c>
      <c r="B53" s="1" t="s">
        <v>10</v>
      </c>
      <c r="C53" s="1">
        <v>91.28</v>
      </c>
      <c r="D53" s="1">
        <v>58634.37</v>
      </c>
      <c r="E53" s="2">
        <f>LN(D53)</f>
        <v>10.979076322401525</v>
      </c>
      <c r="F53" s="1">
        <v>90.46</v>
      </c>
    </row>
    <row r="54" spans="1:6" x14ac:dyDescent="0.2">
      <c r="A54" s="1" t="s">
        <v>49</v>
      </c>
      <c r="B54" s="1" t="s">
        <v>50</v>
      </c>
      <c r="C54" s="1">
        <v>84.81</v>
      </c>
      <c r="D54" s="1">
        <v>54988.33</v>
      </c>
      <c r="E54" s="2">
        <f>LN(D54)</f>
        <v>10.91487625988268</v>
      </c>
      <c r="F54" s="1">
        <v>86.07</v>
      </c>
    </row>
    <row r="55" spans="1:6" x14ac:dyDescent="0.2">
      <c r="A55" s="1" t="s">
        <v>239</v>
      </c>
      <c r="B55" s="1" t="s">
        <v>240</v>
      </c>
      <c r="C55" s="1">
        <v>55.9</v>
      </c>
      <c r="D55" s="1">
        <v>19718.259999999998</v>
      </c>
      <c r="E55" s="2">
        <f>LN(D55)</f>
        <v>9.8893003889695468</v>
      </c>
      <c r="F55" s="1">
        <v>62.18</v>
      </c>
    </row>
    <row r="56" spans="1:6" x14ac:dyDescent="0.2">
      <c r="A56" s="1" t="s">
        <v>265</v>
      </c>
      <c r="B56" s="1" t="s">
        <v>266</v>
      </c>
      <c r="C56" s="1">
        <v>49.92</v>
      </c>
      <c r="D56" s="1">
        <v>2744.78</v>
      </c>
      <c r="E56" s="2">
        <f>LN(D56)</f>
        <v>7.917456205012301</v>
      </c>
      <c r="F56" s="1">
        <v>54.68</v>
      </c>
    </row>
    <row r="57" spans="1:6" x14ac:dyDescent="0.2">
      <c r="A57" s="1" t="s">
        <v>103</v>
      </c>
      <c r="B57" s="1" t="s">
        <v>104</v>
      </c>
      <c r="C57" s="1">
        <v>72.98</v>
      </c>
      <c r="D57" s="1">
        <v>20612.189999999999</v>
      </c>
      <c r="E57" s="2">
        <f>LN(D57)</f>
        <v>9.9336379273369317</v>
      </c>
      <c r="F57" s="1">
        <v>74.430000000000007</v>
      </c>
    </row>
    <row r="58" spans="1:6" x14ac:dyDescent="0.2">
      <c r="A58" s="1" t="s">
        <v>23</v>
      </c>
      <c r="B58" s="1" t="s">
        <v>24</v>
      </c>
      <c r="C58" s="1">
        <v>88.24</v>
      </c>
      <c r="D58" s="1">
        <v>62605.47</v>
      </c>
      <c r="E58" s="2">
        <f>LN(D58)</f>
        <v>11.044607933462457</v>
      </c>
      <c r="F58" s="1">
        <v>88.72</v>
      </c>
    </row>
    <row r="59" spans="1:6" x14ac:dyDescent="0.2">
      <c r="A59" s="1" t="s">
        <v>209</v>
      </c>
      <c r="B59" s="1" t="s">
        <v>210</v>
      </c>
      <c r="C59" s="1">
        <v>60.45</v>
      </c>
      <c r="D59" s="1">
        <v>6616.12</v>
      </c>
      <c r="E59" s="2">
        <f>LN(D59)</f>
        <v>8.7972643743866801</v>
      </c>
      <c r="F59" s="1">
        <v>64.8</v>
      </c>
    </row>
    <row r="60" spans="1:6" x14ac:dyDescent="0.2">
      <c r="A60" s="1" t="s">
        <v>71</v>
      </c>
      <c r="B60" s="1" t="s">
        <v>72</v>
      </c>
      <c r="C60" s="1">
        <v>80.13</v>
      </c>
      <c r="D60" s="1">
        <v>35328.79</v>
      </c>
      <c r="E60" s="2">
        <f>LN(D60)</f>
        <v>10.472453491252686</v>
      </c>
      <c r="F60" s="1">
        <v>82.44</v>
      </c>
    </row>
    <row r="61" spans="1:6" x14ac:dyDescent="0.2">
      <c r="A61" s="1" t="s">
        <v>215</v>
      </c>
      <c r="B61" s="1" t="s">
        <v>216</v>
      </c>
      <c r="C61" s="1">
        <v>58.7</v>
      </c>
      <c r="D61" s="1">
        <v>12427.77</v>
      </c>
      <c r="E61" s="2">
        <f>LN(D61)</f>
        <v>9.427688763743685</v>
      </c>
      <c r="F61" s="1">
        <v>60.21</v>
      </c>
    </row>
    <row r="62" spans="1:6" x14ac:dyDescent="0.2">
      <c r="A62" s="1" t="s">
        <v>319</v>
      </c>
      <c r="B62" s="1" t="s">
        <v>320</v>
      </c>
      <c r="C62" s="1">
        <v>40.61</v>
      </c>
      <c r="D62" s="1">
        <v>3818.25</v>
      </c>
      <c r="E62" s="2">
        <f>LN(D62)</f>
        <v>8.2475474814505549</v>
      </c>
      <c r="F62" s="1">
        <v>42.41</v>
      </c>
    </row>
    <row r="63" spans="1:6" x14ac:dyDescent="0.2">
      <c r="A63" s="1" t="s">
        <v>303</v>
      </c>
      <c r="B63" s="1" t="s">
        <v>304</v>
      </c>
      <c r="C63" s="1">
        <v>44.32</v>
      </c>
      <c r="D63" s="1">
        <v>2192.42</v>
      </c>
      <c r="E63" s="2">
        <f>LN(D63)</f>
        <v>7.6927612355532675</v>
      </c>
      <c r="F63" s="1">
        <v>46.65</v>
      </c>
    </row>
    <row r="64" spans="1:6" x14ac:dyDescent="0.2">
      <c r="A64" s="1" t="s">
        <v>197</v>
      </c>
      <c r="B64" s="1" t="s">
        <v>198</v>
      </c>
      <c r="C64" s="1">
        <v>63.14</v>
      </c>
      <c r="D64" s="1">
        <v>37667.769999999997</v>
      </c>
      <c r="E64" s="2">
        <f>LN(D64)</f>
        <v>10.536560100632762</v>
      </c>
      <c r="F64" s="1">
        <v>65.540000000000006</v>
      </c>
    </row>
    <row r="65" spans="1:6" x14ac:dyDescent="0.2">
      <c r="A65" s="1" t="s">
        <v>325</v>
      </c>
      <c r="B65" s="1" t="s">
        <v>326</v>
      </c>
      <c r="C65" s="1">
        <v>39.840000000000003</v>
      </c>
      <c r="D65" s="1">
        <v>3026.24</v>
      </c>
      <c r="E65" s="2">
        <f>LN(D65)</f>
        <v>8.0150762038271477</v>
      </c>
      <c r="F65" s="1">
        <v>45.42</v>
      </c>
    </row>
    <row r="66" spans="1:6" x14ac:dyDescent="0.2">
      <c r="A66" s="1" t="s">
        <v>211</v>
      </c>
      <c r="B66" s="1" t="s">
        <v>212</v>
      </c>
      <c r="C66" s="1">
        <v>59.66</v>
      </c>
      <c r="D66" s="1">
        <v>6440.42</v>
      </c>
      <c r="E66" s="2">
        <f>LN(D66)</f>
        <v>8.7703490343631412</v>
      </c>
      <c r="F66" s="1">
        <v>61.17</v>
      </c>
    </row>
    <row r="67" spans="1:6" x14ac:dyDescent="0.2">
      <c r="A67" s="1" t="s">
        <v>81</v>
      </c>
      <c r="B67" s="1" t="s">
        <v>82</v>
      </c>
      <c r="C67" s="1">
        <v>77.290000000000006</v>
      </c>
      <c r="D67" s="1">
        <v>40683.879999999997</v>
      </c>
      <c r="E67" s="2">
        <f>LN(D67)</f>
        <v>10.613587224178655</v>
      </c>
      <c r="F67" s="1">
        <v>78.209999999999994</v>
      </c>
    </row>
    <row r="68" spans="1:6" x14ac:dyDescent="0.2">
      <c r="A68" s="1" t="s">
        <v>15</v>
      </c>
      <c r="B68" s="1" t="s">
        <v>16</v>
      </c>
      <c r="C68" s="1">
        <v>89.57</v>
      </c>
      <c r="D68" s="1">
        <v>64294.75</v>
      </c>
      <c r="E68" s="2">
        <f>LN(D68)</f>
        <v>11.071233258369737</v>
      </c>
      <c r="F68" s="1">
        <v>89.54</v>
      </c>
    </row>
    <row r="69" spans="1:6" x14ac:dyDescent="0.2">
      <c r="A69" s="1" t="s">
        <v>221</v>
      </c>
      <c r="B69" s="1" t="s">
        <v>222</v>
      </c>
      <c r="C69" s="1">
        <v>58.31</v>
      </c>
      <c r="D69" s="1">
        <v>8568.59</v>
      </c>
      <c r="E69" s="2">
        <f>LN(D69)</f>
        <v>9.0558584706344671</v>
      </c>
      <c r="F69" s="1">
        <v>60.19</v>
      </c>
    </row>
    <row r="70" spans="1:6" x14ac:dyDescent="0.2">
      <c r="A70" s="1" t="s">
        <v>165</v>
      </c>
      <c r="B70" s="1" t="s">
        <v>166</v>
      </c>
      <c r="C70" s="1">
        <v>67.81</v>
      </c>
      <c r="D70" s="1">
        <v>13495.53</v>
      </c>
      <c r="E70" s="2">
        <f>LN(D70)</f>
        <v>9.5101137984860227</v>
      </c>
      <c r="F70" s="1">
        <v>66.67</v>
      </c>
    </row>
    <row r="71" spans="1:6" x14ac:dyDescent="0.2">
      <c r="A71" s="1" t="s">
        <v>205</v>
      </c>
      <c r="B71" s="1" t="s">
        <v>206</v>
      </c>
      <c r="C71" s="1">
        <v>61.6</v>
      </c>
      <c r="D71" s="1">
        <v>15499.91</v>
      </c>
      <c r="E71" s="2">
        <f>LN(D71)</f>
        <v>9.6485894964388681</v>
      </c>
      <c r="F71" s="1">
        <v>63.72</v>
      </c>
    </row>
    <row r="72" spans="1:6" x14ac:dyDescent="0.2">
      <c r="A72" s="1" t="s">
        <v>235</v>
      </c>
      <c r="B72" s="1" t="s">
        <v>236</v>
      </c>
      <c r="C72" s="1">
        <v>57.21</v>
      </c>
      <c r="D72" s="1">
        <v>13062</v>
      </c>
      <c r="E72" s="2">
        <f>LN(D72)</f>
        <v>9.4774625304626028</v>
      </c>
      <c r="F72" s="1">
        <v>56.82</v>
      </c>
    </row>
    <row r="73" spans="1:6" x14ac:dyDescent="0.2">
      <c r="A73" s="1" t="s">
        <v>19</v>
      </c>
      <c r="B73" s="1" t="s">
        <v>20</v>
      </c>
      <c r="C73" s="1">
        <v>88.76</v>
      </c>
      <c r="D73" s="1">
        <v>122595.8</v>
      </c>
      <c r="E73" s="2">
        <f>LN(D73)</f>
        <v>11.716648044148661</v>
      </c>
      <c r="F73" s="1">
        <v>87.69</v>
      </c>
    </row>
    <row r="74" spans="1:6" x14ac:dyDescent="0.2">
      <c r="A74" s="1" t="s">
        <v>61</v>
      </c>
      <c r="B74" s="1" t="s">
        <v>62</v>
      </c>
      <c r="C74" s="1">
        <v>81.8</v>
      </c>
      <c r="D74" s="1">
        <v>48318.89</v>
      </c>
      <c r="E74" s="2">
        <f>LN(D74)</f>
        <v>10.785577860490536</v>
      </c>
      <c r="F74" s="1">
        <v>83.17</v>
      </c>
    </row>
    <row r="75" spans="1:6" x14ac:dyDescent="0.2">
      <c r="A75" s="1" t="s">
        <v>53</v>
      </c>
      <c r="B75" s="1" t="s">
        <v>54</v>
      </c>
      <c r="C75" s="1">
        <v>84.08</v>
      </c>
      <c r="D75" s="1">
        <v>51941.17</v>
      </c>
      <c r="E75" s="2">
        <f>LN(D75)</f>
        <v>10.857867010954562</v>
      </c>
      <c r="F75" s="1">
        <v>85.23</v>
      </c>
    </row>
    <row r="76" spans="1:6" x14ac:dyDescent="0.2">
      <c r="A76" s="1" t="s">
        <v>255</v>
      </c>
      <c r="B76" s="1" t="s">
        <v>256</v>
      </c>
      <c r="C76" s="1">
        <v>50.85</v>
      </c>
      <c r="D76" s="1">
        <v>6699.91</v>
      </c>
      <c r="E76" s="2">
        <f>LN(D76)</f>
        <v>8.8098493724530158</v>
      </c>
      <c r="F76" s="1">
        <v>54.01</v>
      </c>
    </row>
    <row r="77" spans="1:6" x14ac:dyDescent="0.2">
      <c r="A77" s="1" t="s">
        <v>115</v>
      </c>
      <c r="B77" s="1" t="s">
        <v>116</v>
      </c>
      <c r="C77" s="1">
        <v>72.09</v>
      </c>
      <c r="D77" s="1">
        <v>10113.969999999999</v>
      </c>
      <c r="E77" s="2">
        <f>LN(D77)</f>
        <v>9.2216729154500445</v>
      </c>
      <c r="F77" s="1">
        <v>73.48</v>
      </c>
    </row>
    <row r="78" spans="1:6" x14ac:dyDescent="0.2">
      <c r="A78" s="1" t="s">
        <v>31</v>
      </c>
      <c r="B78" s="1" t="s">
        <v>32</v>
      </c>
      <c r="C78" s="1">
        <v>87.12</v>
      </c>
      <c r="D78" s="1">
        <v>44913.77</v>
      </c>
      <c r="E78" s="2">
        <f>LN(D78)</f>
        <v>10.712499708227659</v>
      </c>
      <c r="F78" s="1">
        <v>88.19</v>
      </c>
    </row>
    <row r="79" spans="1:6" x14ac:dyDescent="0.2">
      <c r="A79" s="1" t="s">
        <v>161</v>
      </c>
      <c r="B79" s="1" t="s">
        <v>162</v>
      </c>
      <c r="C79" s="1">
        <v>68.12</v>
      </c>
      <c r="D79" s="1">
        <v>9222.52</v>
      </c>
      <c r="E79" s="2">
        <f>LN(D79)</f>
        <v>9.1294035980778592</v>
      </c>
      <c r="F79" s="1">
        <v>67.319999999999993</v>
      </c>
    </row>
    <row r="80" spans="1:6" x14ac:dyDescent="0.2">
      <c r="A80" s="1" t="s">
        <v>117</v>
      </c>
      <c r="B80" s="1" t="s">
        <v>118</v>
      </c>
      <c r="C80" s="1">
        <v>71.52</v>
      </c>
      <c r="D80" s="1">
        <v>34210.879999999997</v>
      </c>
      <c r="E80" s="2">
        <f>LN(D80)</f>
        <v>10.440299001113477</v>
      </c>
      <c r="F80" s="1">
        <v>71.209999999999994</v>
      </c>
    </row>
    <row r="81" spans="1:6" x14ac:dyDescent="0.2">
      <c r="A81" s="1" t="s">
        <v>237</v>
      </c>
      <c r="B81" s="1" t="s">
        <v>238</v>
      </c>
      <c r="C81" s="1">
        <v>56.39</v>
      </c>
      <c r="D81" s="1">
        <v>5513.86</v>
      </c>
      <c r="E81" s="2">
        <f>LN(D81)</f>
        <v>8.6150202013448371</v>
      </c>
      <c r="F81" s="1">
        <v>57.96</v>
      </c>
    </row>
    <row r="82" spans="1:6" x14ac:dyDescent="0.2">
      <c r="A82" s="1" t="s">
        <v>89</v>
      </c>
      <c r="B82" s="1" t="s">
        <v>90</v>
      </c>
      <c r="C82" s="1">
        <v>75.63</v>
      </c>
      <c r="D82" s="1">
        <f>29.95*1000</f>
        <v>29950</v>
      </c>
      <c r="E82" s="2">
        <f>LN(D82)</f>
        <v>10.307284603543595</v>
      </c>
      <c r="F82" s="1">
        <v>74.06</v>
      </c>
    </row>
    <row r="83" spans="1:6" x14ac:dyDescent="0.2">
      <c r="A83" s="1" t="s">
        <v>163</v>
      </c>
      <c r="B83" s="1" t="s">
        <v>164</v>
      </c>
      <c r="C83" s="1">
        <v>67.91</v>
      </c>
      <c r="D83" s="1">
        <v>5991.54</v>
      </c>
      <c r="E83" s="2">
        <f>LN(D83)</f>
        <v>8.698103753224796</v>
      </c>
      <c r="F83" s="1">
        <v>67.23</v>
      </c>
    </row>
    <row r="84" spans="1:6" x14ac:dyDescent="0.2">
      <c r="A84" s="1" t="s">
        <v>247</v>
      </c>
      <c r="B84" s="1" t="s">
        <v>248</v>
      </c>
      <c r="C84" s="1">
        <v>52.9</v>
      </c>
      <c r="D84" s="1">
        <v>8215.1299999999992</v>
      </c>
      <c r="E84" s="2">
        <f>LN(D84)</f>
        <v>9.0137328550570537</v>
      </c>
      <c r="F84" s="1">
        <v>51.17</v>
      </c>
    </row>
    <row r="85" spans="1:6" x14ac:dyDescent="0.2">
      <c r="A85" s="1" t="s">
        <v>65</v>
      </c>
      <c r="B85" s="1" t="s">
        <v>66</v>
      </c>
      <c r="C85" s="1">
        <v>81.25</v>
      </c>
      <c r="D85" s="1">
        <v>38116.36</v>
      </c>
      <c r="E85" s="2">
        <f>LN(D85)</f>
        <v>10.548398865276033</v>
      </c>
      <c r="F85" s="1">
        <v>82.46</v>
      </c>
    </row>
    <row r="86" spans="1:6" x14ac:dyDescent="0.2">
      <c r="A86" s="1" t="s">
        <v>189</v>
      </c>
      <c r="B86" s="1" t="s">
        <v>190</v>
      </c>
      <c r="C86" s="1">
        <v>65.64</v>
      </c>
      <c r="D86" s="1">
        <v>11860.06</v>
      </c>
      <c r="E86" s="2">
        <f>LN(D86)</f>
        <v>9.3809317315608425</v>
      </c>
      <c r="F86" s="1">
        <v>66.48</v>
      </c>
    </row>
    <row r="87" spans="1:6" x14ac:dyDescent="0.2">
      <c r="A87" s="1" t="s">
        <v>279</v>
      </c>
      <c r="B87" s="1" t="s">
        <v>280</v>
      </c>
      <c r="C87" s="1">
        <v>47.6</v>
      </c>
      <c r="D87" s="1">
        <v>2457.4499999999998</v>
      </c>
      <c r="E87" s="2">
        <f>LN(D87)</f>
        <v>7.8068795059343818</v>
      </c>
      <c r="F87" s="1">
        <v>52.9</v>
      </c>
    </row>
    <row r="88" spans="1:6" x14ac:dyDescent="0.2">
      <c r="A88" s="1" t="s">
        <v>305</v>
      </c>
      <c r="B88" s="1" t="s">
        <v>306</v>
      </c>
      <c r="C88" s="1">
        <v>44.03</v>
      </c>
      <c r="D88" s="1">
        <v>1598.18</v>
      </c>
      <c r="E88" s="2">
        <f>LN(D88)</f>
        <v>7.3766207607837222</v>
      </c>
      <c r="F88" s="1">
        <v>49.03</v>
      </c>
    </row>
    <row r="89" spans="1:6" x14ac:dyDescent="0.2">
      <c r="A89" s="1" t="s">
        <v>213</v>
      </c>
      <c r="B89" s="1" t="s">
        <v>214</v>
      </c>
      <c r="C89" s="1">
        <v>58.96</v>
      </c>
      <c r="D89" s="1">
        <v>14777.56</v>
      </c>
      <c r="E89" s="2">
        <f>LN(D89)</f>
        <v>9.6008650929169779</v>
      </c>
      <c r="F89" s="1">
        <v>54.28</v>
      </c>
    </row>
    <row r="90" spans="1:6" x14ac:dyDescent="0.2">
      <c r="A90" s="1" t="s">
        <v>57</v>
      </c>
      <c r="B90" s="1" t="s">
        <v>58</v>
      </c>
      <c r="C90" s="1">
        <v>82.02</v>
      </c>
      <c r="D90" s="1">
        <v>47025.43</v>
      </c>
      <c r="E90" s="2">
        <f>LN(D90)</f>
        <v>10.758443798199727</v>
      </c>
      <c r="F90" s="1">
        <v>83.71</v>
      </c>
    </row>
    <row r="91" spans="1:6" x14ac:dyDescent="0.2">
      <c r="A91" s="1" t="s">
        <v>21</v>
      </c>
      <c r="B91" s="1" t="s">
        <v>22</v>
      </c>
      <c r="C91" s="1">
        <v>88.66</v>
      </c>
      <c r="D91" s="1">
        <v>137059.19</v>
      </c>
      <c r="E91" s="2">
        <f>LN(D91)</f>
        <v>11.828168155301835</v>
      </c>
      <c r="F91" s="1">
        <v>87.48</v>
      </c>
    </row>
    <row r="92" spans="1:6" x14ac:dyDescent="0.2">
      <c r="A92" s="1" t="s">
        <v>315</v>
      </c>
      <c r="B92" s="1" t="s">
        <v>316</v>
      </c>
      <c r="C92" s="1">
        <v>41.93</v>
      </c>
      <c r="D92" s="1">
        <v>1664.58</v>
      </c>
      <c r="E92" s="2">
        <f>LN(D92)</f>
        <v>7.4173281183413415</v>
      </c>
      <c r="F92" s="1">
        <v>47.07</v>
      </c>
    </row>
    <row r="93" spans="1:6" x14ac:dyDescent="0.2">
      <c r="A93" s="1" t="s">
        <v>271</v>
      </c>
      <c r="B93" s="1" t="s">
        <v>272</v>
      </c>
      <c r="C93" s="1">
        <v>48.82</v>
      </c>
      <c r="D93" s="1">
        <v>1703.6</v>
      </c>
      <c r="E93" s="2">
        <f>LN(D93)</f>
        <v>7.4404989380490587</v>
      </c>
      <c r="F93" s="1">
        <v>54.29</v>
      </c>
    </row>
    <row r="94" spans="1:6" x14ac:dyDescent="0.2">
      <c r="A94" s="1" t="s">
        <v>93</v>
      </c>
      <c r="B94" s="1" t="s">
        <v>94</v>
      </c>
      <c r="C94" s="1">
        <v>74.34</v>
      </c>
      <c r="D94" s="1">
        <v>32735.4</v>
      </c>
      <c r="E94" s="2">
        <f>LN(D94)</f>
        <v>10.396212340137637</v>
      </c>
      <c r="F94" s="1">
        <v>74.08</v>
      </c>
    </row>
    <row r="95" spans="1:6" x14ac:dyDescent="0.2">
      <c r="A95" s="1" t="s">
        <v>135</v>
      </c>
      <c r="B95" s="1" t="s">
        <v>136</v>
      </c>
      <c r="C95" s="1">
        <v>70.040000000000006</v>
      </c>
      <c r="D95" s="1">
        <v>21393.72</v>
      </c>
      <c r="E95" s="2">
        <f>LN(D95)</f>
        <v>9.9708526999988099</v>
      </c>
      <c r="F95" s="1">
        <v>68.02</v>
      </c>
    </row>
    <row r="96" spans="1:6" x14ac:dyDescent="0.2">
      <c r="A96" s="1" t="s">
        <v>297</v>
      </c>
      <c r="B96" s="1" t="s">
        <v>298</v>
      </c>
      <c r="C96" s="1">
        <v>44.64</v>
      </c>
      <c r="D96" s="1">
        <v>2413.04</v>
      </c>
      <c r="E96" s="2">
        <f>LN(D96)</f>
        <v>7.7886426423628956</v>
      </c>
      <c r="F96" s="1">
        <v>46.93</v>
      </c>
    </row>
    <row r="97" spans="1:6" x14ac:dyDescent="0.2">
      <c r="A97" s="1" t="s">
        <v>55</v>
      </c>
      <c r="B97" s="1" t="s">
        <v>56</v>
      </c>
      <c r="C97" s="1">
        <v>83.14</v>
      </c>
      <c r="D97" s="1">
        <v>55727.72</v>
      </c>
      <c r="E97" s="2">
        <f>LN(D97)</f>
        <v>10.928232968188912</v>
      </c>
      <c r="F97" s="1">
        <v>84.52</v>
      </c>
    </row>
    <row r="98" spans="1:6" x14ac:dyDescent="0.2">
      <c r="A98" s="1" t="s">
        <v>299</v>
      </c>
      <c r="B98" s="1" t="s">
        <v>300</v>
      </c>
      <c r="C98" s="1">
        <v>44.64</v>
      </c>
      <c r="D98" s="1">
        <v>6207.05</v>
      </c>
      <c r="E98" s="2">
        <f>LN(D98)</f>
        <v>8.7334410218025074</v>
      </c>
      <c r="F98" s="1">
        <v>46.6</v>
      </c>
    </row>
    <row r="99" spans="1:6" x14ac:dyDescent="0.2">
      <c r="A99" s="1" t="s">
        <v>107</v>
      </c>
      <c r="B99" s="1" t="s">
        <v>108</v>
      </c>
      <c r="C99" s="1">
        <v>72.45</v>
      </c>
      <c r="D99" s="1">
        <v>24831.53</v>
      </c>
      <c r="E99" s="2">
        <f>LN(D99)</f>
        <v>10.119869495613102</v>
      </c>
      <c r="F99" s="1">
        <v>75.44</v>
      </c>
    </row>
    <row r="100" spans="1:6" x14ac:dyDescent="0.2">
      <c r="A100" s="1" t="s">
        <v>141</v>
      </c>
      <c r="B100" s="1" t="s">
        <v>142</v>
      </c>
      <c r="C100" s="1">
        <v>69.3</v>
      </c>
      <c r="D100" s="1">
        <v>21809.59</v>
      </c>
      <c r="E100" s="2">
        <f>LN(D100)</f>
        <v>9.9901050603027919</v>
      </c>
      <c r="F100" s="1">
        <v>70.84</v>
      </c>
    </row>
    <row r="101" spans="1:6" x14ac:dyDescent="0.2">
      <c r="A101" s="1" t="s">
        <v>113</v>
      </c>
      <c r="B101" s="1" t="s">
        <v>114</v>
      </c>
      <c r="C101" s="1">
        <v>72.3</v>
      </c>
      <c r="D101" s="1">
        <v>15229.46</v>
      </c>
      <c r="E101" s="2">
        <f>LN(D101)</f>
        <v>9.6309869889244375</v>
      </c>
      <c r="F101" s="1">
        <v>74.19</v>
      </c>
    </row>
    <row r="102" spans="1:6" x14ac:dyDescent="0.2">
      <c r="A102" s="1" t="s">
        <v>179</v>
      </c>
      <c r="B102" s="1" t="s">
        <v>180</v>
      </c>
      <c r="C102" s="1">
        <v>66.53</v>
      </c>
      <c r="D102" s="1">
        <v>15469.84</v>
      </c>
      <c r="E102" s="2">
        <f>LN(D102)</f>
        <v>9.646647600915049</v>
      </c>
      <c r="F102" s="1">
        <v>67.209999999999994</v>
      </c>
    </row>
    <row r="103" spans="1:6" x14ac:dyDescent="0.2">
      <c r="A103" s="1" t="s">
        <v>95</v>
      </c>
      <c r="B103" s="1" t="s">
        <v>96</v>
      </c>
      <c r="C103" s="1">
        <v>74.27</v>
      </c>
      <c r="D103" s="1">
        <v>26166.05</v>
      </c>
      <c r="E103" s="2">
        <f>LN(D103)</f>
        <v>10.172218047945705</v>
      </c>
      <c r="F103" s="1">
        <v>74.64</v>
      </c>
    </row>
    <row r="104" spans="1:6" x14ac:dyDescent="0.2">
      <c r="A104" s="1" t="s">
        <v>203</v>
      </c>
      <c r="B104" s="1" t="s">
        <v>204</v>
      </c>
      <c r="C104" s="1">
        <v>62.7</v>
      </c>
      <c r="D104" s="1">
        <v>8599.82</v>
      </c>
      <c r="E104" s="2">
        <f>LN(D104)</f>
        <v>9.0594965517899997</v>
      </c>
      <c r="F104" s="1">
        <v>64.040000000000006</v>
      </c>
    </row>
    <row r="105" spans="1:6" x14ac:dyDescent="0.2">
      <c r="A105" s="1" t="s">
        <v>291</v>
      </c>
      <c r="B105" s="1" t="s">
        <v>292</v>
      </c>
      <c r="C105" s="1">
        <v>45.75</v>
      </c>
      <c r="D105" s="1">
        <v>7462.57</v>
      </c>
      <c r="E105" s="2">
        <f>LN(D105)</f>
        <v>8.9176551378913693</v>
      </c>
      <c r="F105" s="1">
        <v>48.27</v>
      </c>
    </row>
    <row r="106" spans="1:6" x14ac:dyDescent="0.2">
      <c r="A106" s="1" t="s">
        <v>253</v>
      </c>
      <c r="B106" s="1" t="s">
        <v>254</v>
      </c>
      <c r="C106" s="1">
        <v>51.46</v>
      </c>
      <c r="D106" s="1">
        <v>5308.75</v>
      </c>
      <c r="E106" s="2">
        <f>LN(D106)</f>
        <v>8.5771116816274802</v>
      </c>
      <c r="F106" s="1">
        <v>51.46</v>
      </c>
    </row>
    <row r="107" spans="1:6" x14ac:dyDescent="0.2">
      <c r="A107" s="1" t="s">
        <v>217</v>
      </c>
      <c r="B107" s="1" t="s">
        <v>218</v>
      </c>
      <c r="C107" s="1">
        <v>58.38</v>
      </c>
      <c r="D107" s="1">
        <v>11474.54</v>
      </c>
      <c r="E107" s="2">
        <f>LN(D107)</f>
        <v>9.3478859469792646</v>
      </c>
      <c r="F107" s="1">
        <v>62</v>
      </c>
    </row>
    <row r="108" spans="1:6" x14ac:dyDescent="0.2">
      <c r="A108" s="1" t="s">
        <v>229</v>
      </c>
      <c r="B108" s="1" t="s">
        <v>230</v>
      </c>
      <c r="C108" s="1">
        <v>57.57</v>
      </c>
      <c r="D108" s="1">
        <v>4632.83</v>
      </c>
      <c r="E108" s="2">
        <f>LN(D108)</f>
        <v>8.4409231914561467</v>
      </c>
      <c r="F108" s="1">
        <v>59.39</v>
      </c>
    </row>
    <row r="109" spans="1:6" x14ac:dyDescent="0.2">
      <c r="A109" s="1" t="s">
        <v>17</v>
      </c>
      <c r="B109" s="1" t="s">
        <v>18</v>
      </c>
      <c r="C109" s="1">
        <v>88.82</v>
      </c>
      <c r="D109" s="1">
        <v>69953.67</v>
      </c>
      <c r="E109" s="2">
        <f>LN(D109)</f>
        <v>11.15558844476451</v>
      </c>
      <c r="F109" s="1">
        <v>88.97</v>
      </c>
    </row>
    <row r="110" spans="1:6" x14ac:dyDescent="0.2">
      <c r="A110" s="1" t="s">
        <v>41</v>
      </c>
      <c r="B110" s="1" t="s">
        <v>42</v>
      </c>
      <c r="C110" s="1">
        <v>85.87</v>
      </c>
      <c r="D110" s="1">
        <v>49816.14</v>
      </c>
      <c r="E110" s="2">
        <f>LN(D110)</f>
        <v>10.816094306890397</v>
      </c>
      <c r="F110" s="1">
        <v>87.26</v>
      </c>
    </row>
    <row r="111" spans="1:6" x14ac:dyDescent="0.2">
      <c r="A111" s="1" t="s">
        <v>227</v>
      </c>
      <c r="B111" s="1" t="s">
        <v>228</v>
      </c>
      <c r="C111" s="1">
        <v>57.69</v>
      </c>
      <c r="D111" s="1">
        <v>7032.01</v>
      </c>
      <c r="E111" s="2">
        <f>LN(D111)</f>
        <v>8.8582278614345373</v>
      </c>
      <c r="F111" s="1">
        <v>60.23</v>
      </c>
    </row>
    <row r="112" spans="1:6" x14ac:dyDescent="0.2">
      <c r="A112" s="1" t="s">
        <v>323</v>
      </c>
      <c r="B112" s="1" t="s">
        <v>324</v>
      </c>
      <c r="C112" s="1">
        <v>40.32</v>
      </c>
      <c r="D112" s="1">
        <v>1652.72</v>
      </c>
      <c r="E112" s="2">
        <f>LN(D112)</f>
        <v>7.410177694483373</v>
      </c>
      <c r="F112" s="1">
        <v>43.14</v>
      </c>
    </row>
    <row r="113" spans="1:6" x14ac:dyDescent="0.2">
      <c r="A113" s="1" t="s">
        <v>263</v>
      </c>
      <c r="B113" s="1" t="s">
        <v>264</v>
      </c>
      <c r="C113" s="1">
        <v>50.01</v>
      </c>
      <c r="D113" s="1">
        <v>5669.96</v>
      </c>
      <c r="E113" s="2">
        <f>LN(D113)</f>
        <v>8.6429373420231919</v>
      </c>
      <c r="F113" s="1">
        <v>52.97</v>
      </c>
    </row>
    <row r="114" spans="1:6" x14ac:dyDescent="0.2">
      <c r="A114" s="1" t="s">
        <v>129</v>
      </c>
      <c r="B114" s="1" t="s">
        <v>130</v>
      </c>
      <c r="C114" s="1">
        <v>70.53</v>
      </c>
      <c r="D114" s="1">
        <v>20403.310000000001</v>
      </c>
      <c r="E114" s="2">
        <f>LN(D114)</f>
        <v>9.9234524215723656</v>
      </c>
      <c r="F114" s="1">
        <v>72.739999999999995</v>
      </c>
    </row>
    <row r="115" spans="1:6" x14ac:dyDescent="0.2">
      <c r="A115" s="1" t="s">
        <v>7</v>
      </c>
      <c r="B115" s="1" t="s">
        <v>8</v>
      </c>
      <c r="C115" s="1">
        <v>91.95</v>
      </c>
      <c r="D115" s="1">
        <v>88711.99</v>
      </c>
      <c r="E115" s="2">
        <f>LN(D115)</f>
        <v>11.393150333908723</v>
      </c>
      <c r="F115" s="1">
        <v>90.74</v>
      </c>
    </row>
    <row r="116" spans="1:6" x14ac:dyDescent="0.2">
      <c r="A116" s="1" t="s">
        <v>119</v>
      </c>
      <c r="B116" s="1" t="s">
        <v>120</v>
      </c>
      <c r="C116" s="1">
        <v>71.22</v>
      </c>
      <c r="D116" s="1">
        <v>40114.01</v>
      </c>
      <c r="E116" s="2">
        <f>LN(D116)</f>
        <v>10.599480928835487</v>
      </c>
      <c r="F116" s="1">
        <v>67.7</v>
      </c>
    </row>
    <row r="117" spans="1:6" x14ac:dyDescent="0.2">
      <c r="A117" s="1" t="s">
        <v>269</v>
      </c>
      <c r="B117" s="1" t="s">
        <v>270</v>
      </c>
      <c r="C117" s="1">
        <v>49.34</v>
      </c>
      <c r="D117" s="1">
        <v>5706.9</v>
      </c>
      <c r="E117" s="2">
        <f>LN(D117)</f>
        <v>8.6494312480422053</v>
      </c>
      <c r="F117" s="1">
        <v>51.32</v>
      </c>
    </row>
    <row r="118" spans="1:6" x14ac:dyDescent="0.2">
      <c r="A118" s="1" t="s">
        <v>109</v>
      </c>
      <c r="B118" s="1" t="s">
        <v>110</v>
      </c>
      <c r="C118" s="1">
        <v>72.430000000000007</v>
      </c>
      <c r="D118" s="1">
        <v>33790.400000000001</v>
      </c>
      <c r="E118" s="2">
        <f>LN(D118)</f>
        <v>10.42793201746011</v>
      </c>
      <c r="F118" s="1">
        <v>74.02</v>
      </c>
    </row>
    <row r="119" spans="1:6" x14ac:dyDescent="0.2">
      <c r="A119" s="1" t="s">
        <v>293</v>
      </c>
      <c r="B119" s="1" t="s">
        <v>294</v>
      </c>
      <c r="C119" s="1">
        <v>45.67</v>
      </c>
      <c r="D119" s="1">
        <v>4141.22</v>
      </c>
      <c r="E119" s="2">
        <f>LN(D119)</f>
        <v>8.3287457093983104</v>
      </c>
      <c r="F119" s="1">
        <v>48.12</v>
      </c>
    </row>
    <row r="120" spans="1:6" x14ac:dyDescent="0.2">
      <c r="A120" s="1" t="s">
        <v>147</v>
      </c>
      <c r="B120" s="1" t="s">
        <v>148</v>
      </c>
      <c r="C120" s="1">
        <v>68.709999999999994</v>
      </c>
      <c r="D120" s="1">
        <v>15198.23</v>
      </c>
      <c r="E120" s="2">
        <f>LN(D120)</f>
        <v>9.6289342526854256</v>
      </c>
      <c r="F120" s="1">
        <v>68.959999999999994</v>
      </c>
    </row>
    <row r="121" spans="1:6" x14ac:dyDescent="0.2">
      <c r="A121" s="1" t="s">
        <v>169</v>
      </c>
      <c r="B121" s="1" t="s">
        <v>170</v>
      </c>
      <c r="C121" s="1">
        <v>67.61</v>
      </c>
      <c r="D121" s="1">
        <v>15102.57</v>
      </c>
      <c r="E121" s="2">
        <f>LN(D121)</f>
        <v>9.6226202069963609</v>
      </c>
      <c r="F121" s="1">
        <v>70.7</v>
      </c>
    </row>
    <row r="122" spans="1:6" x14ac:dyDescent="0.2">
      <c r="A122" s="1" t="s">
        <v>173</v>
      </c>
      <c r="B122" s="1" t="s">
        <v>174</v>
      </c>
      <c r="C122" s="1">
        <v>67.34</v>
      </c>
      <c r="D122" s="1">
        <v>9325.68</v>
      </c>
      <c r="E122" s="2">
        <f>LN(D122)</f>
        <v>9.1405271641053289</v>
      </c>
      <c r="F122" s="1">
        <v>67.459999999999994</v>
      </c>
    </row>
    <row r="123" spans="1:6" x14ac:dyDescent="0.2">
      <c r="A123" s="1" t="s">
        <v>67</v>
      </c>
      <c r="B123" s="1" t="s">
        <v>68</v>
      </c>
      <c r="C123" s="1">
        <v>80.59</v>
      </c>
      <c r="D123" s="1">
        <v>43661.54</v>
      </c>
      <c r="E123" s="2">
        <f>LN(D123)</f>
        <v>10.684222902042569</v>
      </c>
      <c r="F123" s="1">
        <v>80.17</v>
      </c>
    </row>
    <row r="124" spans="1:6" x14ac:dyDescent="0.2">
      <c r="A124" s="1" t="s">
        <v>51</v>
      </c>
      <c r="B124" s="1" t="s">
        <v>52</v>
      </c>
      <c r="C124" s="1">
        <v>84.63</v>
      </c>
      <c r="D124" s="1">
        <v>41240.39</v>
      </c>
      <c r="E124" s="2">
        <f>LN(D124)</f>
        <v>10.627173394924203</v>
      </c>
      <c r="F124" s="1">
        <v>84.75</v>
      </c>
    </row>
    <row r="125" spans="1:6" x14ac:dyDescent="0.2">
      <c r="A125" s="1" t="s">
        <v>101</v>
      </c>
      <c r="B125" s="1" t="s">
        <v>102</v>
      </c>
      <c r="C125" s="1">
        <v>73.19</v>
      </c>
      <c r="D125" s="1">
        <v>113157.23</v>
      </c>
      <c r="E125" s="2">
        <f>LN(D125)</f>
        <v>11.636533546501546</v>
      </c>
      <c r="F125" s="1">
        <v>66.47</v>
      </c>
    </row>
    <row r="126" spans="1:6" x14ac:dyDescent="0.2">
      <c r="A126" s="1" t="s">
        <v>313</v>
      </c>
      <c r="B126" s="1" t="s">
        <v>314</v>
      </c>
      <c r="C126" s="1">
        <v>43.11</v>
      </c>
      <c r="D126" s="1">
        <v>6272.33</v>
      </c>
      <c r="E126" s="2">
        <f>LN(D126)</f>
        <v>8.7439031754420515</v>
      </c>
      <c r="F126" s="1">
        <v>47.54</v>
      </c>
    </row>
    <row r="127" spans="1:6" x14ac:dyDescent="0.2">
      <c r="A127" s="1" t="s">
        <v>91</v>
      </c>
      <c r="B127" s="1" t="s">
        <v>92</v>
      </c>
      <c r="C127" s="1">
        <v>74.61</v>
      </c>
      <c r="D127" s="1">
        <v>39872.449999999997</v>
      </c>
      <c r="E127" s="2">
        <f>LN(D127)</f>
        <v>10.593440888199007</v>
      </c>
      <c r="F127" s="1">
        <v>76.89</v>
      </c>
    </row>
    <row r="128" spans="1:6" x14ac:dyDescent="0.2">
      <c r="A128" s="1" t="s">
        <v>155</v>
      </c>
      <c r="B128" s="1" t="s">
        <v>156</v>
      </c>
      <c r="C128" s="1">
        <v>68.290000000000006</v>
      </c>
      <c r="D128" s="1">
        <v>38128.69</v>
      </c>
      <c r="E128" s="2">
        <f>LN(D128)</f>
        <v>10.548722296111411</v>
      </c>
      <c r="F128" s="1">
        <v>71.989999999999995</v>
      </c>
    </row>
    <row r="129" spans="1:6" x14ac:dyDescent="0.2">
      <c r="A129" s="1" t="s">
        <v>267</v>
      </c>
      <c r="B129" s="1" t="s">
        <v>268</v>
      </c>
      <c r="C129" s="1">
        <v>49.83</v>
      </c>
      <c r="D129" s="1">
        <v>2859.77</v>
      </c>
      <c r="E129" s="2">
        <f>LN(D129)</f>
        <v>7.958496480999651</v>
      </c>
      <c r="F129" s="1">
        <v>52.18</v>
      </c>
    </row>
    <row r="130" spans="1:6" x14ac:dyDescent="0.2">
      <c r="A130" s="1" t="s">
        <v>223</v>
      </c>
      <c r="B130" s="1" t="s">
        <v>224</v>
      </c>
      <c r="C130" s="1">
        <v>58.24</v>
      </c>
      <c r="D130" s="1">
        <v>5599.72</v>
      </c>
      <c r="E130" s="2">
        <f>LN(D130)</f>
        <v>8.6304718754731997</v>
      </c>
      <c r="F130" s="1">
        <v>62.49</v>
      </c>
    </row>
    <row r="131" spans="1:6" x14ac:dyDescent="0.2">
      <c r="A131" s="1" t="s">
        <v>159</v>
      </c>
      <c r="B131" s="1" t="s">
        <v>160</v>
      </c>
      <c r="C131" s="1">
        <v>68.14</v>
      </c>
      <c r="D131" s="1">
        <v>51246.400000000001</v>
      </c>
      <c r="E131" s="2">
        <f>LN(D131)</f>
        <v>10.844400650630996</v>
      </c>
      <c r="F131" s="1">
        <v>63.89</v>
      </c>
    </row>
    <row r="132" spans="1:6" x14ac:dyDescent="0.2">
      <c r="A132" s="1" t="s">
        <v>245</v>
      </c>
      <c r="B132" s="1" t="s">
        <v>246</v>
      </c>
      <c r="C132" s="1">
        <v>54.23</v>
      </c>
      <c r="D132" s="1">
        <v>4330.6499999999996</v>
      </c>
      <c r="E132" s="2">
        <f>LN(D132)</f>
        <v>8.3734729252037763</v>
      </c>
      <c r="F132" s="1">
        <v>57.7</v>
      </c>
    </row>
    <row r="133" spans="1:6" x14ac:dyDescent="0.2">
      <c r="A133" s="1" t="s">
        <v>97</v>
      </c>
      <c r="B133" s="1" t="s">
        <v>98</v>
      </c>
      <c r="C133" s="1">
        <v>74.17</v>
      </c>
      <c r="D133" s="1">
        <v>23741.21</v>
      </c>
      <c r="E133" s="2">
        <f>LN(D133)</f>
        <v>10.074967635693772</v>
      </c>
      <c r="F133" s="1">
        <v>75.8</v>
      </c>
    </row>
    <row r="134" spans="1:6" x14ac:dyDescent="0.2">
      <c r="A134" s="1" t="s">
        <v>311</v>
      </c>
      <c r="B134" s="1" t="s">
        <v>312</v>
      </c>
      <c r="C134" s="1">
        <v>43.5</v>
      </c>
      <c r="D134" s="1">
        <v>1643.99</v>
      </c>
      <c r="E134" s="2">
        <f>LN(D134)</f>
        <v>7.4048814928725646</v>
      </c>
      <c r="F134" s="1">
        <v>50.48</v>
      </c>
    </row>
    <row r="135" spans="1:6" x14ac:dyDescent="0.2">
      <c r="A135" s="1" t="s">
        <v>33</v>
      </c>
      <c r="B135" s="1" t="s">
        <v>34</v>
      </c>
      <c r="C135" s="1">
        <v>86.73</v>
      </c>
      <c r="D135" s="1">
        <v>129038.47</v>
      </c>
      <c r="E135" s="2">
        <f>LN(D135)</f>
        <v>11.767865855940206</v>
      </c>
      <c r="F135" s="1">
        <v>83.76</v>
      </c>
    </row>
    <row r="136" spans="1:6" x14ac:dyDescent="0.2">
      <c r="A136" s="1" t="s">
        <v>69</v>
      </c>
      <c r="B136" s="1" t="s">
        <v>70</v>
      </c>
      <c r="C136" s="1">
        <v>80.36</v>
      </c>
      <c r="D136" s="1">
        <v>38566.29</v>
      </c>
      <c r="E136" s="2">
        <f>LN(D136)</f>
        <v>10.560133857828108</v>
      </c>
      <c r="F136" s="1">
        <v>81.290000000000006</v>
      </c>
    </row>
    <row r="137" spans="1:6" x14ac:dyDescent="0.2">
      <c r="A137" s="1" t="s">
        <v>37</v>
      </c>
      <c r="B137" s="1" t="s">
        <v>38</v>
      </c>
      <c r="C137" s="1">
        <v>86.09</v>
      </c>
      <c r="D137" s="1">
        <v>47558.27</v>
      </c>
      <c r="E137" s="2">
        <f>LN(D137)</f>
        <v>10.769710975037997</v>
      </c>
      <c r="F137" s="1">
        <v>84.19</v>
      </c>
    </row>
    <row r="138" spans="1:6" x14ac:dyDescent="0.2">
      <c r="A138" s="1" t="s">
        <v>249</v>
      </c>
      <c r="B138" s="1" t="s">
        <v>250</v>
      </c>
      <c r="C138" s="1">
        <v>52.7</v>
      </c>
      <c r="D138" s="1">
        <v>2480.34</v>
      </c>
      <c r="E138" s="2">
        <f>LN(D138)</f>
        <v>7.8161509265363174</v>
      </c>
      <c r="F138" s="1">
        <v>52.4</v>
      </c>
    </row>
    <row r="139" spans="1:6" x14ac:dyDescent="0.2">
      <c r="A139" s="1" t="s">
        <v>327</v>
      </c>
      <c r="B139" s="1" t="s">
        <v>328</v>
      </c>
      <c r="C139" s="1">
        <v>38.57</v>
      </c>
      <c r="D139" s="1">
        <v>1452.27</v>
      </c>
      <c r="E139" s="2">
        <f>LN(D139)</f>
        <v>7.2808831285113298</v>
      </c>
      <c r="F139" s="1">
        <v>35.85</v>
      </c>
    </row>
    <row r="140" spans="1:6" x14ac:dyDescent="0.2">
      <c r="A140" s="1" t="s">
        <v>177</v>
      </c>
      <c r="B140" s="1" t="s">
        <v>178</v>
      </c>
      <c r="C140" s="1">
        <v>66.709999999999994</v>
      </c>
      <c r="D140" s="1">
        <v>14322.33</v>
      </c>
      <c r="E140" s="2">
        <f>LN(D140)</f>
        <v>9.5695751367760895</v>
      </c>
      <c r="F140" s="1">
        <v>69.95</v>
      </c>
    </row>
    <row r="141" spans="1:6" x14ac:dyDescent="0.2">
      <c r="A141" s="1" t="s">
        <v>341</v>
      </c>
      <c r="B141" s="1" t="s">
        <v>342</v>
      </c>
      <c r="C141" s="2">
        <v>85.22</v>
      </c>
      <c r="D141" s="1">
        <v>34640</v>
      </c>
      <c r="E141" s="2">
        <f>LN(D141)</f>
        <v>10.452764362676371</v>
      </c>
      <c r="F141" s="1">
        <v>86.47</v>
      </c>
    </row>
    <row r="142" spans="1:6" x14ac:dyDescent="0.2">
      <c r="A142" s="1" t="s">
        <v>339</v>
      </c>
      <c r="B142" s="1" t="s">
        <v>340</v>
      </c>
      <c r="C142" s="1">
        <v>26.5</v>
      </c>
      <c r="D142" s="1">
        <v>251.5</v>
      </c>
      <c r="E142" s="2">
        <f>LN(D142)</f>
        <v>5.5274429895397938</v>
      </c>
      <c r="F142" s="1">
        <v>30.65</v>
      </c>
    </row>
    <row r="143" spans="1:6" x14ac:dyDescent="0.2">
      <c r="A143" s="1" t="s">
        <v>45</v>
      </c>
      <c r="B143" s="1" t="s">
        <v>46</v>
      </c>
      <c r="C143" s="1">
        <v>85.58</v>
      </c>
      <c r="D143" s="1">
        <v>45787.7</v>
      </c>
      <c r="E143" s="2">
        <f>LN(D143)</f>
        <v>10.731770775081898</v>
      </c>
      <c r="F143" s="1">
        <v>85.35</v>
      </c>
    </row>
    <row r="144" spans="1:6" x14ac:dyDescent="0.2">
      <c r="A144" s="1" t="s">
        <v>181</v>
      </c>
      <c r="B144" s="1" t="s">
        <v>182</v>
      </c>
      <c r="C144" s="1">
        <v>66.39</v>
      </c>
      <c r="D144" s="1">
        <v>13172.06</v>
      </c>
      <c r="E144" s="2">
        <f>LN(D144)</f>
        <v>9.4858531986027952</v>
      </c>
      <c r="F144" s="1">
        <v>69.22</v>
      </c>
    </row>
    <row r="145" spans="1:6" x14ac:dyDescent="0.2">
      <c r="A145" s="1" t="s">
        <v>309</v>
      </c>
      <c r="B145" s="1" t="s">
        <v>310</v>
      </c>
      <c r="C145" s="1">
        <v>43.68</v>
      </c>
      <c r="D145" s="1">
        <v>3299.88</v>
      </c>
      <c r="E145" s="2">
        <f>LN(D145)</f>
        <v>8.1016413831570357</v>
      </c>
      <c r="F145" s="1">
        <v>45.41</v>
      </c>
    </row>
    <row r="146" spans="1:6" x14ac:dyDescent="0.2">
      <c r="A146" s="1" t="s">
        <v>183</v>
      </c>
      <c r="B146" s="1" t="s">
        <v>184</v>
      </c>
      <c r="C146" s="1">
        <v>66.03</v>
      </c>
      <c r="D146" s="1">
        <v>18741.740000000002</v>
      </c>
      <c r="E146" s="2">
        <f>LN(D146)</f>
        <v>9.8385084010019082</v>
      </c>
      <c r="F146" s="1">
        <v>71.22</v>
      </c>
    </row>
    <row r="147" spans="1:6" x14ac:dyDescent="0.2">
      <c r="A147" s="1" t="s">
        <v>11</v>
      </c>
      <c r="B147" s="1" t="s">
        <v>12</v>
      </c>
      <c r="C147" s="1">
        <v>90.75</v>
      </c>
      <c r="D147" s="1">
        <v>64778.01</v>
      </c>
      <c r="E147" s="2">
        <f>LN(D147)</f>
        <v>11.078721472895644</v>
      </c>
      <c r="F147" s="1">
        <v>89.42</v>
      </c>
    </row>
    <row r="148" spans="1:6" x14ac:dyDescent="0.2">
      <c r="A148" s="1" t="s">
        <v>13</v>
      </c>
      <c r="B148" s="1" t="s">
        <v>14</v>
      </c>
      <c r="C148" s="1">
        <v>90.44</v>
      </c>
      <c r="D148" s="1">
        <v>83019.839999999997</v>
      </c>
      <c r="E148" s="2">
        <f>LN(D148)</f>
        <v>11.326834894358726</v>
      </c>
      <c r="F148" s="1">
        <v>90.26</v>
      </c>
    </row>
    <row r="149" spans="1:6" x14ac:dyDescent="0.2">
      <c r="A149" s="1" t="s">
        <v>281</v>
      </c>
      <c r="B149" s="1" t="s">
        <v>282</v>
      </c>
      <c r="C149" s="1">
        <v>47.49</v>
      </c>
      <c r="D149" s="1">
        <v>2914.53</v>
      </c>
      <c r="E149" s="2">
        <f>LN(D149)</f>
        <v>7.9774638507934101</v>
      </c>
      <c r="F149" s="1">
        <v>51.98</v>
      </c>
    </row>
    <row r="150" spans="1:6" x14ac:dyDescent="0.2">
      <c r="A150" s="1" t="s">
        <v>225</v>
      </c>
      <c r="B150" s="1" t="s">
        <v>226</v>
      </c>
      <c r="C150" s="1">
        <v>58.15</v>
      </c>
      <c r="D150" s="1">
        <v>4310.8900000000003</v>
      </c>
      <c r="E150" s="2">
        <f>LN(D150)</f>
        <v>8.3688996583000428</v>
      </c>
      <c r="F150" s="1">
        <v>56.05</v>
      </c>
    </row>
    <row r="151" spans="1:6" x14ac:dyDescent="0.2">
      <c r="A151" s="1" t="s">
        <v>251</v>
      </c>
      <c r="B151" s="1" t="s">
        <v>252</v>
      </c>
      <c r="C151" s="1">
        <v>52.56</v>
      </c>
      <c r="D151" s="1">
        <v>3504.15</v>
      </c>
      <c r="E151" s="2">
        <f>LN(D151)</f>
        <v>8.1617032593592143</v>
      </c>
      <c r="F151" s="1">
        <v>54.87</v>
      </c>
    </row>
    <row r="152" spans="1:6" x14ac:dyDescent="0.2">
      <c r="A152" s="1" t="s">
        <v>125</v>
      </c>
      <c r="B152" s="1" t="s">
        <v>126</v>
      </c>
      <c r="C152" s="1">
        <v>70.97</v>
      </c>
      <c r="D152" s="1">
        <v>20751.66</v>
      </c>
      <c r="E152" s="2">
        <f>LN(D152)</f>
        <v>9.9403815224590151</v>
      </c>
      <c r="F152" s="1">
        <v>69.8</v>
      </c>
    </row>
    <row r="153" spans="1:6" x14ac:dyDescent="0.2">
      <c r="A153" s="1" t="s">
        <v>233</v>
      </c>
      <c r="B153" s="1" t="s">
        <v>234</v>
      </c>
      <c r="C153" s="1">
        <v>57.4</v>
      </c>
      <c r="D153" s="1">
        <v>5454.21</v>
      </c>
      <c r="E153" s="2">
        <f>LN(D153)</f>
        <v>8.6041430665146645</v>
      </c>
      <c r="F153" s="1">
        <v>58.92</v>
      </c>
    </row>
    <row r="154" spans="1:6" x14ac:dyDescent="0.2">
      <c r="A154" s="1" t="s">
        <v>275</v>
      </c>
      <c r="B154" s="1" t="s">
        <v>276</v>
      </c>
      <c r="C154" s="1">
        <v>48.37</v>
      </c>
      <c r="D154" s="1">
        <v>2769.18</v>
      </c>
      <c r="E154" s="2">
        <f>LN(D154)</f>
        <v>7.9263065264753196</v>
      </c>
      <c r="F154" s="1">
        <v>51.58</v>
      </c>
    </row>
    <row r="155" spans="1:6" x14ac:dyDescent="0.2">
      <c r="A155" s="1" t="s">
        <v>131</v>
      </c>
      <c r="B155" s="1" t="s">
        <v>132</v>
      </c>
      <c r="C155" s="1">
        <v>70.47</v>
      </c>
      <c r="D155" s="1">
        <v>27942.69</v>
      </c>
      <c r="E155" s="2">
        <f>LN(D155)</f>
        <v>10.237910905914559</v>
      </c>
      <c r="F155" s="1">
        <v>75.58</v>
      </c>
    </row>
    <row r="156" spans="1:6" x14ac:dyDescent="0.2">
      <c r="A156" s="1" t="s">
        <v>185</v>
      </c>
      <c r="B156" s="1" t="s">
        <v>186</v>
      </c>
      <c r="C156" s="1">
        <v>65.98</v>
      </c>
      <c r="D156" s="1">
        <v>12328.55</v>
      </c>
      <c r="E156" s="2">
        <f>LN(D156)</f>
        <v>9.4196729898918683</v>
      </c>
      <c r="F156" s="1">
        <v>69.77</v>
      </c>
    </row>
    <row r="157" spans="1:6" x14ac:dyDescent="0.2">
      <c r="A157" s="1" t="s">
        <v>167</v>
      </c>
      <c r="B157" s="1" t="s">
        <v>168</v>
      </c>
      <c r="C157" s="1">
        <v>67.66</v>
      </c>
      <c r="D157" s="1">
        <v>33061.06</v>
      </c>
      <c r="E157" s="2">
        <f>LN(D157)</f>
        <v>10.406111433776921</v>
      </c>
      <c r="F157" s="1">
        <v>66.59</v>
      </c>
    </row>
    <row r="158" spans="1:6" x14ac:dyDescent="0.2">
      <c r="A158" s="1" t="s">
        <v>207</v>
      </c>
      <c r="B158" s="1" t="s">
        <v>208</v>
      </c>
      <c r="C158" s="1">
        <v>60.63</v>
      </c>
      <c r="D158" s="1">
        <v>13340</v>
      </c>
      <c r="E158" s="2">
        <f>LN(D158)</f>
        <v>9.4985223194696147</v>
      </c>
      <c r="F158" s="1">
        <v>56.75</v>
      </c>
    </row>
    <row r="159" spans="1:6" x14ac:dyDescent="0.2">
      <c r="A159" s="1" t="s">
        <v>287</v>
      </c>
      <c r="B159" s="1" t="s">
        <v>288</v>
      </c>
      <c r="C159" s="1">
        <v>46.92</v>
      </c>
      <c r="D159" s="1">
        <v>2728.55</v>
      </c>
      <c r="E159" s="2">
        <f>LN(D159)</f>
        <v>7.9115256115454287</v>
      </c>
      <c r="F159" s="1">
        <v>49.34</v>
      </c>
    </row>
    <row r="160" spans="1:6" x14ac:dyDescent="0.2">
      <c r="A160" s="1" t="s">
        <v>127</v>
      </c>
      <c r="B160" s="1" t="s">
        <v>128</v>
      </c>
      <c r="C160" s="1">
        <v>70.92</v>
      </c>
      <c r="D160" s="1">
        <v>14950.5</v>
      </c>
      <c r="E160" s="2">
        <f>LN(D160)</f>
        <v>9.6125000230756203</v>
      </c>
      <c r="F160" s="1">
        <v>74.17</v>
      </c>
    </row>
    <row r="161" spans="1:6" x14ac:dyDescent="0.2">
      <c r="A161" s="1" t="s">
        <v>99</v>
      </c>
      <c r="B161" s="1" t="s">
        <v>100</v>
      </c>
      <c r="C161" s="1">
        <v>74.040000000000006</v>
      </c>
      <c r="D161" s="1">
        <v>73724.31</v>
      </c>
      <c r="E161" s="2">
        <f>LN(D161)</f>
        <v>11.208087874534899</v>
      </c>
      <c r="F161" s="1">
        <v>70.7</v>
      </c>
    </row>
    <row r="162" spans="1:6" x14ac:dyDescent="0.2">
      <c r="A162" s="1" t="s">
        <v>43</v>
      </c>
      <c r="B162" s="1" t="s">
        <v>44</v>
      </c>
      <c r="C162" s="1">
        <v>85.76</v>
      </c>
      <c r="D162" s="1">
        <v>55183.63</v>
      </c>
      <c r="E162" s="2">
        <f>LN(D162)</f>
        <v>10.918421630312162</v>
      </c>
      <c r="F162" s="1">
        <v>86.13</v>
      </c>
    </row>
    <row r="163" spans="1:6" x14ac:dyDescent="0.2">
      <c r="A163" s="1" t="s">
        <v>63</v>
      </c>
      <c r="B163" s="1" t="s">
        <v>64</v>
      </c>
      <c r="C163" s="1">
        <v>81.650000000000006</v>
      </c>
      <c r="D163" s="1">
        <v>71308.92</v>
      </c>
      <c r="E163" s="2">
        <f>LN(D163)</f>
        <v>11.174776703766726</v>
      </c>
      <c r="F163" s="1">
        <v>84.65</v>
      </c>
    </row>
    <row r="164" spans="1:6" x14ac:dyDescent="0.2">
      <c r="A164" s="1" t="s">
        <v>77</v>
      </c>
      <c r="B164" s="1" t="s">
        <v>78</v>
      </c>
      <c r="C164" s="1">
        <v>79.260000000000005</v>
      </c>
      <c r="D164" s="1">
        <v>30983.69</v>
      </c>
      <c r="E164" s="2">
        <f>LN(D164)</f>
        <v>10.34121621598058</v>
      </c>
      <c r="F164" s="1">
        <v>80.27</v>
      </c>
    </row>
    <row r="165" spans="1:6" x14ac:dyDescent="0.2">
      <c r="A165" s="1" t="s">
        <v>153</v>
      </c>
      <c r="B165" s="1" t="s">
        <v>154</v>
      </c>
      <c r="C165" s="1">
        <v>68.459999999999994</v>
      </c>
      <c r="D165" s="1">
        <v>8447.5499999999993</v>
      </c>
      <c r="E165" s="2">
        <f>LN(D165)</f>
        <v>9.0416317374818487</v>
      </c>
      <c r="F165" s="1">
        <v>66.12</v>
      </c>
    </row>
    <row r="166" spans="1:6" x14ac:dyDescent="0.2">
      <c r="A166" s="1" t="s">
        <v>219</v>
      </c>
      <c r="B166" s="1" t="s">
        <v>220</v>
      </c>
      <c r="C166" s="1">
        <v>58.33</v>
      </c>
      <c r="D166" s="1"/>
      <c r="F166" s="1">
        <v>58.62</v>
      </c>
    </row>
    <row r="167" spans="1:6" x14ac:dyDescent="0.2">
      <c r="A167" s="1" t="s">
        <v>123</v>
      </c>
      <c r="B167" s="1" t="s">
        <v>124</v>
      </c>
      <c r="C167" s="1">
        <v>70.98</v>
      </c>
      <c r="D167" s="1">
        <v>13102.32</v>
      </c>
      <c r="E167" s="2">
        <f>LN(D167)</f>
        <v>9.480544592745666</v>
      </c>
      <c r="F167" s="1">
        <v>68.180000000000007</v>
      </c>
    </row>
    <row r="168" spans="1:6" x14ac:dyDescent="0.2">
      <c r="A168" s="1" t="s">
        <v>317</v>
      </c>
      <c r="B168" s="1" t="s">
        <v>318</v>
      </c>
      <c r="C168" s="1">
        <v>41.2</v>
      </c>
      <c r="D168" s="1">
        <v>416.6</v>
      </c>
      <c r="E168" s="2">
        <f>LN(D168)</f>
        <v>6.0321265288268719</v>
      </c>
      <c r="F168" s="1">
        <v>39.08</v>
      </c>
    </row>
    <row r="169" spans="1:6" x14ac:dyDescent="0.2">
      <c r="A169" s="1" t="s">
        <v>257</v>
      </c>
      <c r="B169" s="1" t="s">
        <v>258</v>
      </c>
      <c r="C169" s="1">
        <v>50.59</v>
      </c>
      <c r="D169" s="1">
        <v>3610.67</v>
      </c>
      <c r="E169" s="2">
        <f>LN(D169)</f>
        <v>8.1916486296740665</v>
      </c>
      <c r="F169" s="1">
        <v>52.07</v>
      </c>
    </row>
    <row r="170" spans="1:6" x14ac:dyDescent="0.2">
      <c r="A170" s="1" t="s">
        <v>283</v>
      </c>
      <c r="B170" s="1" t="s">
        <v>284</v>
      </c>
      <c r="C170" s="1">
        <v>47.27</v>
      </c>
      <c r="D170" s="1">
        <v>3420.03</v>
      </c>
      <c r="E170" s="2">
        <f>LN(D170)</f>
        <v>8.1374046019480026</v>
      </c>
      <c r="F170" s="1">
        <v>52.17</v>
      </c>
    </row>
  </sheetData>
  <sortState xmlns:xlrd2="http://schemas.microsoft.com/office/spreadsheetml/2017/richdata2" ref="A2:F173">
    <sortCondition ref="B151:B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Fang</dc:creator>
  <cp:lastModifiedBy>William Fang</cp:lastModifiedBy>
  <dcterms:created xsi:type="dcterms:W3CDTF">2025-08-29T06:40:15Z</dcterms:created>
  <dcterms:modified xsi:type="dcterms:W3CDTF">2025-08-30T12:57:31Z</dcterms:modified>
</cp:coreProperties>
</file>