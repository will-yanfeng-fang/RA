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worksheets/sheet3.xml" ContentType="application/vnd.openxmlformats-officedocument.spreadsheetml.worksheet+xml"/>
  <Override PartName="/xl/chartsheets/sheet6.xml" ContentType="application/vnd.openxmlformats-officedocument.spreadsheetml.chart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1"/>
  <workbookPr autoCompressPictures="0"/>
  <mc:AlternateContent xmlns:mc="http://schemas.openxmlformats.org/markup-compatibility/2006">
    <mc:Choice Requires="x15">
      <x15ac:absPath xmlns:x15ac="http://schemas.microsoft.com/office/spreadsheetml/2010/11/ac" url="/Users/fangxiaoling/Documents/Nathan Nunn RA/beyond GDP/GPI/"/>
    </mc:Choice>
  </mc:AlternateContent>
  <xr:revisionPtr revIDLastSave="0" documentId="13_ncr:1_{83E63EC3-3B04-4F4D-93EE-398549562EEC}" xr6:coauthVersionLast="47" xr6:coauthVersionMax="47" xr10:uidLastSave="{00000000-0000-0000-0000-000000000000}"/>
  <bookViews>
    <workbookView xWindow="1920" yWindow="500" windowWidth="23680" windowHeight="15460" tabRatio="661" xr2:uid="{00000000-000D-0000-FFFF-FFFF00000000}"/>
  </bookViews>
  <sheets>
    <sheet name="Australia" sheetId="1" r:id="rId1"/>
    <sheet name="Sensitivity" sheetId="12" r:id="rId2"/>
    <sheet name="GPIcapita" sheetId="4" r:id="rId3"/>
    <sheet name="GPI Chart" sheetId="5" r:id="rId4"/>
    <sheet name="Elements" sheetId="6" r:id="rId5"/>
    <sheet name="% Change" sheetId="7" r:id="rId6"/>
    <sheet name="GPIGDPPCAPC" sheetId="8" r:id="rId7"/>
    <sheet name="Lawn comparison" sheetId="9" r:id="rId8"/>
    <sheet name="Lawn comp" sheetId="10" r:id="rId9"/>
    <sheet name="Economic Indicators per capita" sheetId="1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R10" i="12" l="1"/>
  <c r="R9" i="12"/>
  <c r="R7" i="12"/>
  <c r="R6" i="12"/>
  <c r="R19" i="12"/>
  <c r="R18" i="12"/>
  <c r="R16" i="12"/>
  <c r="R15" i="12"/>
  <c r="R28" i="12"/>
  <c r="R27" i="12"/>
  <c r="R25" i="12"/>
  <c r="R24" i="12"/>
  <c r="R59" i="12"/>
  <c r="R58" i="12"/>
  <c r="R56" i="12"/>
  <c r="R68" i="12"/>
  <c r="R67" i="12"/>
  <c r="R65" i="12"/>
  <c r="M68" i="12"/>
  <c r="M67" i="12"/>
  <c r="M65" i="12"/>
  <c r="M59" i="12"/>
  <c r="M58" i="12"/>
  <c r="M56" i="12"/>
  <c r="M28" i="12"/>
  <c r="M27" i="12"/>
  <c r="M25" i="12"/>
  <c r="M24" i="12"/>
  <c r="M19" i="12"/>
  <c r="M18" i="12"/>
  <c r="M16" i="12"/>
  <c r="M15" i="12"/>
  <c r="M7" i="12"/>
  <c r="M6" i="12"/>
  <c r="E3" i="12"/>
  <c r="E49" i="12" s="1"/>
  <c r="T68" i="12"/>
  <c r="T67" i="12"/>
  <c r="T65" i="12"/>
  <c r="T64" i="12"/>
  <c r="T59" i="12"/>
  <c r="T58" i="12"/>
  <c r="T56" i="12"/>
  <c r="T55" i="12"/>
  <c r="T28" i="12"/>
  <c r="T27" i="12"/>
  <c r="T25" i="12"/>
  <c r="T24" i="12"/>
  <c r="T19" i="12"/>
  <c r="T18" i="12"/>
  <c r="T16" i="12"/>
  <c r="T15" i="12"/>
  <c r="T10" i="12"/>
  <c r="T9" i="12"/>
  <c r="T7" i="12"/>
  <c r="T6" i="12"/>
  <c r="D3" i="12"/>
  <c r="N14" i="12" s="1"/>
  <c r="O68" i="12"/>
  <c r="O67" i="12"/>
  <c r="O65" i="12"/>
  <c r="O64" i="12"/>
  <c r="O59" i="12"/>
  <c r="O58" i="12"/>
  <c r="O56" i="12"/>
  <c r="O55" i="12"/>
  <c r="O28" i="12"/>
  <c r="O27" i="12"/>
  <c r="O25" i="12"/>
  <c r="O24" i="12"/>
  <c r="O19" i="12"/>
  <c r="O18" i="12"/>
  <c r="O16" i="12"/>
  <c r="O15" i="12"/>
  <c r="O10" i="12"/>
  <c r="M10" i="12"/>
  <c r="O9" i="12"/>
  <c r="M9" i="12"/>
  <c r="O7" i="12"/>
  <c r="O6" i="12"/>
  <c r="J55" i="12"/>
  <c r="J68" i="12"/>
  <c r="J67" i="12"/>
  <c r="J65" i="12"/>
  <c r="J64" i="12"/>
  <c r="J59" i="12"/>
  <c r="J58" i="12"/>
  <c r="J56" i="12"/>
  <c r="C3" i="12"/>
  <c r="I14" i="12" s="1"/>
  <c r="J28" i="12"/>
  <c r="J27" i="12"/>
  <c r="J25" i="12"/>
  <c r="J24" i="12"/>
  <c r="J19" i="12"/>
  <c r="J18" i="12"/>
  <c r="J16" i="12"/>
  <c r="J15" i="12"/>
  <c r="J10" i="12"/>
  <c r="J6" i="12"/>
  <c r="J7" i="12"/>
  <c r="J9" i="12"/>
  <c r="H10" i="12"/>
  <c r="H9" i="12"/>
  <c r="H7" i="12"/>
  <c r="H6" i="12"/>
  <c r="E51" i="12"/>
  <c r="E50" i="12"/>
  <c r="E41" i="12"/>
  <c r="E31" i="12"/>
  <c r="E32" i="12" s="1"/>
  <c r="E33" i="12"/>
  <c r="E34" i="12" s="1"/>
  <c r="E35" i="12"/>
  <c r="E36" i="12" s="1"/>
  <c r="AE35" i="1"/>
  <c r="Q35" i="1"/>
  <c r="H76" i="1" s="1"/>
  <c r="AT35" i="1"/>
  <c r="H77" i="1" s="1"/>
  <c r="AF35" i="1"/>
  <c r="BB35" i="1"/>
  <c r="H84" i="1" s="1"/>
  <c r="AU35" i="1"/>
  <c r="H78" i="1"/>
  <c r="P35" i="1"/>
  <c r="C35" i="1"/>
  <c r="BB33" i="1"/>
  <c r="AU33" i="1"/>
  <c r="G78" i="1"/>
  <c r="AT33" i="1"/>
  <c r="AF33" i="1"/>
  <c r="AG34" i="1" s="1"/>
  <c r="G77" i="1"/>
  <c r="AE33" i="1"/>
  <c r="G76" i="1" s="1"/>
  <c r="Q33" i="1"/>
  <c r="Q37" i="1" s="1"/>
  <c r="P33" i="1"/>
  <c r="C33" i="1"/>
  <c r="G75" i="1" s="1"/>
  <c r="BB31" i="1"/>
  <c r="BB72" i="11" s="1"/>
  <c r="AU31" i="1"/>
  <c r="AT31" i="1"/>
  <c r="F77" i="1" s="1"/>
  <c r="AF31" i="1"/>
  <c r="AE31" i="1"/>
  <c r="F82" i="1" s="1"/>
  <c r="Q31" i="1"/>
  <c r="F76" i="1"/>
  <c r="P31" i="1"/>
  <c r="C31" i="1"/>
  <c r="C37" i="1" s="1"/>
  <c r="BB3" i="1"/>
  <c r="AU3" i="1"/>
  <c r="E78" i="1"/>
  <c r="AT3" i="1"/>
  <c r="AF3" i="1"/>
  <c r="E77" i="1"/>
  <c r="AE3" i="1"/>
  <c r="E76" i="1" s="1"/>
  <c r="Q3" i="1"/>
  <c r="Q44" i="1" s="1"/>
  <c r="P3" i="1"/>
  <c r="C3" i="1"/>
  <c r="E75" i="1" s="1"/>
  <c r="D78" i="1"/>
  <c r="D77" i="1"/>
  <c r="D76" i="1"/>
  <c r="D75" i="1"/>
  <c r="AY56" i="1"/>
  <c r="AP56" i="1"/>
  <c r="AO56" i="1"/>
  <c r="AF56" i="1"/>
  <c r="AE56" i="1"/>
  <c r="V56" i="1"/>
  <c r="U56" i="1"/>
  <c r="L56" i="1"/>
  <c r="AP35" i="1"/>
  <c r="AO35" i="1"/>
  <c r="V35" i="1"/>
  <c r="H82" i="1"/>
  <c r="U35" i="1"/>
  <c r="H81" i="1" s="1"/>
  <c r="L35" i="1"/>
  <c r="K35" i="1"/>
  <c r="H80" i="1"/>
  <c r="V33" i="1"/>
  <c r="G82" i="1"/>
  <c r="AP33" i="1"/>
  <c r="G84" i="1"/>
  <c r="AO33" i="1"/>
  <c r="U33" i="1"/>
  <c r="L33" i="1"/>
  <c r="K33" i="1"/>
  <c r="G80" i="1" s="1"/>
  <c r="AP31" i="1"/>
  <c r="AP37" i="1" s="1"/>
  <c r="V31" i="1"/>
  <c r="U31" i="1"/>
  <c r="V32" i="1" s="1"/>
  <c r="L31" i="1"/>
  <c r="F81" i="1"/>
  <c r="K31" i="1"/>
  <c r="F80" i="1" s="1"/>
  <c r="AP3" i="1"/>
  <c r="AO3" i="1"/>
  <c r="D84" i="1"/>
  <c r="F83" i="1"/>
  <c r="D83" i="1"/>
  <c r="D82" i="1"/>
  <c r="V3" i="1"/>
  <c r="U3" i="1"/>
  <c r="L3" i="1"/>
  <c r="M42" i="1" s="1"/>
  <c r="K3" i="1"/>
  <c r="K49" i="1" s="1"/>
  <c r="E80" i="1"/>
  <c r="D81" i="1"/>
  <c r="D80" i="1"/>
  <c r="BA31" i="1"/>
  <c r="BA72" i="11"/>
  <c r="AZ31" i="1"/>
  <c r="AZ72" i="11"/>
  <c r="AY31" i="1"/>
  <c r="AY72" i="11"/>
  <c r="AX31" i="1"/>
  <c r="AX72" i="11" s="1"/>
  <c r="AW31" i="1"/>
  <c r="AW72" i="11"/>
  <c r="AV31" i="1"/>
  <c r="AV72" i="11"/>
  <c r="AU72" i="11"/>
  <c r="AT72" i="11"/>
  <c r="AS31" i="1"/>
  <c r="AS72" i="11" s="1"/>
  <c r="AR31" i="1"/>
  <c r="AR72" i="11"/>
  <c r="AQ31" i="1"/>
  <c r="AQ72" i="11"/>
  <c r="AP72" i="11"/>
  <c r="AO31" i="1"/>
  <c r="AO37" i="1" s="1"/>
  <c r="AO38" i="1" s="1"/>
  <c r="AN31" i="1"/>
  <c r="AN72" i="11" s="1"/>
  <c r="AM31" i="1"/>
  <c r="AM32" i="1" s="1"/>
  <c r="AL31" i="1"/>
  <c r="AL72" i="11"/>
  <c r="AK31" i="1"/>
  <c r="AK72" i="11" s="1"/>
  <c r="AJ31" i="1"/>
  <c r="AJ72" i="11" s="1"/>
  <c r="AI31" i="1"/>
  <c r="AI72" i="11" s="1"/>
  <c r="AH31" i="1"/>
  <c r="AH72" i="11"/>
  <c r="AG31" i="1"/>
  <c r="AG72" i="11"/>
  <c r="AF72" i="11"/>
  <c r="AD31" i="1"/>
  <c r="AE32" i="1" s="1"/>
  <c r="AC31" i="1"/>
  <c r="AC37" i="1" s="1"/>
  <c r="AB31" i="1"/>
  <c r="AB72" i="11"/>
  <c r="AA31" i="1"/>
  <c r="AA72" i="11" s="1"/>
  <c r="Z31" i="1"/>
  <c r="Z72" i="11" s="1"/>
  <c r="Y31" i="1"/>
  <c r="Y72" i="11" s="1"/>
  <c r="X31" i="1"/>
  <c r="X72" i="11" s="1"/>
  <c r="W31" i="1"/>
  <c r="W72" i="11" s="1"/>
  <c r="V72" i="11"/>
  <c r="T31" i="1"/>
  <c r="T72" i="11"/>
  <c r="S31" i="1"/>
  <c r="S72" i="11"/>
  <c r="R31" i="1"/>
  <c r="R72" i="11" s="1"/>
  <c r="Q72" i="11"/>
  <c r="O31" i="1"/>
  <c r="O32" i="1" s="1"/>
  <c r="O72" i="11"/>
  <c r="N31" i="1"/>
  <c r="N72" i="11"/>
  <c r="M31" i="1"/>
  <c r="M72" i="11" s="1"/>
  <c r="L72" i="11"/>
  <c r="J31" i="1"/>
  <c r="K32" i="1" s="1"/>
  <c r="I31" i="1"/>
  <c r="I72" i="11"/>
  <c r="H31" i="1"/>
  <c r="H72" i="11" s="1"/>
  <c r="G31" i="1"/>
  <c r="F31" i="1"/>
  <c r="F72" i="11"/>
  <c r="E31" i="1"/>
  <c r="E72" i="11" s="1"/>
  <c r="D31" i="1"/>
  <c r="D72" i="11" s="1"/>
  <c r="C72" i="11"/>
  <c r="BB70" i="11"/>
  <c r="BA70" i="11"/>
  <c r="AZ70" i="11"/>
  <c r="AY70" i="11"/>
  <c r="AX70" i="11"/>
  <c r="AW70" i="11"/>
  <c r="AV70" i="11"/>
  <c r="AU70" i="11"/>
  <c r="AT70" i="11"/>
  <c r="AS70" i="11"/>
  <c r="AR70" i="11"/>
  <c r="AQ70" i="11"/>
  <c r="AP70" i="11"/>
  <c r="AO70" i="11"/>
  <c r="AN70" i="11"/>
  <c r="AM70" i="11"/>
  <c r="AL70" i="11"/>
  <c r="AK70" i="11"/>
  <c r="AJ70" i="11"/>
  <c r="AI70" i="11"/>
  <c r="AH70" i="11"/>
  <c r="AG70" i="11"/>
  <c r="AF70" i="11"/>
  <c r="AE70" i="11"/>
  <c r="AD70" i="11"/>
  <c r="AC70" i="11"/>
  <c r="AB70" i="11"/>
  <c r="AA70" i="11"/>
  <c r="Z70" i="11"/>
  <c r="Y70" i="11"/>
  <c r="X70" i="11"/>
  <c r="W70" i="11"/>
  <c r="V70" i="11"/>
  <c r="U70" i="11"/>
  <c r="T70" i="11"/>
  <c r="S70" i="11"/>
  <c r="R70" i="11"/>
  <c r="Q70" i="11"/>
  <c r="P70" i="11"/>
  <c r="O70" i="11"/>
  <c r="N70" i="11"/>
  <c r="M70" i="11"/>
  <c r="L70" i="11"/>
  <c r="K70" i="11"/>
  <c r="J70" i="11"/>
  <c r="I70" i="11"/>
  <c r="H70" i="11"/>
  <c r="G70" i="11"/>
  <c r="F70" i="11"/>
  <c r="E70" i="11"/>
  <c r="D70" i="11"/>
  <c r="C70" i="11"/>
  <c r="BB69" i="11"/>
  <c r="BA69" i="11"/>
  <c r="AZ69" i="11"/>
  <c r="AY69" i="11"/>
  <c r="AX69" i="11"/>
  <c r="AW69" i="11"/>
  <c r="AV69" i="11"/>
  <c r="AU69" i="11"/>
  <c r="AT69" i="11"/>
  <c r="AS69" i="11"/>
  <c r="AR69" i="11"/>
  <c r="AQ69" i="11"/>
  <c r="AP69" i="11"/>
  <c r="AO69" i="11"/>
  <c r="AN69" i="11"/>
  <c r="AM69" i="11"/>
  <c r="AL69" i="11"/>
  <c r="AK69" i="11"/>
  <c r="AJ69" i="11"/>
  <c r="AI69" i="11"/>
  <c r="AH69" i="11"/>
  <c r="AG69" i="11"/>
  <c r="AF69" i="11"/>
  <c r="AE69" i="11"/>
  <c r="AD69" i="11"/>
  <c r="AC69" i="11"/>
  <c r="AB69" i="11"/>
  <c r="AA69" i="11"/>
  <c r="Z69" i="11"/>
  <c r="Y69" i="11"/>
  <c r="X69" i="11"/>
  <c r="W69" i="11"/>
  <c r="V69" i="11"/>
  <c r="U69" i="11"/>
  <c r="T69" i="11"/>
  <c r="S69" i="11"/>
  <c r="R69" i="11"/>
  <c r="Q69" i="11"/>
  <c r="P69" i="11"/>
  <c r="O69" i="11"/>
  <c r="N69" i="11"/>
  <c r="M69" i="11"/>
  <c r="L69" i="11"/>
  <c r="K69" i="11"/>
  <c r="J69" i="11"/>
  <c r="I69" i="11"/>
  <c r="H69" i="11"/>
  <c r="G69" i="11"/>
  <c r="F69" i="11"/>
  <c r="E69" i="11"/>
  <c r="D69" i="11"/>
  <c r="C69" i="11"/>
  <c r="BB68" i="11"/>
  <c r="BA68" i="11"/>
  <c r="AZ68" i="11"/>
  <c r="AY68" i="11"/>
  <c r="AX68" i="11"/>
  <c r="AW68" i="11"/>
  <c r="AV68" i="11"/>
  <c r="AU68" i="11"/>
  <c r="AT68" i="11"/>
  <c r="AS68" i="11"/>
  <c r="AR68" i="11"/>
  <c r="AQ68" i="11"/>
  <c r="AP68" i="11"/>
  <c r="AO68" i="11"/>
  <c r="AN68" i="11"/>
  <c r="AM68" i="11"/>
  <c r="AL68" i="11"/>
  <c r="AK68" i="11"/>
  <c r="AJ68" i="11"/>
  <c r="AI68" i="11"/>
  <c r="AH68" i="11"/>
  <c r="AG68" i="11"/>
  <c r="AF68" i="11"/>
  <c r="AE68" i="11"/>
  <c r="AD68" i="11"/>
  <c r="AC68" i="11"/>
  <c r="AB68" i="11"/>
  <c r="AA68" i="11"/>
  <c r="Z68" i="11"/>
  <c r="Y68" i="11"/>
  <c r="X68" i="11"/>
  <c r="W68" i="11"/>
  <c r="V68" i="11"/>
  <c r="U68" i="11"/>
  <c r="T68" i="11"/>
  <c r="S68" i="11"/>
  <c r="R68" i="11"/>
  <c r="Q68" i="11"/>
  <c r="P68" i="11"/>
  <c r="O68" i="11"/>
  <c r="N68" i="11"/>
  <c r="M68" i="11"/>
  <c r="L68" i="11"/>
  <c r="K68" i="11"/>
  <c r="J68" i="11"/>
  <c r="I68" i="11"/>
  <c r="H68" i="11"/>
  <c r="G68" i="11"/>
  <c r="F68" i="11"/>
  <c r="E68" i="11"/>
  <c r="D68" i="11"/>
  <c r="C68" i="11"/>
  <c r="BB67" i="11"/>
  <c r="BA67" i="11"/>
  <c r="AZ67" i="11"/>
  <c r="AY67" i="11"/>
  <c r="AX67" i="11"/>
  <c r="AW67" i="11"/>
  <c r="AV67" i="11"/>
  <c r="AU67" i="11"/>
  <c r="AT67" i="11"/>
  <c r="AS67" i="11"/>
  <c r="AR67" i="11"/>
  <c r="AQ67" i="11"/>
  <c r="AP67" i="11"/>
  <c r="AO67" i="11"/>
  <c r="AN67" i="11"/>
  <c r="AM67" i="11"/>
  <c r="AL67" i="11"/>
  <c r="AK67" i="11"/>
  <c r="AJ67" i="11"/>
  <c r="AI67" i="11"/>
  <c r="AH67" i="11"/>
  <c r="AG67" i="11"/>
  <c r="AF67" i="11"/>
  <c r="AE67" i="11"/>
  <c r="AD67" i="11"/>
  <c r="AC67" i="11"/>
  <c r="AB67" i="11"/>
  <c r="AA67" i="11"/>
  <c r="Z67" i="11"/>
  <c r="Y67" i="11"/>
  <c r="X67" i="11"/>
  <c r="W67" i="11"/>
  <c r="V67" i="11"/>
  <c r="U67" i="11"/>
  <c r="T67" i="11"/>
  <c r="S67" i="11"/>
  <c r="R67" i="11"/>
  <c r="Q67" i="11"/>
  <c r="P67" i="11"/>
  <c r="O67" i="11"/>
  <c r="N67" i="11"/>
  <c r="M67" i="11"/>
  <c r="L67" i="11"/>
  <c r="K67" i="11"/>
  <c r="J67" i="11"/>
  <c r="I67" i="11"/>
  <c r="H67" i="11"/>
  <c r="G67" i="11"/>
  <c r="F67" i="11"/>
  <c r="E67" i="11"/>
  <c r="D67" i="11"/>
  <c r="C67" i="11"/>
  <c r="BB66" i="11"/>
  <c r="BA66" i="11"/>
  <c r="AZ66" i="11"/>
  <c r="AY66" i="11"/>
  <c r="AX66" i="11"/>
  <c r="AW66" i="11"/>
  <c r="AV66" i="11"/>
  <c r="AU66" i="11"/>
  <c r="AT66" i="11"/>
  <c r="AS66" i="11"/>
  <c r="AR66" i="11"/>
  <c r="AQ66" i="11"/>
  <c r="AP66" i="11"/>
  <c r="AO66" i="11"/>
  <c r="AN66" i="11"/>
  <c r="AM66" i="11"/>
  <c r="AL66" i="11"/>
  <c r="AK66" i="11"/>
  <c r="AJ66" i="11"/>
  <c r="AI66" i="11"/>
  <c r="AH66" i="11"/>
  <c r="AG66" i="11"/>
  <c r="AF66" i="11"/>
  <c r="AE66" i="11"/>
  <c r="AD66" i="11"/>
  <c r="AC66" i="11"/>
  <c r="AB66" i="11"/>
  <c r="AA66" i="11"/>
  <c r="Z66" i="11"/>
  <c r="Y66" i="11"/>
  <c r="X66" i="11"/>
  <c r="W66" i="11"/>
  <c r="V66" i="11"/>
  <c r="U66" i="11"/>
  <c r="T66" i="11"/>
  <c r="S66" i="11"/>
  <c r="R66" i="11"/>
  <c r="Q66" i="11"/>
  <c r="P66" i="11"/>
  <c r="O66" i="11"/>
  <c r="N66" i="11"/>
  <c r="M66" i="11"/>
  <c r="L66" i="11"/>
  <c r="K66" i="11"/>
  <c r="J66" i="11"/>
  <c r="I66" i="11"/>
  <c r="H66" i="11"/>
  <c r="G66" i="11"/>
  <c r="F66" i="11"/>
  <c r="E66" i="11"/>
  <c r="D66" i="11"/>
  <c r="C66" i="11"/>
  <c r="BB65" i="11"/>
  <c r="BA65" i="11"/>
  <c r="AZ65" i="11"/>
  <c r="AY65" i="11"/>
  <c r="AX65" i="11"/>
  <c r="AW65" i="11"/>
  <c r="AV65" i="11"/>
  <c r="AU65" i="11"/>
  <c r="AT65" i="11"/>
  <c r="AS65" i="11"/>
  <c r="AR65" i="11"/>
  <c r="AQ65" i="11"/>
  <c r="AP65" i="11"/>
  <c r="AO65" i="11"/>
  <c r="AN65" i="11"/>
  <c r="AM65" i="11"/>
  <c r="AL65" i="11"/>
  <c r="AK65" i="11"/>
  <c r="AJ65" i="11"/>
  <c r="AI65" i="11"/>
  <c r="AH65" i="11"/>
  <c r="AG65" i="11"/>
  <c r="AF65" i="11"/>
  <c r="AE65" i="11"/>
  <c r="AD65" i="11"/>
  <c r="AC65" i="11"/>
  <c r="AB65" i="11"/>
  <c r="AA65" i="11"/>
  <c r="Z65" i="11"/>
  <c r="Y65" i="11"/>
  <c r="X65" i="11"/>
  <c r="W65" i="11"/>
  <c r="V65" i="11"/>
  <c r="U65" i="11"/>
  <c r="T65" i="11"/>
  <c r="S65" i="11"/>
  <c r="R65" i="11"/>
  <c r="Q65" i="11"/>
  <c r="P65" i="11"/>
  <c r="O65" i="11"/>
  <c r="N65" i="11"/>
  <c r="M65" i="11"/>
  <c r="L65" i="11"/>
  <c r="K65" i="11"/>
  <c r="J65" i="11"/>
  <c r="I65" i="11"/>
  <c r="H65" i="11"/>
  <c r="G65" i="11"/>
  <c r="F65" i="11"/>
  <c r="E65" i="11"/>
  <c r="D65" i="11"/>
  <c r="C65" i="11"/>
  <c r="BB64" i="11"/>
  <c r="BA64" i="11"/>
  <c r="AZ64" i="11"/>
  <c r="AY64" i="11"/>
  <c r="AX64" i="11"/>
  <c r="AW64" i="11"/>
  <c r="AV64" i="11"/>
  <c r="AU64" i="11"/>
  <c r="AT64" i="11"/>
  <c r="AS64" i="11"/>
  <c r="AR64" i="11"/>
  <c r="AQ64" i="11"/>
  <c r="AP64" i="11"/>
  <c r="AO64" i="11"/>
  <c r="AN64" i="11"/>
  <c r="AM64" i="11"/>
  <c r="AL64" i="11"/>
  <c r="AK64" i="11"/>
  <c r="AJ64" i="11"/>
  <c r="AI64" i="11"/>
  <c r="AH64" i="11"/>
  <c r="AG64" i="11"/>
  <c r="AF64" i="11"/>
  <c r="AE64" i="11"/>
  <c r="AD64" i="11"/>
  <c r="AC64" i="11"/>
  <c r="AB64" i="11"/>
  <c r="AA64" i="11"/>
  <c r="Z64" i="11"/>
  <c r="Y64" i="11"/>
  <c r="X64" i="11"/>
  <c r="W64" i="11"/>
  <c r="V64" i="11"/>
  <c r="U64" i="11"/>
  <c r="T64" i="11"/>
  <c r="S64" i="11"/>
  <c r="R64" i="11"/>
  <c r="Q64" i="11"/>
  <c r="P64" i="11"/>
  <c r="O64" i="11"/>
  <c r="N64" i="11"/>
  <c r="M64" i="11"/>
  <c r="L64" i="11"/>
  <c r="K64" i="11"/>
  <c r="J64" i="11"/>
  <c r="I64" i="11"/>
  <c r="H64" i="11"/>
  <c r="G64" i="11"/>
  <c r="F64" i="11"/>
  <c r="E64" i="11"/>
  <c r="D64" i="11"/>
  <c r="C64" i="11"/>
  <c r="BB68" i="1"/>
  <c r="BB69" i="1" s="1"/>
  <c r="BA68" i="1"/>
  <c r="BA69" i="1"/>
  <c r="AZ68" i="1"/>
  <c r="AZ69" i="1"/>
  <c r="AY68" i="1"/>
  <c r="AY69" i="1"/>
  <c r="AX68" i="1"/>
  <c r="AX69" i="1" s="1"/>
  <c r="AW68" i="1"/>
  <c r="AW69" i="1"/>
  <c r="AV68" i="1"/>
  <c r="AV69" i="1"/>
  <c r="AU68" i="1"/>
  <c r="AU69" i="1"/>
  <c r="AT68" i="1"/>
  <c r="AT69" i="1" s="1"/>
  <c r="AS68" i="1"/>
  <c r="AS69" i="1"/>
  <c r="AR68" i="1"/>
  <c r="AR69" i="1"/>
  <c r="AQ68" i="1"/>
  <c r="AQ69" i="1" s="1"/>
  <c r="AP68" i="1"/>
  <c r="AP69" i="1" s="1"/>
  <c r="AO68" i="1"/>
  <c r="AO69" i="1"/>
  <c r="AN68" i="1"/>
  <c r="AN69" i="1"/>
  <c r="AM68" i="1"/>
  <c r="AM69" i="1"/>
  <c r="AL68" i="1"/>
  <c r="AL69" i="1" s="1"/>
  <c r="AK68" i="1"/>
  <c r="AK69" i="1"/>
  <c r="AJ68" i="1"/>
  <c r="AJ69" i="1"/>
  <c r="AI68" i="1"/>
  <c r="AI69" i="1" s="1"/>
  <c r="AH68" i="1"/>
  <c r="AH69" i="1" s="1"/>
  <c r="AG68" i="1"/>
  <c r="AG69" i="1"/>
  <c r="AF68" i="1"/>
  <c r="AF69" i="1"/>
  <c r="AE68" i="1"/>
  <c r="AE69" i="1" s="1"/>
  <c r="AD68" i="1"/>
  <c r="AD69" i="1" s="1"/>
  <c r="AC68" i="1"/>
  <c r="AC69" i="1"/>
  <c r="AB68" i="1"/>
  <c r="AB69" i="1"/>
  <c r="AA68" i="1"/>
  <c r="AA69" i="1"/>
  <c r="Z68" i="1"/>
  <c r="Z69" i="1" s="1"/>
  <c r="Y68" i="1"/>
  <c r="Y69" i="1"/>
  <c r="X68" i="1"/>
  <c r="X69" i="1"/>
  <c r="W68" i="1"/>
  <c r="W69" i="1"/>
  <c r="V68" i="1"/>
  <c r="V69" i="1" s="1"/>
  <c r="U68" i="1"/>
  <c r="U69" i="1"/>
  <c r="T68" i="1"/>
  <c r="T69" i="1"/>
  <c r="S68" i="1"/>
  <c r="S69" i="1"/>
  <c r="R68" i="1"/>
  <c r="R69" i="1" s="1"/>
  <c r="Q68" i="1"/>
  <c r="Q69" i="1"/>
  <c r="P68" i="1"/>
  <c r="P69" i="1"/>
  <c r="O68" i="1"/>
  <c r="O69" i="1"/>
  <c r="N68" i="1"/>
  <c r="N69" i="1" s="1"/>
  <c r="M68" i="1"/>
  <c r="M69" i="1"/>
  <c r="L68" i="1"/>
  <c r="L69" i="1"/>
  <c r="K68" i="1"/>
  <c r="K69" i="1" s="1"/>
  <c r="J68" i="1"/>
  <c r="J69" i="1" s="1"/>
  <c r="I68" i="1"/>
  <c r="I69" i="1"/>
  <c r="H68" i="1"/>
  <c r="H69" i="1"/>
  <c r="G68" i="1"/>
  <c r="G69" i="1"/>
  <c r="F68" i="1"/>
  <c r="F69" i="1" s="1"/>
  <c r="E68" i="1"/>
  <c r="E69" i="1"/>
  <c r="D68" i="1"/>
  <c r="D69" i="1"/>
  <c r="C68" i="1"/>
  <c r="C69" i="1" s="1"/>
  <c r="AY58" i="1"/>
  <c r="AX58" i="1"/>
  <c r="AW58" i="1"/>
  <c r="AV58" i="1"/>
  <c r="AU58" i="1"/>
  <c r="AT58" i="1"/>
  <c r="AS58" i="1"/>
  <c r="AR58" i="1"/>
  <c r="AQ58" i="1"/>
  <c r="AP58" i="1"/>
  <c r="AO58" i="1"/>
  <c r="AN58" i="1"/>
  <c r="AM58" i="1"/>
  <c r="AL58" i="1"/>
  <c r="AK58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AX56" i="1"/>
  <c r="AW56" i="1"/>
  <c r="AV56" i="1"/>
  <c r="AU56" i="1"/>
  <c r="AT56" i="1"/>
  <c r="AS56" i="1"/>
  <c r="AR56" i="1"/>
  <c r="AQ56" i="1"/>
  <c r="AN56" i="1"/>
  <c r="AM56" i="1"/>
  <c r="AL56" i="1"/>
  <c r="AK56" i="1"/>
  <c r="AJ56" i="1"/>
  <c r="AI56" i="1"/>
  <c r="AH56" i="1"/>
  <c r="AG56" i="1"/>
  <c r="AD56" i="1"/>
  <c r="AC56" i="1"/>
  <c r="AB56" i="1"/>
  <c r="AA56" i="1"/>
  <c r="Z56" i="1"/>
  <c r="Y56" i="1"/>
  <c r="X56" i="1"/>
  <c r="W56" i="1"/>
  <c r="T56" i="1"/>
  <c r="S56" i="1"/>
  <c r="R56" i="1"/>
  <c r="Q56" i="1"/>
  <c r="P56" i="1"/>
  <c r="O56" i="1"/>
  <c r="N56" i="1"/>
  <c r="M56" i="1"/>
  <c r="K56" i="1"/>
  <c r="J56" i="1"/>
  <c r="I56" i="1"/>
  <c r="H56" i="1"/>
  <c r="G56" i="1"/>
  <c r="F56" i="1"/>
  <c r="E56" i="1"/>
  <c r="D56" i="1"/>
  <c r="C56" i="1"/>
  <c r="BB51" i="1"/>
  <c r="BA51" i="1"/>
  <c r="AZ51" i="1"/>
  <c r="AY51" i="1"/>
  <c r="AX51" i="1"/>
  <c r="AW51" i="1"/>
  <c r="AV51" i="1"/>
  <c r="AU51" i="1"/>
  <c r="AT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B50" i="1"/>
  <c r="BA50" i="1"/>
  <c r="AZ50" i="1"/>
  <c r="AY50" i="1"/>
  <c r="AX50" i="1"/>
  <c r="AW50" i="1"/>
  <c r="AV50" i="1"/>
  <c r="AU50" i="1"/>
  <c r="AT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B49" i="1"/>
  <c r="BA3" i="1"/>
  <c r="AZ3" i="1"/>
  <c r="AZ49" i="1"/>
  <c r="AY3" i="1"/>
  <c r="AY42" i="1" s="1"/>
  <c r="AX3" i="1"/>
  <c r="AX49" i="1" s="1"/>
  <c r="AW3" i="1"/>
  <c r="AW44" i="1" s="1"/>
  <c r="AV3" i="1"/>
  <c r="AV49" i="1"/>
  <c r="AU49" i="1"/>
  <c r="AT49" i="1"/>
  <c r="AS3" i="1"/>
  <c r="AS49" i="1" s="1"/>
  <c r="AR3" i="1"/>
  <c r="AS42" i="1" s="1"/>
  <c r="AQ3" i="1"/>
  <c r="AQ44" i="1" s="1"/>
  <c r="AP49" i="1"/>
  <c r="AO49" i="1"/>
  <c r="AN3" i="1"/>
  <c r="AN49" i="1" s="1"/>
  <c r="AM3" i="1"/>
  <c r="AM49" i="1" s="1"/>
  <c r="AL3" i="1"/>
  <c r="AL49" i="1" s="1"/>
  <c r="AK3" i="1"/>
  <c r="AK42" i="1" s="1"/>
  <c r="AJ3" i="1"/>
  <c r="AJ49" i="1" s="1"/>
  <c r="AI3" i="1"/>
  <c r="AI49" i="1" s="1"/>
  <c r="AH3" i="1"/>
  <c r="AH49" i="1"/>
  <c r="AG3" i="1"/>
  <c r="AG44" i="1" s="1"/>
  <c r="AD3" i="1"/>
  <c r="AD49" i="1" s="1"/>
  <c r="AC3" i="1"/>
  <c r="AC49" i="1"/>
  <c r="AB3" i="1"/>
  <c r="AB42" i="1" s="1"/>
  <c r="AB49" i="1"/>
  <c r="AA3" i="1"/>
  <c r="AA49" i="1" s="1"/>
  <c r="Z3" i="1"/>
  <c r="Z49" i="1" s="1"/>
  <c r="Y3" i="1"/>
  <c r="Y49" i="1"/>
  <c r="X3" i="1"/>
  <c r="X44" i="1" s="1"/>
  <c r="X49" i="1"/>
  <c r="W3" i="1"/>
  <c r="W49" i="1" s="1"/>
  <c r="U49" i="1"/>
  <c r="T3" i="1"/>
  <c r="T49" i="1" s="1"/>
  <c r="S3" i="1"/>
  <c r="S42" i="1" s="1"/>
  <c r="S49" i="1"/>
  <c r="R3" i="1"/>
  <c r="R49" i="1" s="1"/>
  <c r="Q49" i="1"/>
  <c r="P49" i="1"/>
  <c r="O3" i="1"/>
  <c r="O49" i="1"/>
  <c r="N3" i="1"/>
  <c r="N44" i="1" s="1"/>
  <c r="M3" i="1"/>
  <c r="M49" i="1" s="1"/>
  <c r="L49" i="1"/>
  <c r="J3" i="1"/>
  <c r="J49" i="1"/>
  <c r="I3" i="1"/>
  <c r="I44" i="1" s="1"/>
  <c r="I49" i="1"/>
  <c r="H3" i="1"/>
  <c r="H49" i="1" s="1"/>
  <c r="G3" i="1"/>
  <c r="G49" i="1" s="1"/>
  <c r="F3" i="1"/>
  <c r="E3" i="1"/>
  <c r="E42" i="1" s="1"/>
  <c r="E49" i="1"/>
  <c r="D3" i="1"/>
  <c r="D49" i="1" s="1"/>
  <c r="C49" i="1"/>
  <c r="BB44" i="1"/>
  <c r="BA44" i="1"/>
  <c r="AZ44" i="1"/>
  <c r="AX44" i="1"/>
  <c r="AU44" i="1"/>
  <c r="AT44" i="1"/>
  <c r="AS44" i="1"/>
  <c r="AR44" i="1"/>
  <c r="AP44" i="1"/>
  <c r="AO44" i="1"/>
  <c r="AM44" i="1"/>
  <c r="AJ44" i="1"/>
  <c r="AI44" i="1"/>
  <c r="AH44" i="1"/>
  <c r="AE44" i="1"/>
  <c r="AC44" i="1"/>
  <c r="AA44" i="1"/>
  <c r="Z44" i="1"/>
  <c r="W44" i="1"/>
  <c r="U44" i="1"/>
  <c r="S44" i="1"/>
  <c r="R44" i="1"/>
  <c r="P44" i="1"/>
  <c r="M44" i="1"/>
  <c r="L44" i="1"/>
  <c r="K44" i="1"/>
  <c r="J44" i="1"/>
  <c r="G44" i="1"/>
  <c r="E44" i="1"/>
  <c r="D44" i="1"/>
  <c r="C44" i="1"/>
  <c r="BB42" i="1"/>
  <c r="AW42" i="1"/>
  <c r="AV42" i="1"/>
  <c r="AU42" i="1"/>
  <c r="AT42" i="1"/>
  <c r="AO42" i="1"/>
  <c r="AN42" i="1"/>
  <c r="AF42" i="1"/>
  <c r="AE42" i="1"/>
  <c r="AD42" i="1"/>
  <c r="AA42" i="1"/>
  <c r="Y42" i="1"/>
  <c r="X42" i="1"/>
  <c r="W42" i="1"/>
  <c r="V42" i="1"/>
  <c r="Q42" i="1"/>
  <c r="P42" i="1"/>
  <c r="O42" i="1"/>
  <c r="K42" i="1"/>
  <c r="H42" i="1"/>
  <c r="C42" i="1"/>
  <c r="BB41" i="1"/>
  <c r="BA41" i="1"/>
  <c r="AZ41" i="1"/>
  <c r="AY41" i="1"/>
  <c r="AX41" i="1"/>
  <c r="AW41" i="1"/>
  <c r="AV41" i="1"/>
  <c r="AU41" i="1"/>
  <c r="AT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B37" i="1"/>
  <c r="BB38" i="1" s="1"/>
  <c r="BA33" i="1"/>
  <c r="BA35" i="1"/>
  <c r="AZ33" i="1"/>
  <c r="AZ34" i="1" s="1"/>
  <c r="AZ35" i="1"/>
  <c r="AZ37" i="1"/>
  <c r="AY33" i="1"/>
  <c r="AY35" i="1"/>
  <c r="AX33" i="1"/>
  <c r="AY34" i="1" s="1"/>
  <c r="AX35" i="1"/>
  <c r="AX37" i="1" s="1"/>
  <c r="AX38" i="1" s="1"/>
  <c r="AW33" i="1"/>
  <c r="AW35" i="1"/>
  <c r="AX36" i="1" s="1"/>
  <c r="AV33" i="1"/>
  <c r="AW34" i="1" s="1"/>
  <c r="AV35" i="1"/>
  <c r="AV36" i="1" s="1"/>
  <c r="AV37" i="1"/>
  <c r="AS33" i="1"/>
  <c r="AS37" i="1" s="1"/>
  <c r="AS38" i="1" s="1"/>
  <c r="AS35" i="1"/>
  <c r="AR33" i="1"/>
  <c r="AR35" i="1"/>
  <c r="AR37" i="1" s="1"/>
  <c r="AR38" i="1"/>
  <c r="AQ33" i="1"/>
  <c r="AQ37" i="1" s="1"/>
  <c r="AQ35" i="1"/>
  <c r="AQ36" i="1" s="1"/>
  <c r="AP38" i="1"/>
  <c r="AN33" i="1"/>
  <c r="AN35" i="1"/>
  <c r="AN37" i="1"/>
  <c r="AN38" i="1" s="1"/>
  <c r="AM33" i="1"/>
  <c r="AM35" i="1"/>
  <c r="AM36" i="1" s="1"/>
  <c r="AL33" i="1"/>
  <c r="AL37" i="1" s="1"/>
  <c r="AL35" i="1"/>
  <c r="AK33" i="1"/>
  <c r="AK35" i="1"/>
  <c r="AJ33" i="1"/>
  <c r="AJ34" i="1" s="1"/>
  <c r="AJ35" i="1"/>
  <c r="AJ37" i="1"/>
  <c r="AJ38" i="1" s="1"/>
  <c r="AI33" i="1"/>
  <c r="AI35" i="1"/>
  <c r="AH33" i="1"/>
  <c r="AI34" i="1" s="1"/>
  <c r="AH35" i="1"/>
  <c r="AI36" i="1" s="1"/>
  <c r="AH37" i="1"/>
  <c r="AG33" i="1"/>
  <c r="AG35" i="1"/>
  <c r="AG36" i="1" s="1"/>
  <c r="AF37" i="1"/>
  <c r="AF38" i="1"/>
  <c r="AE37" i="1"/>
  <c r="AE38" i="1" s="1"/>
  <c r="AD33" i="1"/>
  <c r="AD35" i="1"/>
  <c r="AD36" i="1" s="1"/>
  <c r="AC33" i="1"/>
  <c r="AC34" i="1" s="1"/>
  <c r="AC35" i="1"/>
  <c r="AB33" i="1"/>
  <c r="AB35" i="1"/>
  <c r="AC36" i="1" s="1"/>
  <c r="AA33" i="1"/>
  <c r="AA35" i="1"/>
  <c r="AA37" i="1"/>
  <c r="AA38" i="1" s="1"/>
  <c r="Z33" i="1"/>
  <c r="Z35" i="1"/>
  <c r="Y33" i="1"/>
  <c r="Y34" i="1" s="1"/>
  <c r="Y35" i="1"/>
  <c r="Y37" i="1"/>
  <c r="X33" i="1"/>
  <c r="X35" i="1"/>
  <c r="X36" i="1" s="1"/>
  <c r="W33" i="1"/>
  <c r="W35" i="1"/>
  <c r="W37" i="1"/>
  <c r="W38" i="1" s="1"/>
  <c r="T33" i="1"/>
  <c r="T34" i="1" s="1"/>
  <c r="T35" i="1"/>
  <c r="T36" i="1" s="1"/>
  <c r="S33" i="1"/>
  <c r="S35" i="1"/>
  <c r="S36" i="1" s="1"/>
  <c r="R33" i="1"/>
  <c r="S34" i="1" s="1"/>
  <c r="R35" i="1"/>
  <c r="R36" i="1" s="1"/>
  <c r="Q38" i="1"/>
  <c r="O33" i="1"/>
  <c r="O35" i="1"/>
  <c r="O37" i="1"/>
  <c r="N33" i="1"/>
  <c r="N35" i="1"/>
  <c r="N36" i="1" s="1"/>
  <c r="M33" i="1"/>
  <c r="M37" i="1" s="1"/>
  <c r="M38" i="1" s="1"/>
  <c r="M35" i="1"/>
  <c r="J33" i="1"/>
  <c r="J35" i="1"/>
  <c r="J36" i="1" s="1"/>
  <c r="I33" i="1"/>
  <c r="I35" i="1"/>
  <c r="H33" i="1"/>
  <c r="I34" i="1" s="1"/>
  <c r="H35" i="1"/>
  <c r="H36" i="1" s="1"/>
  <c r="H37" i="1"/>
  <c r="H38" i="1" s="1"/>
  <c r="G33" i="1"/>
  <c r="G35" i="1"/>
  <c r="G36" i="1" s="1"/>
  <c r="F33" i="1"/>
  <c r="F35" i="1"/>
  <c r="F37" i="1"/>
  <c r="E33" i="1"/>
  <c r="E35" i="1"/>
  <c r="E36" i="1" s="1"/>
  <c r="D33" i="1"/>
  <c r="D34" i="1" s="1"/>
  <c r="D35" i="1"/>
  <c r="D36" i="1" s="1"/>
  <c r="C38" i="1"/>
  <c r="AZ36" i="1"/>
  <c r="AY36" i="1"/>
  <c r="AU36" i="1"/>
  <c r="AS36" i="1"/>
  <c r="AP36" i="1"/>
  <c r="AK36" i="1"/>
  <c r="AJ36" i="1"/>
  <c r="AH36" i="1"/>
  <c r="AF36" i="1"/>
  <c r="AB36" i="1"/>
  <c r="AA36" i="1"/>
  <c r="Z36" i="1"/>
  <c r="W36" i="1"/>
  <c r="U36" i="1"/>
  <c r="Q36" i="1"/>
  <c r="M36" i="1"/>
  <c r="L36" i="1"/>
  <c r="K36" i="1"/>
  <c r="BB34" i="1"/>
  <c r="BA34" i="1"/>
  <c r="AV34" i="1"/>
  <c r="AU34" i="1"/>
  <c r="AT34" i="1"/>
  <c r="AS34" i="1"/>
  <c r="AP34" i="1"/>
  <c r="AN34" i="1"/>
  <c r="AK34" i="1"/>
  <c r="AF34" i="1"/>
  <c r="AE34" i="1"/>
  <c r="Z34" i="1"/>
  <c r="X34" i="1"/>
  <c r="W34" i="1"/>
  <c r="V34" i="1"/>
  <c r="U34" i="1"/>
  <c r="P34" i="1"/>
  <c r="O34" i="1"/>
  <c r="J34" i="1"/>
  <c r="G34" i="1"/>
  <c r="F34" i="1"/>
  <c r="E34" i="1"/>
  <c r="BA32" i="1"/>
  <c r="AY32" i="1"/>
  <c r="AW32" i="1"/>
  <c r="AV32" i="1"/>
  <c r="AS32" i="1"/>
  <c r="AR32" i="1"/>
  <c r="AQ32" i="1"/>
  <c r="AP32" i="1"/>
  <c r="AO32" i="1"/>
  <c r="AN32" i="1"/>
  <c r="AK32" i="1"/>
  <c r="AI32" i="1"/>
  <c r="AH32" i="1"/>
  <c r="AG32" i="1"/>
  <c r="AF32" i="1"/>
  <c r="AC32" i="1"/>
  <c r="AA32" i="1"/>
  <c r="Z32" i="1"/>
  <c r="Y32" i="1"/>
  <c r="W32" i="1"/>
  <c r="U32" i="1"/>
  <c r="S32" i="1"/>
  <c r="R32" i="1"/>
  <c r="Q32" i="1"/>
  <c r="P32" i="1"/>
  <c r="M32" i="1"/>
  <c r="I32" i="1"/>
  <c r="H32" i="1"/>
  <c r="E32" i="1"/>
  <c r="BF29" i="1"/>
  <c r="BF28" i="1"/>
  <c r="BF27" i="1"/>
  <c r="BF26" i="1"/>
  <c r="BF25" i="1"/>
  <c r="BF24" i="1"/>
  <c r="BF23" i="1"/>
  <c r="BF22" i="1"/>
  <c r="BF21" i="1"/>
  <c r="BF20" i="1"/>
  <c r="BF19" i="1"/>
  <c r="BF18" i="1"/>
  <c r="BF17" i="1"/>
  <c r="BF16" i="1"/>
  <c r="BF15" i="1"/>
  <c r="BF14" i="1"/>
  <c r="BF13" i="1"/>
  <c r="BF12" i="1"/>
  <c r="BF11" i="1"/>
  <c r="BF10" i="1"/>
  <c r="BF9" i="1"/>
  <c r="BF8" i="1"/>
  <c r="BF7" i="1"/>
  <c r="BF6" i="1"/>
  <c r="BF5" i="1"/>
  <c r="BF4" i="1"/>
  <c r="BF3" i="1"/>
  <c r="S54" i="12" l="1"/>
  <c r="S63" i="12"/>
  <c r="S5" i="12"/>
  <c r="S23" i="12"/>
  <c r="N23" i="12"/>
  <c r="N54" i="12"/>
  <c r="I63" i="12"/>
  <c r="N63" i="12"/>
  <c r="I54" i="12"/>
  <c r="I5" i="12"/>
  <c r="I23" i="12"/>
  <c r="G83" i="1"/>
  <c r="AO34" i="1"/>
  <c r="AX32" i="1"/>
  <c r="M34" i="1"/>
  <c r="AL34" i="1"/>
  <c r="AX34" i="1"/>
  <c r="J37" i="1"/>
  <c r="J38" i="1" s="1"/>
  <c r="R37" i="1"/>
  <c r="R38" i="1" s="1"/>
  <c r="N42" i="1"/>
  <c r="N49" i="1"/>
  <c r="Y44" i="1"/>
  <c r="Y38" i="1"/>
  <c r="AG49" i="1"/>
  <c r="AY49" i="1"/>
  <c r="I37" i="1"/>
  <c r="I38" i="1" s="1"/>
  <c r="AB37" i="1"/>
  <c r="AB38" i="1" s="1"/>
  <c r="AB32" i="1"/>
  <c r="AQ38" i="1"/>
  <c r="AQ42" i="1"/>
  <c r="AB34" i="1"/>
  <c r="AA34" i="1"/>
  <c r="T44" i="1"/>
  <c r="AL38" i="1"/>
  <c r="AL44" i="1"/>
  <c r="J72" i="11"/>
  <c r="AC72" i="11"/>
  <c r="AO72" i="11"/>
  <c r="AY37" i="1"/>
  <c r="AY38" i="1" s="1"/>
  <c r="AZ32" i="1"/>
  <c r="F84" i="1"/>
  <c r="V37" i="1"/>
  <c r="V38" i="1" s="1"/>
  <c r="V36" i="1"/>
  <c r="AU32" i="1"/>
  <c r="AU37" i="1"/>
  <c r="AU38" i="1" s="1"/>
  <c r="F78" i="1"/>
  <c r="AM34" i="1"/>
  <c r="O36" i="1"/>
  <c r="E37" i="1"/>
  <c r="E38" i="1" s="1"/>
  <c r="X37" i="1"/>
  <c r="X38" i="1" s="1"/>
  <c r="E84" i="1"/>
  <c r="AP42" i="1"/>
  <c r="AO36" i="1"/>
  <c r="F38" i="1"/>
  <c r="F44" i="1"/>
  <c r="P72" i="11"/>
  <c r="P37" i="1"/>
  <c r="P38" i="1" s="1"/>
  <c r="F75" i="1"/>
  <c r="N34" i="1"/>
  <c r="Y36" i="1"/>
  <c r="AK38" i="1"/>
  <c r="U42" i="1"/>
  <c r="T38" i="1"/>
  <c r="T42" i="1"/>
  <c r="AD34" i="1"/>
  <c r="BA37" i="1"/>
  <c r="BA38" i="1" s="1"/>
  <c r="BB36" i="1"/>
  <c r="F42" i="1"/>
  <c r="O38" i="1"/>
  <c r="O44" i="1"/>
  <c r="AH38" i="1"/>
  <c r="AI42" i="1"/>
  <c r="AH42" i="1"/>
  <c r="AZ38" i="1"/>
  <c r="AZ42" i="1"/>
  <c r="R34" i="1"/>
  <c r="G42" i="1"/>
  <c r="AG42" i="1"/>
  <c r="AK44" i="1"/>
  <c r="BA42" i="1"/>
  <c r="F32" i="1"/>
  <c r="S37" i="1"/>
  <c r="S38" i="1" s="1"/>
  <c r="AK37" i="1"/>
  <c r="V49" i="1"/>
  <c r="V44" i="1"/>
  <c r="K72" i="11"/>
  <c r="K37" i="1"/>
  <c r="K38" i="1" s="1"/>
  <c r="L32" i="1"/>
  <c r="K34" i="1"/>
  <c r="BA36" i="1"/>
  <c r="F36" i="1"/>
  <c r="AL42" i="1"/>
  <c r="J42" i="1"/>
  <c r="AV38" i="1"/>
  <c r="AV44" i="1"/>
  <c r="G32" i="1"/>
  <c r="L34" i="1"/>
  <c r="AF49" i="1"/>
  <c r="E83" i="1"/>
  <c r="AF44" i="1"/>
  <c r="AW36" i="1"/>
  <c r="AW37" i="1"/>
  <c r="AW38" i="1" s="1"/>
  <c r="AR34" i="1"/>
  <c r="AQ34" i="1"/>
  <c r="AN36" i="1"/>
  <c r="J32" i="1"/>
  <c r="AE36" i="1"/>
  <c r="X32" i="1"/>
  <c r="H34" i="1"/>
  <c r="AH34" i="1"/>
  <c r="AR36" i="1"/>
  <c r="D37" i="1"/>
  <c r="D38" i="1" s="1"/>
  <c r="I36" i="1"/>
  <c r="T37" i="1"/>
  <c r="AG38" i="1"/>
  <c r="AL36" i="1"/>
  <c r="I42" i="1"/>
  <c r="AM42" i="1"/>
  <c r="AB44" i="1"/>
  <c r="AY44" i="1"/>
  <c r="F49" i="1"/>
  <c r="AC42" i="1"/>
  <c r="AC38" i="1"/>
  <c r="AK49" i="1"/>
  <c r="AQ49" i="1"/>
  <c r="N32" i="1"/>
  <c r="N37" i="1"/>
  <c r="N38" i="1" s="1"/>
  <c r="T32" i="1"/>
  <c r="AG37" i="1"/>
  <c r="AL32" i="1"/>
  <c r="P36" i="1"/>
  <c r="H75" i="1"/>
  <c r="E37" i="12"/>
  <c r="E38" i="12" s="1"/>
  <c r="D32" i="1"/>
  <c r="AJ32" i="1"/>
  <c r="Q34" i="1"/>
  <c r="AT36" i="1"/>
  <c r="G37" i="1"/>
  <c r="G38" i="1" s="1"/>
  <c r="U37" i="1"/>
  <c r="U38" i="1" s="1"/>
  <c r="Z37" i="1"/>
  <c r="Z38" i="1" s="1"/>
  <c r="AD37" i="1"/>
  <c r="AD38" i="1" s="1"/>
  <c r="AI37" i="1"/>
  <c r="AI38" i="1" s="1"/>
  <c r="AM37" i="1"/>
  <c r="AM38" i="1" s="1"/>
  <c r="AT37" i="1"/>
  <c r="AT38" i="1" s="1"/>
  <c r="R42" i="1"/>
  <c r="Z42" i="1"/>
  <c r="AX42" i="1"/>
  <c r="AD44" i="1"/>
  <c r="AR49" i="1"/>
  <c r="AW49" i="1"/>
  <c r="BA49" i="1"/>
  <c r="G72" i="11"/>
  <c r="U72" i="11"/>
  <c r="AD72" i="11"/>
  <c r="AM72" i="11"/>
  <c r="E81" i="1"/>
  <c r="G81" i="1"/>
  <c r="H83" i="1"/>
  <c r="S14" i="12"/>
  <c r="E42" i="12"/>
  <c r="AD32" i="1"/>
  <c r="AT32" i="1"/>
  <c r="BB32" i="1"/>
  <c r="L37" i="1"/>
  <c r="L38" i="1" s="1"/>
  <c r="D42" i="1"/>
  <c r="L42" i="1"/>
  <c r="AJ42" i="1"/>
  <c r="AR42" i="1"/>
  <c r="H44" i="1"/>
  <c r="AN44" i="1"/>
  <c r="AE49" i="1"/>
  <c r="AE72" i="11"/>
  <c r="E44" i="12"/>
  <c r="N5" i="12"/>
  <c r="E8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68" authorId="0" shapeId="0" xr:uid="{00000000-0006-0000-0000-000001000000}">
      <text>
        <r>
          <rPr>
            <sz val="10"/>
            <color rgb="FF000000"/>
            <rFont val="Arial"/>
            <family val="2"/>
          </rPr>
          <t>Note: calculated at 29% of total govt spending, which consistently equates to 25% of total GDP to get 6.25%
	-Nichelle Jackson</t>
        </r>
      </text>
    </comment>
  </commentList>
</comments>
</file>

<file path=xl/sharedStrings.xml><?xml version="1.0" encoding="utf-8"?>
<sst xmlns="http://schemas.openxmlformats.org/spreadsheetml/2006/main" count="270" uniqueCount="98">
  <si>
    <t>YEAR</t>
  </si>
  <si>
    <t>Adjusted Personal Consumption</t>
  </si>
  <si>
    <t>Services of Consumer Durables</t>
  </si>
  <si>
    <t>Cost of Consumer Durables</t>
  </si>
  <si>
    <t>Cost of Underemployment</t>
  </si>
  <si>
    <t>Net Capital Investment</t>
  </si>
  <si>
    <t>Cost of Water Pollution</t>
  </si>
  <si>
    <t>Cost of Air Pollution</t>
  </si>
  <si>
    <t>Cost of Noise Pollution</t>
  </si>
  <si>
    <t>Cost of Net Wetland Change</t>
  </si>
  <si>
    <t>Cost of Net Farmland Change</t>
  </si>
  <si>
    <t>Cost of Net Forest Cover Change</t>
  </si>
  <si>
    <t>Cost of Climate Change</t>
  </si>
  <si>
    <t>Cost of Ozone Depletion</t>
  </si>
  <si>
    <t>Cost of Nonrenewable Energy Resource Depletion</t>
  </si>
  <si>
    <t>Value of Housework</t>
  </si>
  <si>
    <t>Cost of Family Changes</t>
  </si>
  <si>
    <t>Cost of Crime</t>
  </si>
  <si>
    <t>Cost of Personal Pollution Abatement</t>
  </si>
  <si>
    <t>Value of Volunteer Work</t>
  </si>
  <si>
    <t>Cost of Lost Leisure Time</t>
  </si>
  <si>
    <t>Value of Higher Education</t>
  </si>
  <si>
    <t>Services of Highways and Streets</t>
  </si>
  <si>
    <t>Cost of Commuting</t>
  </si>
  <si>
    <t>Cost of Motor Vehicle Crashes</t>
  </si>
  <si>
    <t>Year</t>
  </si>
  <si>
    <t>Lawn Study</t>
  </si>
  <si>
    <t>CPI</t>
  </si>
  <si>
    <t>GPI $m</t>
  </si>
  <si>
    <t xml:space="preserve">Nom $ </t>
  </si>
  <si>
    <t>Lawn 2005 GPI</t>
  </si>
  <si>
    <t>GDP $m</t>
  </si>
  <si>
    <t>Lawn 2005 GDP</t>
  </si>
  <si>
    <t>ANU Study</t>
  </si>
  <si>
    <t>ANU 2015 GPI</t>
  </si>
  <si>
    <t>ANU 2015 GPI (plus $200bn)</t>
  </si>
  <si>
    <t>ANU 2015 GDP</t>
  </si>
  <si>
    <t>per capita</t>
  </si>
  <si>
    <t>operation</t>
  </si>
  <si>
    <t>% Change</t>
  </si>
  <si>
    <t>Personal Consumption Expenditures</t>
  </si>
  <si>
    <t>Income Inequality</t>
  </si>
  <si>
    <t>Adjusted Personal Consumption Expenditures</t>
  </si>
  <si>
    <t>Australia Genuine Progress Indicator</t>
  </si>
  <si>
    <t>A</t>
  </si>
  <si>
    <t>GPI (Billions 2012$)</t>
  </si>
  <si>
    <t>total</t>
  </si>
  <si>
    <t>Start</t>
  </si>
  <si>
    <t>add</t>
  </si>
  <si>
    <t>subtract</t>
  </si>
  <si>
    <t>B</t>
  </si>
  <si>
    <t>Economic Elements</t>
  </si>
  <si>
    <t>Percent Change from Previous Year</t>
  </si>
  <si>
    <t>C</t>
  </si>
  <si>
    <t>Environmental Elements</t>
  </si>
  <si>
    <t>D</t>
  </si>
  <si>
    <t>Social Elements</t>
  </si>
  <si>
    <t>Genuine Progress Indicator</t>
  </si>
  <si>
    <t>Genuine Progress Indicator - Double Check</t>
  </si>
  <si>
    <t>E</t>
  </si>
  <si>
    <t>GDP (Adjusted for 2012$)</t>
  </si>
  <si>
    <t>GDP: Percent Change from Previous Year</t>
  </si>
  <si>
    <t>GPI: Percent Change from Previous Year</t>
  </si>
  <si>
    <t>Percent Difference: GDP-GPI</t>
  </si>
  <si>
    <t>Populaton Australia (Thousands)</t>
  </si>
  <si>
    <t>Australia GPI per capita</t>
  </si>
  <si>
    <t>Australia GDP per capita</t>
  </si>
  <si>
    <t>Australia PCE per capita</t>
  </si>
  <si>
    <t>GPI ($billions) - Lawn</t>
  </si>
  <si>
    <t>GPI ($millions) - Lawn</t>
  </si>
  <si>
    <t>Real GDP ($billions) - Lawn</t>
  </si>
  <si>
    <t>Real GDP - Lawn</t>
  </si>
  <si>
    <t>Australian population</t>
  </si>
  <si>
    <t>Per capita GPI</t>
  </si>
  <si>
    <t>Per capita GDP</t>
  </si>
  <si>
    <t>GPI</t>
  </si>
  <si>
    <t>Real GDP</t>
  </si>
  <si>
    <t>Government expenditure on health, education &amp; general services</t>
  </si>
  <si>
    <t>Personal consumption plus government expenditure on essential services</t>
  </si>
  <si>
    <t>Time Period</t>
  </si>
  <si>
    <t>GDP</t>
  </si>
  <si>
    <t>GPI Estimates</t>
  </si>
  <si>
    <t>Economic Indicators</t>
  </si>
  <si>
    <t>Environmental Indicators</t>
  </si>
  <si>
    <t>Social Indicators</t>
  </si>
  <si>
    <t>1962-1975</t>
  </si>
  <si>
    <t>1976-1990</t>
  </si>
  <si>
    <t>1991-2005</t>
  </si>
  <si>
    <t>2006-2013</t>
  </si>
  <si>
    <t>Rates of Growth (%)</t>
  </si>
  <si>
    <t>1962-1970</t>
  </si>
  <si>
    <t>1971-1980</t>
  </si>
  <si>
    <t>1981-1990</t>
  </si>
  <si>
    <t>1991-2000</t>
  </si>
  <si>
    <t>2001-2013</t>
  </si>
  <si>
    <t>Sensitivity Analysis</t>
  </si>
  <si>
    <t>*</t>
  </si>
  <si>
    <t>%Change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</si>
</sst>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4" x14ac:knownFonts="1">
    <font>
      <sz val="10"/>
      <color rgb="FF000000"/>
      <name val="Arial"/>
    </font>
    <font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rgb="FF000000"/>
      <name val="Baskerville"/>
      <family val="1"/>
    </font>
    <font>
      <sz val="11"/>
      <color rgb="FF000000"/>
      <name val="Baskerville"/>
      <family val="1"/>
    </font>
    <font>
      <sz val="12"/>
      <color rgb="FF000000"/>
      <name val="Baskerville"/>
      <family val="1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9CB9C"/>
        <bgColor rgb="FFF9CB9C"/>
      </patternFill>
    </fill>
    <fill>
      <patternFill patternType="solid">
        <fgColor rgb="FFFFE187"/>
        <bgColor rgb="FFFFE599"/>
      </patternFill>
    </fill>
    <fill>
      <patternFill patternType="solid">
        <fgColor rgb="FFFFE187"/>
        <bgColor indexed="64"/>
      </patternFill>
    </fill>
    <fill>
      <patternFill patternType="solid">
        <fgColor rgb="FFD0C6E4"/>
        <bgColor indexed="64"/>
      </patternFill>
    </fill>
    <fill>
      <patternFill patternType="solid">
        <fgColor rgb="FFC6DBF0"/>
        <bgColor indexed="64"/>
      </patternFill>
    </fill>
    <fill>
      <patternFill patternType="solid">
        <fgColor rgb="FFD1E7CA"/>
        <bgColor indexed="64"/>
      </patternFill>
    </fill>
    <fill>
      <patternFill patternType="solid">
        <fgColor rgb="FFF0C0C2"/>
        <bgColor indexed="64"/>
      </patternFill>
    </fill>
    <fill>
      <patternFill patternType="solid">
        <fgColor rgb="FF70FF44"/>
        <bgColor indexed="64"/>
      </patternFill>
    </fill>
    <fill>
      <patternFill patternType="solid">
        <fgColor rgb="FF70FF44"/>
        <bgColor rgb="FFCFE2F3"/>
      </patternFill>
    </fill>
    <fill>
      <patternFill patternType="solid">
        <fgColor rgb="FF70FF44"/>
        <bgColor rgb="FFF4CCCC"/>
      </patternFill>
    </fill>
    <fill>
      <patternFill patternType="solid">
        <fgColor rgb="FF70FF44"/>
        <bgColor rgb="FFD9EAD3"/>
      </patternFill>
    </fill>
  </fills>
  <borders count="10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AAAAAA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158">
    <xf numFmtId="0" fontId="0" fillId="0" borderId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9" fontId="12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48">
    <xf numFmtId="0" fontId="0" fillId="0" borderId="0" xfId="0"/>
    <xf numFmtId="0" fontId="1" fillId="0" borderId="0" xfId="0" applyFont="1"/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" fontId="4" fillId="2" borderId="0" xfId="0" applyNumberFormat="1" applyFont="1" applyFill="1" applyAlignment="1">
      <alignment horizontal="center"/>
    </xf>
    <xf numFmtId="2" fontId="4" fillId="2" borderId="0" xfId="0" applyNumberFormat="1" applyFont="1" applyFill="1"/>
    <xf numFmtId="2" fontId="1" fillId="0" borderId="0" xfId="0" applyNumberFormat="1" applyFont="1"/>
    <xf numFmtId="1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1" fontId="2" fillId="3" borderId="0" xfId="0" applyNumberFormat="1" applyFont="1" applyFill="1" applyAlignment="1">
      <alignment horizontal="center"/>
    </xf>
    <xf numFmtId="2" fontId="2" fillId="3" borderId="0" xfId="0" applyNumberFormat="1" applyFont="1" applyFill="1"/>
    <xf numFmtId="2" fontId="2" fillId="3" borderId="0" xfId="0" applyNumberFormat="1" applyFont="1" applyFill="1" applyAlignment="1">
      <alignment horizontal="center"/>
    </xf>
    <xf numFmtId="2" fontId="5" fillId="3" borderId="0" xfId="0" applyNumberFormat="1" applyFont="1" applyFill="1"/>
    <xf numFmtId="2" fontId="5" fillId="2" borderId="0" xfId="0" applyNumberFormat="1" applyFont="1" applyFill="1"/>
    <xf numFmtId="2" fontId="4" fillId="2" borderId="0" xfId="0" applyNumberFormat="1" applyFont="1" applyFill="1" applyAlignment="1">
      <alignment horizontal="center"/>
    </xf>
    <xf numFmtId="1" fontId="4" fillId="4" borderId="0" xfId="0" applyNumberFormat="1" applyFont="1" applyFill="1" applyAlignment="1">
      <alignment horizontal="center"/>
    </xf>
    <xf numFmtId="2" fontId="4" fillId="4" borderId="0" xfId="0" applyNumberFormat="1" applyFont="1" applyFill="1"/>
    <xf numFmtId="164" fontId="4" fillId="4" borderId="0" xfId="0" applyNumberFormat="1" applyFont="1" applyFill="1" applyAlignment="1">
      <alignment horizontal="right"/>
    </xf>
    <xf numFmtId="0" fontId="4" fillId="4" borderId="0" xfId="0" applyFont="1" applyFill="1" applyAlignment="1">
      <alignment horizontal="right"/>
    </xf>
    <xf numFmtId="2" fontId="4" fillId="4" borderId="0" xfId="0" applyNumberFormat="1" applyFont="1" applyFill="1" applyAlignment="1">
      <alignment horizontal="right"/>
    </xf>
    <xf numFmtId="2" fontId="4" fillId="4" borderId="0" xfId="0" applyNumberFormat="1" applyFont="1" applyFill="1" applyAlignment="1">
      <alignment horizontal="center"/>
    </xf>
    <xf numFmtId="2" fontId="5" fillId="4" borderId="0" xfId="0" applyNumberFormat="1" applyFont="1" applyFill="1"/>
    <xf numFmtId="2" fontId="3" fillId="4" borderId="0" xfId="0" applyNumberFormat="1" applyFont="1" applyFill="1"/>
    <xf numFmtId="1" fontId="4" fillId="5" borderId="0" xfId="0" applyNumberFormat="1" applyFont="1" applyFill="1" applyAlignment="1">
      <alignment horizontal="center"/>
    </xf>
    <xf numFmtId="2" fontId="4" fillId="5" borderId="0" xfId="0" applyNumberFormat="1" applyFont="1" applyFill="1"/>
    <xf numFmtId="2" fontId="4" fillId="5" borderId="0" xfId="0" applyNumberFormat="1" applyFont="1" applyFill="1" applyAlignment="1">
      <alignment horizontal="right" vertical="top"/>
    </xf>
    <xf numFmtId="2" fontId="4" fillId="5" borderId="0" xfId="0" applyNumberFormat="1" applyFont="1" applyFill="1" applyAlignment="1">
      <alignment horizontal="right"/>
    </xf>
    <xf numFmtId="2" fontId="4" fillId="5" borderId="0" xfId="0" applyNumberFormat="1" applyFont="1" applyFill="1" applyAlignment="1">
      <alignment horizontal="center"/>
    </xf>
    <xf numFmtId="2" fontId="5" fillId="5" borderId="0" xfId="0" applyNumberFormat="1" applyFont="1" applyFill="1"/>
    <xf numFmtId="2" fontId="4" fillId="5" borderId="1" xfId="0" applyNumberFormat="1" applyFont="1" applyFill="1" applyBorder="1"/>
    <xf numFmtId="2" fontId="4" fillId="5" borderId="2" xfId="0" applyNumberFormat="1" applyFont="1" applyFill="1" applyBorder="1"/>
    <xf numFmtId="1" fontId="2" fillId="2" borderId="0" xfId="0" applyNumberFormat="1" applyFont="1" applyFill="1" applyAlignment="1">
      <alignment horizontal="center"/>
    </xf>
    <xf numFmtId="2" fontId="2" fillId="2" borderId="0" xfId="0" applyNumberFormat="1" applyFont="1" applyFill="1"/>
    <xf numFmtId="1" fontId="4" fillId="2" borderId="0" xfId="0" applyNumberFormat="1" applyFont="1" applyFill="1"/>
    <xf numFmtId="1" fontId="2" fillId="4" borderId="0" xfId="0" applyNumberFormat="1" applyFont="1" applyFill="1" applyAlignment="1">
      <alignment horizontal="center"/>
    </xf>
    <xf numFmtId="2" fontId="2" fillId="4" borderId="0" xfId="0" applyNumberFormat="1" applyFont="1" applyFill="1"/>
    <xf numFmtId="1" fontId="2" fillId="5" borderId="0" xfId="0" applyNumberFormat="1" applyFont="1" applyFill="1" applyAlignment="1">
      <alignment horizontal="center"/>
    </xf>
    <xf numFmtId="2" fontId="2" fillId="5" borderId="0" xfId="0" applyNumberFormat="1" applyFont="1" applyFill="1"/>
    <xf numFmtId="2" fontId="4" fillId="3" borderId="0" xfId="0" applyNumberFormat="1" applyFont="1" applyFill="1"/>
    <xf numFmtId="2" fontId="4" fillId="3" borderId="0" xfId="0" applyNumberFormat="1" applyFont="1" applyFill="1" applyAlignment="1">
      <alignment horizontal="center"/>
    </xf>
    <xf numFmtId="2" fontId="2" fillId="0" borderId="0" xfId="0" applyNumberFormat="1" applyFont="1"/>
    <xf numFmtId="2" fontId="4" fillId="0" borderId="0" xfId="0" applyNumberFormat="1" applyFont="1"/>
    <xf numFmtId="2" fontId="4" fillId="0" borderId="0" xfId="0" applyNumberFormat="1" applyFont="1" applyAlignment="1">
      <alignment horizontal="center"/>
    </xf>
    <xf numFmtId="2" fontId="5" fillId="0" borderId="0" xfId="0" applyNumberFormat="1" applyFont="1"/>
    <xf numFmtId="1" fontId="2" fillId="6" borderId="0" xfId="0" applyNumberFormat="1" applyFont="1" applyFill="1" applyAlignment="1">
      <alignment horizontal="center"/>
    </xf>
    <xf numFmtId="2" fontId="2" fillId="6" borderId="0" xfId="0" applyNumberFormat="1" applyFont="1" applyFill="1"/>
    <xf numFmtId="2" fontId="2" fillId="6" borderId="0" xfId="0" applyNumberFormat="1" applyFont="1" applyFill="1" applyAlignment="1">
      <alignment horizontal="center"/>
    </xf>
    <xf numFmtId="2" fontId="3" fillId="6" borderId="0" xfId="0" applyNumberFormat="1" applyFont="1" applyFill="1"/>
    <xf numFmtId="1" fontId="4" fillId="6" borderId="0" xfId="0" applyNumberFormat="1" applyFont="1" applyFill="1" applyAlignment="1">
      <alignment horizontal="center"/>
    </xf>
    <xf numFmtId="2" fontId="4" fillId="6" borderId="0" xfId="0" applyNumberFormat="1" applyFont="1" applyFill="1"/>
    <xf numFmtId="2" fontId="4" fillId="6" borderId="0" xfId="0" applyNumberFormat="1" applyFont="1" applyFill="1" applyAlignment="1">
      <alignment horizontal="center"/>
    </xf>
    <xf numFmtId="1" fontId="4" fillId="3" borderId="0" xfId="0" applyNumberFormat="1" applyFont="1" applyFill="1" applyAlignment="1">
      <alignment horizontal="center"/>
    </xf>
    <xf numFmtId="1" fontId="4" fillId="0" borderId="0" xfId="0" applyNumberFormat="1" applyFont="1" applyAlignment="1">
      <alignment horizontal="center"/>
    </xf>
    <xf numFmtId="1" fontId="2" fillId="7" borderId="0" xfId="0" applyNumberFormat="1" applyFont="1" applyFill="1" applyAlignment="1">
      <alignment horizontal="center"/>
    </xf>
    <xf numFmtId="2" fontId="2" fillId="7" borderId="0" xfId="0" applyNumberFormat="1" applyFont="1" applyFill="1"/>
    <xf numFmtId="2" fontId="4" fillId="7" borderId="0" xfId="0" applyNumberFormat="1" applyFont="1" applyFill="1"/>
    <xf numFmtId="2" fontId="2" fillId="7" borderId="0" xfId="0" applyNumberFormat="1" applyFont="1" applyFill="1" applyAlignment="1">
      <alignment horizontal="center"/>
    </xf>
    <xf numFmtId="3" fontId="4" fillId="5" borderId="0" xfId="0" applyNumberFormat="1" applyFont="1" applyFill="1" applyAlignment="1">
      <alignment horizontal="center"/>
    </xf>
    <xf numFmtId="3" fontId="2" fillId="5" borderId="0" xfId="0" applyNumberFormat="1" applyFont="1" applyFill="1"/>
    <xf numFmtId="3" fontId="5" fillId="5" borderId="0" xfId="0" applyNumberFormat="1" applyFont="1" applyFill="1"/>
    <xf numFmtId="3" fontId="4" fillId="5" borderId="0" xfId="0" applyNumberFormat="1" applyFont="1" applyFill="1"/>
    <xf numFmtId="2" fontId="5" fillId="0" borderId="0" xfId="0" applyNumberFormat="1" applyFont="1" applyAlignment="1">
      <alignment horizontal="center"/>
    </xf>
    <xf numFmtId="3" fontId="4" fillId="3" borderId="0" xfId="0" applyNumberFormat="1" applyFont="1" applyFill="1"/>
    <xf numFmtId="2" fontId="5" fillId="3" borderId="0" xfId="0" applyNumberFormat="1" applyFont="1" applyFill="1" applyAlignment="1">
      <alignment horizontal="center"/>
    </xf>
    <xf numFmtId="1" fontId="5" fillId="0" borderId="0" xfId="0" applyNumberFormat="1" applyFont="1" applyAlignment="1">
      <alignment horizontal="center"/>
    </xf>
    <xf numFmtId="1" fontId="1" fillId="0" borderId="0" xfId="0" applyNumberFormat="1" applyFont="1"/>
    <xf numFmtId="0" fontId="6" fillId="0" borderId="0" xfId="0" applyFont="1"/>
    <xf numFmtId="3" fontId="1" fillId="0" borderId="0" xfId="0" applyNumberFormat="1" applyFont="1"/>
    <xf numFmtId="3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right"/>
    </xf>
    <xf numFmtId="3" fontId="5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right"/>
    </xf>
    <xf numFmtId="0" fontId="7" fillId="0" borderId="3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9" fillId="0" borderId="6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2" fontId="2" fillId="8" borderId="0" xfId="0" applyNumberFormat="1" applyFont="1" applyFill="1"/>
    <xf numFmtId="0" fontId="8" fillId="9" borderId="7" xfId="0" applyFont="1" applyFill="1" applyBorder="1" applyAlignment="1">
      <alignment vertical="center" wrapText="1"/>
    </xf>
    <xf numFmtId="165" fontId="8" fillId="9" borderId="7" xfId="0" applyNumberFormat="1" applyFont="1" applyFill="1" applyBorder="1" applyAlignment="1">
      <alignment vertical="center" wrapText="1"/>
    </xf>
    <xf numFmtId="165" fontId="9" fillId="9" borderId="7" xfId="0" applyNumberFormat="1" applyFont="1" applyFill="1" applyBorder="1" applyAlignment="1">
      <alignment vertical="center" wrapText="1"/>
    </xf>
    <xf numFmtId="0" fontId="0" fillId="9" borderId="0" xfId="0" applyFill="1"/>
    <xf numFmtId="165" fontId="0" fillId="9" borderId="0" xfId="0" applyNumberFormat="1" applyFill="1"/>
    <xf numFmtId="165" fontId="8" fillId="10" borderId="7" xfId="0" applyNumberFormat="1" applyFont="1" applyFill="1" applyBorder="1" applyAlignment="1">
      <alignment vertical="center" wrapText="1"/>
    </xf>
    <xf numFmtId="165" fontId="9" fillId="10" borderId="7" xfId="0" applyNumberFormat="1" applyFont="1" applyFill="1" applyBorder="1" applyAlignment="1">
      <alignment vertical="center" wrapText="1"/>
    </xf>
    <xf numFmtId="0" fontId="0" fillId="10" borderId="0" xfId="0" applyFill="1"/>
    <xf numFmtId="165" fontId="0" fillId="10" borderId="0" xfId="0" applyNumberFormat="1" applyFill="1"/>
    <xf numFmtId="0" fontId="8" fillId="11" borderId="7" xfId="0" applyFont="1" applyFill="1" applyBorder="1" applyAlignment="1">
      <alignment vertical="center" wrapText="1"/>
    </xf>
    <xf numFmtId="165" fontId="8" fillId="11" borderId="7" xfId="0" applyNumberFormat="1" applyFont="1" applyFill="1" applyBorder="1" applyAlignment="1">
      <alignment vertical="center" wrapText="1"/>
    </xf>
    <xf numFmtId="165" fontId="9" fillId="11" borderId="7" xfId="0" applyNumberFormat="1" applyFont="1" applyFill="1" applyBorder="1" applyAlignment="1">
      <alignment vertical="center" wrapText="1"/>
    </xf>
    <xf numFmtId="0" fontId="0" fillId="11" borderId="0" xfId="0" applyFill="1"/>
    <xf numFmtId="165" fontId="0" fillId="11" borderId="0" xfId="0" applyNumberFormat="1" applyFill="1"/>
    <xf numFmtId="0" fontId="8" fillId="12" borderId="7" xfId="0" applyFont="1" applyFill="1" applyBorder="1" applyAlignment="1">
      <alignment vertical="center" wrapText="1"/>
    </xf>
    <xf numFmtId="165" fontId="8" fillId="12" borderId="7" xfId="0" applyNumberFormat="1" applyFont="1" applyFill="1" applyBorder="1" applyAlignment="1">
      <alignment vertical="center" wrapText="1"/>
    </xf>
    <xf numFmtId="165" fontId="9" fillId="12" borderId="7" xfId="0" applyNumberFormat="1" applyFont="1" applyFill="1" applyBorder="1" applyAlignment="1">
      <alignment vertical="center" wrapText="1"/>
    </xf>
    <xf numFmtId="0" fontId="0" fillId="12" borderId="0" xfId="0" applyFill="1"/>
    <xf numFmtId="165" fontId="0" fillId="12" borderId="0" xfId="0" applyNumberFormat="1" applyFill="1"/>
    <xf numFmtId="0" fontId="8" fillId="13" borderId="7" xfId="0" applyFont="1" applyFill="1" applyBorder="1" applyAlignment="1">
      <alignment vertical="center" wrapText="1"/>
    </xf>
    <xf numFmtId="165" fontId="8" fillId="13" borderId="7" xfId="0" applyNumberFormat="1" applyFont="1" applyFill="1" applyBorder="1" applyAlignment="1">
      <alignment vertical="center" wrapText="1"/>
    </xf>
    <xf numFmtId="165" fontId="9" fillId="13" borderId="7" xfId="0" applyNumberFormat="1" applyFont="1" applyFill="1" applyBorder="1" applyAlignment="1">
      <alignment vertical="center" wrapText="1"/>
    </xf>
    <xf numFmtId="0" fontId="0" fillId="13" borderId="0" xfId="0" applyFill="1"/>
    <xf numFmtId="165" fontId="0" fillId="13" borderId="0" xfId="0" applyNumberFormat="1" applyFill="1"/>
    <xf numFmtId="9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/>
    <xf numFmtId="9" fontId="0" fillId="14" borderId="0" xfId="0" applyNumberFormat="1" applyFill="1"/>
    <xf numFmtId="2" fontId="0" fillId="14" borderId="0" xfId="0" applyNumberFormat="1" applyFill="1"/>
    <xf numFmtId="9" fontId="0" fillId="0" borderId="0" xfId="13" applyFont="1" applyAlignment="1"/>
    <xf numFmtId="10" fontId="0" fillId="0" borderId="0" xfId="13" applyNumberFormat="1" applyFont="1" applyAlignment="1"/>
    <xf numFmtId="10" fontId="0" fillId="14" borderId="0" xfId="13" applyNumberFormat="1" applyFont="1" applyFill="1" applyAlignment="1"/>
    <xf numFmtId="2" fontId="0" fillId="0" borderId="0" xfId="0" applyNumberFormat="1" applyAlignment="1">
      <alignment horizontal="center"/>
    </xf>
    <xf numFmtId="0" fontId="3" fillId="0" borderId="0" xfId="0" applyFont="1" applyAlignment="1">
      <alignment horizontal="left"/>
    </xf>
    <xf numFmtId="2" fontId="3" fillId="8" borderId="0" xfId="0" applyNumberFormat="1" applyFont="1" applyFill="1"/>
    <xf numFmtId="2" fontId="3" fillId="3" borderId="0" xfId="0" applyNumberFormat="1" applyFont="1" applyFill="1"/>
    <xf numFmtId="2" fontId="1" fillId="2" borderId="0" xfId="0" applyNumberFormat="1" applyFont="1" applyFill="1"/>
    <xf numFmtId="2" fontId="1" fillId="15" borderId="0" xfId="0" applyNumberFormat="1" applyFont="1" applyFill="1"/>
    <xf numFmtId="2" fontId="1" fillId="4" borderId="0" xfId="0" applyNumberFormat="1" applyFont="1" applyFill="1"/>
    <xf numFmtId="164" fontId="1" fillId="4" borderId="0" xfId="0" applyNumberFormat="1" applyFont="1" applyFill="1" applyAlignment="1">
      <alignment horizontal="right"/>
    </xf>
    <xf numFmtId="2" fontId="1" fillId="4" borderId="0" xfId="0" applyNumberFormat="1" applyFont="1" applyFill="1" applyAlignment="1">
      <alignment horizontal="center"/>
    </xf>
    <xf numFmtId="2" fontId="1" fillId="5" borderId="0" xfId="0" applyNumberFormat="1" applyFont="1" applyFill="1"/>
    <xf numFmtId="2" fontId="1" fillId="5" borderId="0" xfId="0" applyNumberFormat="1" applyFont="1" applyFill="1" applyAlignment="1">
      <alignment horizontal="right" vertical="top"/>
    </xf>
    <xf numFmtId="2" fontId="1" fillId="5" borderId="1" xfId="0" applyNumberFormat="1" applyFont="1" applyFill="1" applyBorder="1"/>
    <xf numFmtId="2" fontId="3" fillId="2" borderId="0" xfId="0" applyNumberFormat="1" applyFont="1" applyFill="1"/>
    <xf numFmtId="2" fontId="3" fillId="5" borderId="0" xfId="0" applyNumberFormat="1" applyFont="1" applyFill="1"/>
    <xf numFmtId="2" fontId="1" fillId="3" borderId="0" xfId="0" applyNumberFormat="1" applyFont="1" applyFill="1"/>
    <xf numFmtId="2" fontId="3" fillId="0" borderId="0" xfId="0" applyNumberFormat="1" applyFont="1"/>
    <xf numFmtId="2" fontId="1" fillId="6" borderId="0" xfId="0" applyNumberFormat="1" applyFont="1" applyFill="1"/>
    <xf numFmtId="2" fontId="3" fillId="7" borderId="0" xfId="0" applyNumberFormat="1" applyFont="1" applyFill="1"/>
    <xf numFmtId="2" fontId="1" fillId="7" borderId="0" xfId="0" applyNumberFormat="1" applyFont="1" applyFill="1"/>
    <xf numFmtId="3" fontId="3" fillId="5" borderId="0" xfId="0" applyNumberFormat="1" applyFont="1" applyFill="1"/>
    <xf numFmtId="3" fontId="1" fillId="5" borderId="0" xfId="0" applyNumberFormat="1" applyFont="1" applyFill="1" applyAlignment="1">
      <alignment horizontal="center"/>
    </xf>
    <xf numFmtId="3" fontId="1" fillId="3" borderId="0" xfId="0" applyNumberFormat="1" applyFont="1" applyFill="1"/>
    <xf numFmtId="2" fontId="1" fillId="16" borderId="1" xfId="0" applyNumberFormat="1" applyFont="1" applyFill="1" applyBorder="1"/>
    <xf numFmtId="2" fontId="1" fillId="17" borderId="0" xfId="0" applyNumberFormat="1" applyFont="1" applyFill="1"/>
    <xf numFmtId="0" fontId="13" fillId="0" borderId="0" xfId="0" applyFont="1"/>
    <xf numFmtId="2" fontId="13" fillId="0" borderId="0" xfId="0" applyNumberFormat="1" applyFont="1"/>
    <xf numFmtId="0" fontId="7" fillId="0" borderId="9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8" fillId="10" borderId="9" xfId="0" applyFont="1" applyFill="1" applyBorder="1" applyAlignment="1">
      <alignment vertical="center" wrapText="1"/>
    </xf>
    <xf numFmtId="0" fontId="8" fillId="10" borderId="6" xfId="0" applyFont="1" applyFill="1" applyBorder="1" applyAlignment="1">
      <alignment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13" fillId="0" borderId="0" xfId="0" applyFont="1" applyAlignment="1">
      <alignment horizontal="center"/>
    </xf>
  </cellXfs>
  <cellStyles count="158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Normal" xfId="0" builtinId="0"/>
    <cellStyle name="Percent" xfId="13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3.xml"/><Relationship Id="rId13" Type="http://schemas.openxmlformats.org/officeDocument/2006/relationships/sharedStrings" Target="sharedStrings.xml"/><Relationship Id="rId3" Type="http://schemas.openxmlformats.org/officeDocument/2006/relationships/chartsheet" Target="chartsheets/sheet1.xml"/><Relationship Id="rId7" Type="http://schemas.openxmlformats.org/officeDocument/2006/relationships/chartsheet" Target="chartsheets/sheet5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theme" Target="theme/theme1.xml"/><Relationship Id="rId5" Type="http://schemas.openxmlformats.org/officeDocument/2006/relationships/chartsheet" Target="chartsheets/sheet3.xml"/><Relationship Id="rId10" Type="http://schemas.openxmlformats.org/officeDocument/2006/relationships/worksheet" Target="worksheets/sheet4.xml"/><Relationship Id="rId4" Type="http://schemas.openxmlformats.org/officeDocument/2006/relationships/chartsheet" Target="chartsheets/sheet2.xml"/><Relationship Id="rId9" Type="http://schemas.openxmlformats.org/officeDocument/2006/relationships/chartsheet" Target="chartsheets/sheet6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Sensitivity Analysis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-20%</c:v>
          </c:tx>
          <c:invertIfNegative val="0"/>
          <c:cat>
            <c:strRef>
              <c:f>Sensitivity!$H$71:$L$71</c:f>
              <c:strCache>
                <c:ptCount val="5"/>
                <c:pt idx="0">
                  <c:v>Adjusted Personal Consumption</c:v>
                </c:pt>
                <c:pt idx="1">
                  <c:v>Cost of Climate Change</c:v>
                </c:pt>
                <c:pt idx="2">
                  <c:v>Value of Housework</c:v>
                </c:pt>
                <c:pt idx="3">
                  <c:v>Cost of Family Changes</c:v>
                </c:pt>
                <c:pt idx="4">
                  <c:v>Cost of Air Pollution</c:v>
                </c:pt>
              </c:strCache>
            </c:strRef>
          </c:cat>
          <c:val>
            <c:numRef>
              <c:f>Sensitivity!$H$72:$L$72</c:f>
              <c:numCache>
                <c:formatCode>0.00</c:formatCode>
                <c:ptCount val="5"/>
                <c:pt idx="0">
                  <c:v>321.45785999403745</c:v>
                </c:pt>
                <c:pt idx="1">
                  <c:v>428.22785999403749</c:v>
                </c:pt>
                <c:pt idx="2">
                  <c:v>349.51050747591745</c:v>
                </c:pt>
                <c:pt idx="3">
                  <c:v>408.63845345781186</c:v>
                </c:pt>
                <c:pt idx="4">
                  <c:v>407.93585999403746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93-4F4B-B34E-86D7705407EF}"/>
            </c:ext>
          </c:extLst>
        </c:ser>
        <c:ser>
          <c:idx val="1"/>
          <c:order val="1"/>
          <c:tx>
            <c:v>20%</c:v>
          </c:tx>
          <c:invertIfNegative val="0"/>
          <c:cat>
            <c:strRef>
              <c:f>Sensitivity!$H$71:$L$71</c:f>
              <c:strCache>
                <c:ptCount val="5"/>
                <c:pt idx="0">
                  <c:v>Adjusted Personal Consumption</c:v>
                </c:pt>
                <c:pt idx="1">
                  <c:v>Cost of Climate Change</c:v>
                </c:pt>
                <c:pt idx="2">
                  <c:v>Value of Housework</c:v>
                </c:pt>
                <c:pt idx="3">
                  <c:v>Cost of Family Changes</c:v>
                </c:pt>
                <c:pt idx="4">
                  <c:v>Cost of Air Pollution</c:v>
                </c:pt>
              </c:strCache>
            </c:strRef>
          </c:cat>
          <c:val>
            <c:numRef>
              <c:f>Sensitivity!$H$74:$L$74</c:f>
              <c:numCache>
                <c:formatCode>0.00</c:formatCode>
                <c:ptCount val="5"/>
                <c:pt idx="0">
                  <c:v>492.59385999403747</c:v>
                </c:pt>
                <c:pt idx="1">
                  <c:v>385.82385999403749</c:v>
                </c:pt>
                <c:pt idx="2">
                  <c:v>464.54121251215741</c:v>
                </c:pt>
                <c:pt idx="3">
                  <c:v>405.41326653026312</c:v>
                </c:pt>
                <c:pt idx="4">
                  <c:v>406.11585999403741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93-4F4B-B34E-86D7705407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-2107256728"/>
        <c:axId val="-2108100328"/>
      </c:barChart>
      <c:catAx>
        <c:axId val="-2107256728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GPI</a:t>
                </a:r>
                <a:r>
                  <a:rPr lang="en-US" baseline="0"/>
                  <a:t> Indicator</a:t>
                </a:r>
                <a:endParaRPr lang="en-US"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-2108100328"/>
        <c:crossesAt val="407.03"/>
        <c:auto val="1"/>
        <c:lblAlgn val="ctr"/>
        <c:lblOffset val="100"/>
        <c:noMultiLvlLbl val="0"/>
      </c:catAx>
      <c:valAx>
        <c:axId val="-2108100328"/>
        <c:scaling>
          <c:orientation val="minMax"/>
          <c:min val="30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1990 GPI ($AUD</a:t>
                </a:r>
                <a:r>
                  <a:rPr lang="en-US" baseline="0"/>
                  <a:t> in 2012 BIllions)</a:t>
                </a:r>
                <a:endParaRPr lang="en-US"/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-2107256728"/>
        <c:crosses val="autoZero"/>
        <c:crossBetween val="between"/>
        <c:majorUnit val="25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8"/>
  <c:chart>
    <c:title>
      <c:tx>
        <c:rich>
          <a:bodyPr/>
          <a:lstStyle/>
          <a:p>
            <a:pPr lvl="0">
              <a:defRPr sz="1600" b="1">
                <a:solidFill>
                  <a:srgbClr val="000000"/>
                </a:solidFill>
              </a:defRPr>
            </a:pPr>
            <a:r>
              <a:rPr lang="en-US"/>
              <a:t>GPI/capita &amp; GDP/capita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Australia!$B$49</c:f>
              <c:strCache>
                <c:ptCount val="1"/>
                <c:pt idx="0">
                  <c:v>Australia GPI per capita</c:v>
                </c:pt>
              </c:strCache>
            </c:strRef>
          </c:tx>
          <c:spPr>
            <a:ln w="19050" cmpd="sng">
              <a:solidFill>
                <a:srgbClr val="3366CC"/>
              </a:solidFill>
            </a:ln>
          </c:spPr>
          <c:marker>
            <c:symbol val="none"/>
          </c:marker>
          <c:cat>
            <c:numRef>
              <c:f>Australia!$C$48:$BB$48</c:f>
              <c:numCache>
                <c:formatCode>General</c:formatCode>
                <c:ptCount val="52"/>
                <c:pt idx="0">
                  <c:v>1962</c:v>
                </c:pt>
                <c:pt idx="1">
                  <c:v>1963</c:v>
                </c:pt>
                <c:pt idx="2">
                  <c:v>1964</c:v>
                </c:pt>
                <c:pt idx="3">
                  <c:v>1965</c:v>
                </c:pt>
                <c:pt idx="4">
                  <c:v>1966</c:v>
                </c:pt>
                <c:pt idx="5">
                  <c:v>1967</c:v>
                </c:pt>
                <c:pt idx="6">
                  <c:v>1968</c:v>
                </c:pt>
                <c:pt idx="7">
                  <c:v>1969</c:v>
                </c:pt>
                <c:pt idx="8">
                  <c:v>1970</c:v>
                </c:pt>
                <c:pt idx="9">
                  <c:v>1971</c:v>
                </c:pt>
                <c:pt idx="10">
                  <c:v>1972</c:v>
                </c:pt>
                <c:pt idx="11">
                  <c:v>1973</c:v>
                </c:pt>
                <c:pt idx="12">
                  <c:v>1974</c:v>
                </c:pt>
                <c:pt idx="13">
                  <c:v>1975</c:v>
                </c:pt>
                <c:pt idx="14">
                  <c:v>1976</c:v>
                </c:pt>
                <c:pt idx="15">
                  <c:v>1977</c:v>
                </c:pt>
                <c:pt idx="16">
                  <c:v>1978</c:v>
                </c:pt>
                <c:pt idx="17">
                  <c:v>1979</c:v>
                </c:pt>
                <c:pt idx="18">
                  <c:v>1980</c:v>
                </c:pt>
                <c:pt idx="19">
                  <c:v>1981</c:v>
                </c:pt>
                <c:pt idx="20">
                  <c:v>1982</c:v>
                </c:pt>
                <c:pt idx="21">
                  <c:v>1983</c:v>
                </c:pt>
                <c:pt idx="22">
                  <c:v>1984</c:v>
                </c:pt>
                <c:pt idx="23">
                  <c:v>1985</c:v>
                </c:pt>
                <c:pt idx="24">
                  <c:v>1986</c:v>
                </c:pt>
                <c:pt idx="25">
                  <c:v>1987</c:v>
                </c:pt>
                <c:pt idx="26">
                  <c:v>1988</c:v>
                </c:pt>
                <c:pt idx="27">
                  <c:v>1989</c:v>
                </c:pt>
                <c:pt idx="28">
                  <c:v>1990</c:v>
                </c:pt>
                <c:pt idx="29">
                  <c:v>1991</c:v>
                </c:pt>
                <c:pt idx="30">
                  <c:v>1992</c:v>
                </c:pt>
                <c:pt idx="31">
                  <c:v>1993</c:v>
                </c:pt>
                <c:pt idx="32">
                  <c:v>1994</c:v>
                </c:pt>
                <c:pt idx="33">
                  <c:v>1995</c:v>
                </c:pt>
                <c:pt idx="34">
                  <c:v>1996</c:v>
                </c:pt>
                <c:pt idx="35">
                  <c:v>1997</c:v>
                </c:pt>
                <c:pt idx="36">
                  <c:v>1998</c:v>
                </c:pt>
                <c:pt idx="37">
                  <c:v>1999</c:v>
                </c:pt>
                <c:pt idx="38">
                  <c:v>2000</c:v>
                </c:pt>
                <c:pt idx="39">
                  <c:v>2001</c:v>
                </c:pt>
                <c:pt idx="40">
                  <c:v>2002</c:v>
                </c:pt>
                <c:pt idx="41">
                  <c:v>2003</c:v>
                </c:pt>
                <c:pt idx="42">
                  <c:v>2004</c:v>
                </c:pt>
                <c:pt idx="43">
                  <c:v>2005</c:v>
                </c:pt>
                <c:pt idx="44">
                  <c:v>2006</c:v>
                </c:pt>
                <c:pt idx="45">
                  <c:v>2007</c:v>
                </c:pt>
                <c:pt idx="46">
                  <c:v>2008</c:v>
                </c:pt>
                <c:pt idx="47">
                  <c:v>2009</c:v>
                </c:pt>
                <c:pt idx="48">
                  <c:v>2010</c:v>
                </c:pt>
                <c:pt idx="49">
                  <c:v>2011</c:v>
                </c:pt>
                <c:pt idx="50">
                  <c:v>2012</c:v>
                </c:pt>
                <c:pt idx="51">
                  <c:v>2013</c:v>
                </c:pt>
              </c:numCache>
            </c:numRef>
          </c:cat>
          <c:val>
            <c:numRef>
              <c:f>Australia!$C$49:$BB$49</c:f>
              <c:numCache>
                <c:formatCode>#,##0</c:formatCode>
                <c:ptCount val="52"/>
                <c:pt idx="0">
                  <c:v>16955.005696185042</c:v>
                </c:pt>
                <c:pt idx="1">
                  <c:v>16381.731261412839</c:v>
                </c:pt>
                <c:pt idx="2">
                  <c:v>16444.89593576243</c:v>
                </c:pt>
                <c:pt idx="3">
                  <c:v>16729.218696222437</c:v>
                </c:pt>
                <c:pt idx="4">
                  <c:v>17106.121102849036</c:v>
                </c:pt>
                <c:pt idx="5">
                  <c:v>17645.174456413621</c:v>
                </c:pt>
                <c:pt idx="6">
                  <c:v>18034.811875131265</c:v>
                </c:pt>
                <c:pt idx="7">
                  <c:v>18711.089091549413</c:v>
                </c:pt>
                <c:pt idx="8">
                  <c:v>19459.174250305496</c:v>
                </c:pt>
                <c:pt idx="9">
                  <c:v>19076.766920848491</c:v>
                </c:pt>
                <c:pt idx="10">
                  <c:v>18988.850853432064</c:v>
                </c:pt>
                <c:pt idx="11">
                  <c:v>19725.687343892198</c:v>
                </c:pt>
                <c:pt idx="12">
                  <c:v>20892.559237050693</c:v>
                </c:pt>
                <c:pt idx="13">
                  <c:v>21943.301452188174</c:v>
                </c:pt>
                <c:pt idx="14">
                  <c:v>22806.622757739846</c:v>
                </c:pt>
                <c:pt idx="15">
                  <c:v>22641.14245400234</c:v>
                </c:pt>
                <c:pt idx="16">
                  <c:v>23297.73783358674</c:v>
                </c:pt>
                <c:pt idx="17">
                  <c:v>23451.358597842005</c:v>
                </c:pt>
                <c:pt idx="18">
                  <c:v>21627.648342422221</c:v>
                </c:pt>
                <c:pt idx="19">
                  <c:v>22532.584324933323</c:v>
                </c:pt>
                <c:pt idx="20">
                  <c:v>22539.432067710441</c:v>
                </c:pt>
                <c:pt idx="21">
                  <c:v>22690.076213436168</c:v>
                </c:pt>
                <c:pt idx="22">
                  <c:v>22232.210688235406</c:v>
                </c:pt>
                <c:pt idx="23">
                  <c:v>22069.206465764662</c:v>
                </c:pt>
                <c:pt idx="24">
                  <c:v>22040.224600345824</c:v>
                </c:pt>
                <c:pt idx="25">
                  <c:v>22299.392631578987</c:v>
                </c:pt>
                <c:pt idx="26">
                  <c:v>22897.930854949944</c:v>
                </c:pt>
                <c:pt idx="27">
                  <c:v>23186.37806508406</c:v>
                </c:pt>
                <c:pt idx="28">
                  <c:v>23851.500732144006</c:v>
                </c:pt>
                <c:pt idx="29">
                  <c:v>23651.29091542686</c:v>
                </c:pt>
                <c:pt idx="30">
                  <c:v>23347.169720313133</c:v>
                </c:pt>
                <c:pt idx="31">
                  <c:v>23201.445872492641</c:v>
                </c:pt>
                <c:pt idx="32">
                  <c:v>23113.71642580719</c:v>
                </c:pt>
                <c:pt idx="33">
                  <c:v>23027.891478607205</c:v>
                </c:pt>
                <c:pt idx="34">
                  <c:v>23924.849327971438</c:v>
                </c:pt>
                <c:pt idx="35">
                  <c:v>25098.421448204721</c:v>
                </c:pt>
                <c:pt idx="36">
                  <c:v>24550.210703406268</c:v>
                </c:pt>
                <c:pt idx="37">
                  <c:v>25349.2247793229</c:v>
                </c:pt>
                <c:pt idx="38">
                  <c:v>25142.960724260145</c:v>
                </c:pt>
                <c:pt idx="39">
                  <c:v>26239.139447460057</c:v>
                </c:pt>
                <c:pt idx="40">
                  <c:v>26979.79826563899</c:v>
                </c:pt>
                <c:pt idx="41">
                  <c:v>27758.774355180263</c:v>
                </c:pt>
                <c:pt idx="42">
                  <c:v>28817.186088508752</c:v>
                </c:pt>
                <c:pt idx="43">
                  <c:v>29368.261592829207</c:v>
                </c:pt>
                <c:pt idx="44">
                  <c:v>30024.963909531249</c:v>
                </c:pt>
                <c:pt idx="45">
                  <c:v>30144.135285584809</c:v>
                </c:pt>
                <c:pt idx="46">
                  <c:v>30006.129641553638</c:v>
                </c:pt>
                <c:pt idx="47">
                  <c:v>29477.75736534307</c:v>
                </c:pt>
                <c:pt idx="48">
                  <c:v>31521.987575249135</c:v>
                </c:pt>
                <c:pt idx="49">
                  <c:v>33044.572248312666</c:v>
                </c:pt>
                <c:pt idx="50">
                  <c:v>33936.541203783832</c:v>
                </c:pt>
                <c:pt idx="51">
                  <c:v>34514.075819497462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24-3B47-AE3F-CA433556DEDB}"/>
            </c:ext>
          </c:extLst>
        </c:ser>
        <c:ser>
          <c:idx val="1"/>
          <c:order val="1"/>
          <c:tx>
            <c:strRef>
              <c:f>Australia!$B$50</c:f>
              <c:strCache>
                <c:ptCount val="1"/>
                <c:pt idx="0">
                  <c:v>Australia GDP per capita</c:v>
                </c:pt>
              </c:strCache>
            </c:strRef>
          </c:tx>
          <c:spPr>
            <a:ln w="19050" cmpd="sng">
              <a:solidFill>
                <a:srgbClr val="DC3912"/>
              </a:solidFill>
            </a:ln>
          </c:spPr>
          <c:marker>
            <c:symbol val="none"/>
          </c:marker>
          <c:cat>
            <c:numRef>
              <c:f>Australia!$C$48:$BB$48</c:f>
              <c:numCache>
                <c:formatCode>General</c:formatCode>
                <c:ptCount val="52"/>
                <c:pt idx="0">
                  <c:v>1962</c:v>
                </c:pt>
                <c:pt idx="1">
                  <c:v>1963</c:v>
                </c:pt>
                <c:pt idx="2">
                  <c:v>1964</c:v>
                </c:pt>
                <c:pt idx="3">
                  <c:v>1965</c:v>
                </c:pt>
                <c:pt idx="4">
                  <c:v>1966</c:v>
                </c:pt>
                <c:pt idx="5">
                  <c:v>1967</c:v>
                </c:pt>
                <c:pt idx="6">
                  <c:v>1968</c:v>
                </c:pt>
                <c:pt idx="7">
                  <c:v>1969</c:v>
                </c:pt>
                <c:pt idx="8">
                  <c:v>1970</c:v>
                </c:pt>
                <c:pt idx="9">
                  <c:v>1971</c:v>
                </c:pt>
                <c:pt idx="10">
                  <c:v>1972</c:v>
                </c:pt>
                <c:pt idx="11">
                  <c:v>1973</c:v>
                </c:pt>
                <c:pt idx="12">
                  <c:v>1974</c:v>
                </c:pt>
                <c:pt idx="13">
                  <c:v>1975</c:v>
                </c:pt>
                <c:pt idx="14">
                  <c:v>1976</c:v>
                </c:pt>
                <c:pt idx="15">
                  <c:v>1977</c:v>
                </c:pt>
                <c:pt idx="16">
                  <c:v>1978</c:v>
                </c:pt>
                <c:pt idx="17">
                  <c:v>1979</c:v>
                </c:pt>
                <c:pt idx="18">
                  <c:v>1980</c:v>
                </c:pt>
                <c:pt idx="19">
                  <c:v>1981</c:v>
                </c:pt>
                <c:pt idx="20">
                  <c:v>1982</c:v>
                </c:pt>
                <c:pt idx="21">
                  <c:v>1983</c:v>
                </c:pt>
                <c:pt idx="22">
                  <c:v>1984</c:v>
                </c:pt>
                <c:pt idx="23">
                  <c:v>1985</c:v>
                </c:pt>
                <c:pt idx="24">
                  <c:v>1986</c:v>
                </c:pt>
                <c:pt idx="25">
                  <c:v>1987</c:v>
                </c:pt>
                <c:pt idx="26">
                  <c:v>1988</c:v>
                </c:pt>
                <c:pt idx="27">
                  <c:v>1989</c:v>
                </c:pt>
                <c:pt idx="28">
                  <c:v>1990</c:v>
                </c:pt>
                <c:pt idx="29">
                  <c:v>1991</c:v>
                </c:pt>
                <c:pt idx="30">
                  <c:v>1992</c:v>
                </c:pt>
                <c:pt idx="31">
                  <c:v>1993</c:v>
                </c:pt>
                <c:pt idx="32">
                  <c:v>1994</c:v>
                </c:pt>
                <c:pt idx="33">
                  <c:v>1995</c:v>
                </c:pt>
                <c:pt idx="34">
                  <c:v>1996</c:v>
                </c:pt>
                <c:pt idx="35">
                  <c:v>1997</c:v>
                </c:pt>
                <c:pt idx="36">
                  <c:v>1998</c:v>
                </c:pt>
                <c:pt idx="37">
                  <c:v>1999</c:v>
                </c:pt>
                <c:pt idx="38">
                  <c:v>2000</c:v>
                </c:pt>
                <c:pt idx="39">
                  <c:v>2001</c:v>
                </c:pt>
                <c:pt idx="40">
                  <c:v>2002</c:v>
                </c:pt>
                <c:pt idx="41">
                  <c:v>2003</c:v>
                </c:pt>
                <c:pt idx="42">
                  <c:v>2004</c:v>
                </c:pt>
                <c:pt idx="43">
                  <c:v>2005</c:v>
                </c:pt>
                <c:pt idx="44">
                  <c:v>2006</c:v>
                </c:pt>
                <c:pt idx="45">
                  <c:v>2007</c:v>
                </c:pt>
                <c:pt idx="46">
                  <c:v>2008</c:v>
                </c:pt>
                <c:pt idx="47">
                  <c:v>2009</c:v>
                </c:pt>
                <c:pt idx="48">
                  <c:v>2010</c:v>
                </c:pt>
                <c:pt idx="49">
                  <c:v>2011</c:v>
                </c:pt>
                <c:pt idx="50">
                  <c:v>2012</c:v>
                </c:pt>
                <c:pt idx="51">
                  <c:v>2013</c:v>
                </c:pt>
              </c:numCache>
            </c:numRef>
          </c:cat>
          <c:val>
            <c:numRef>
              <c:f>Australia!$C$50:$BB$50</c:f>
              <c:numCache>
                <c:formatCode>#,##0</c:formatCode>
                <c:ptCount val="52"/>
                <c:pt idx="0">
                  <c:v>21192.873412772296</c:v>
                </c:pt>
                <c:pt idx="1">
                  <c:v>22191.780821917808</c:v>
                </c:pt>
                <c:pt idx="2">
                  <c:v>23193.337512313065</c:v>
                </c:pt>
                <c:pt idx="3">
                  <c:v>23918.882622058311</c:v>
                </c:pt>
                <c:pt idx="4">
                  <c:v>24116.228804207261</c:v>
                </c:pt>
                <c:pt idx="5">
                  <c:v>25547.362768031191</c:v>
                </c:pt>
                <c:pt idx="6">
                  <c:v>26385.10248147223</c:v>
                </c:pt>
                <c:pt idx="7">
                  <c:v>28061.30551251733</c:v>
                </c:pt>
                <c:pt idx="8">
                  <c:v>29450.707603741903</c:v>
                </c:pt>
                <c:pt idx="9">
                  <c:v>28819.11986684013</c:v>
                </c:pt>
                <c:pt idx="10">
                  <c:v>29836.622714972938</c:v>
                </c:pt>
                <c:pt idx="11">
                  <c:v>29217.867574972232</c:v>
                </c:pt>
                <c:pt idx="12">
                  <c:v>29863.960453253661</c:v>
                </c:pt>
                <c:pt idx="13">
                  <c:v>30464.553919239905</c:v>
                </c:pt>
                <c:pt idx="14">
                  <c:v>30866.231974631228</c:v>
                </c:pt>
                <c:pt idx="15">
                  <c:v>32210.970631341603</c:v>
                </c:pt>
                <c:pt idx="16">
                  <c:v>32303.750783480744</c:v>
                </c:pt>
                <c:pt idx="17">
                  <c:v>32783.379312482779</c:v>
                </c:pt>
                <c:pt idx="18">
                  <c:v>33609.120748553927</c:v>
                </c:pt>
                <c:pt idx="19">
                  <c:v>33742.527313542851</c:v>
                </c:pt>
                <c:pt idx="20">
                  <c:v>34406.518137513172</c:v>
                </c:pt>
                <c:pt idx="21">
                  <c:v>33647.92215942312</c:v>
                </c:pt>
                <c:pt idx="22">
                  <c:v>36619.808716862441</c:v>
                </c:pt>
                <c:pt idx="23">
                  <c:v>36744.112579174049</c:v>
                </c:pt>
                <c:pt idx="24">
                  <c:v>36590.873554750906</c:v>
                </c:pt>
                <c:pt idx="25">
                  <c:v>36915.577840629616</c:v>
                </c:pt>
                <c:pt idx="26">
                  <c:v>38285.833916041614</c:v>
                </c:pt>
                <c:pt idx="27">
                  <c:v>39626.333644581893</c:v>
                </c:pt>
                <c:pt idx="28">
                  <c:v>40132.991004980955</c:v>
                </c:pt>
                <c:pt idx="29">
                  <c:v>40074.891460310108</c:v>
                </c:pt>
                <c:pt idx="30">
                  <c:v>40267.479518279077</c:v>
                </c:pt>
                <c:pt idx="31">
                  <c:v>41146.542727530483</c:v>
                </c:pt>
                <c:pt idx="32">
                  <c:v>41739.778242066837</c:v>
                </c:pt>
                <c:pt idx="33">
                  <c:v>41710.046870313803</c:v>
                </c:pt>
                <c:pt idx="34">
                  <c:v>43327.232153635116</c:v>
                </c:pt>
                <c:pt idx="35">
                  <c:v>45232.446686207462</c:v>
                </c:pt>
                <c:pt idx="36">
                  <c:v>46664.120738392085</c:v>
                </c:pt>
                <c:pt idx="37">
                  <c:v>47716.794370614494</c:v>
                </c:pt>
                <c:pt idx="38">
                  <c:v>47503.561952808872</c:v>
                </c:pt>
                <c:pt idx="39">
                  <c:v>48528.040679636833</c:v>
                </c:pt>
                <c:pt idx="40">
                  <c:v>49807.378579122851</c:v>
                </c:pt>
                <c:pt idx="41">
                  <c:v>51083.495258861112</c:v>
                </c:pt>
                <c:pt idx="42">
                  <c:v>53035.029298148795</c:v>
                </c:pt>
                <c:pt idx="43">
                  <c:v>54545.849184715276</c:v>
                </c:pt>
                <c:pt idx="44">
                  <c:v>56348.73556305316</c:v>
                </c:pt>
                <c:pt idx="45">
                  <c:v>58575.426301133091</c:v>
                </c:pt>
                <c:pt idx="46">
                  <c:v>60019.223728175442</c:v>
                </c:pt>
                <c:pt idx="47">
                  <c:v>61502.80149363821</c:v>
                </c:pt>
                <c:pt idx="48">
                  <c:v>60692.609250181551</c:v>
                </c:pt>
                <c:pt idx="49">
                  <c:v>63146.211862130709</c:v>
                </c:pt>
                <c:pt idx="50">
                  <c:v>64204.338526538158</c:v>
                </c:pt>
                <c:pt idx="51">
                  <c:v>62733.744402178621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24-3B47-AE3F-CA433556DE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44143336"/>
        <c:axId val="-2144138712"/>
      </c:lineChart>
      <c:catAx>
        <c:axId val="-21441433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400" b="0" i="1">
                    <a:solidFill>
                      <a:srgbClr val="222222"/>
                    </a:solidFill>
                  </a:defRPr>
                </a:pPr>
                <a:r>
                  <a:rPr lang="en-US"/>
                  <a:t>Year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txPr>
          <a:bodyPr/>
          <a:lstStyle/>
          <a:p>
            <a:pPr lvl="0">
              <a:defRPr b="0"/>
            </a:pPr>
            <a:endParaRPr lang="en-US"/>
          </a:p>
        </c:txPr>
        <c:crossAx val="-2144138712"/>
        <c:crosses val="autoZero"/>
        <c:auto val="1"/>
        <c:lblAlgn val="ctr"/>
        <c:lblOffset val="100"/>
        <c:noMultiLvlLbl val="1"/>
      </c:catAx>
      <c:valAx>
        <c:axId val="-21441387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numFmt formatCode="#,##0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/>
            </a:pPr>
            <a:endParaRPr lang="en-US"/>
          </a:p>
        </c:txPr>
        <c:crossAx val="-2144143336"/>
        <c:crosses val="autoZero"/>
        <c:crossBetween val="between"/>
      </c:valAx>
    </c:plotArea>
    <c:legend>
      <c:legendPos val="tr"/>
      <c:overlay val="1"/>
    </c:legend>
    <c:plotVisOnly val="1"/>
    <c:dispBlanksAs val="zero"/>
    <c:showDLblsOverMax val="1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8"/>
  <c:chart>
    <c:title>
      <c:tx>
        <c:rich>
          <a:bodyPr/>
          <a:lstStyle/>
          <a:p>
            <a:pPr lvl="0">
              <a:defRPr sz="1600" b="1">
                <a:solidFill>
                  <a:srgbClr val="000000"/>
                </a:solidFill>
              </a:defRPr>
            </a:pPr>
            <a:r>
              <a:t>GPI &amp; GDP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Australia!$B$3</c:f>
              <c:strCache>
                <c:ptCount val="1"/>
                <c:pt idx="0">
                  <c:v>GPI (Billions 2012$)</c:v>
                </c:pt>
              </c:strCache>
            </c:strRef>
          </c:tx>
          <c:spPr>
            <a:ln w="19050" cmpd="sng">
              <a:solidFill>
                <a:srgbClr val="3366CC"/>
              </a:solidFill>
            </a:ln>
          </c:spPr>
          <c:marker>
            <c:symbol val="none"/>
          </c:marker>
          <c:cat>
            <c:numRef>
              <c:f>Australia!$C$2:$BB$2</c:f>
              <c:numCache>
                <c:formatCode>General</c:formatCode>
                <c:ptCount val="52"/>
                <c:pt idx="0">
                  <c:v>1962</c:v>
                </c:pt>
                <c:pt idx="1">
                  <c:v>1963</c:v>
                </c:pt>
                <c:pt idx="2">
                  <c:v>1964</c:v>
                </c:pt>
                <c:pt idx="3">
                  <c:v>1965</c:v>
                </c:pt>
                <c:pt idx="4">
                  <c:v>1966</c:v>
                </c:pt>
                <c:pt idx="5">
                  <c:v>1967</c:v>
                </c:pt>
                <c:pt idx="6">
                  <c:v>1968</c:v>
                </c:pt>
                <c:pt idx="7">
                  <c:v>1969</c:v>
                </c:pt>
                <c:pt idx="8">
                  <c:v>1970</c:v>
                </c:pt>
                <c:pt idx="9">
                  <c:v>1971</c:v>
                </c:pt>
                <c:pt idx="10">
                  <c:v>1972</c:v>
                </c:pt>
                <c:pt idx="11">
                  <c:v>1973</c:v>
                </c:pt>
                <c:pt idx="12">
                  <c:v>1974</c:v>
                </c:pt>
                <c:pt idx="13">
                  <c:v>1975</c:v>
                </c:pt>
                <c:pt idx="14">
                  <c:v>1976</c:v>
                </c:pt>
                <c:pt idx="15">
                  <c:v>1977</c:v>
                </c:pt>
                <c:pt idx="16">
                  <c:v>1978</c:v>
                </c:pt>
                <c:pt idx="17">
                  <c:v>1979</c:v>
                </c:pt>
                <c:pt idx="18">
                  <c:v>1980</c:v>
                </c:pt>
                <c:pt idx="19">
                  <c:v>1981</c:v>
                </c:pt>
                <c:pt idx="20">
                  <c:v>1982</c:v>
                </c:pt>
                <c:pt idx="21">
                  <c:v>1983</c:v>
                </c:pt>
                <c:pt idx="22">
                  <c:v>1984</c:v>
                </c:pt>
                <c:pt idx="23">
                  <c:v>1985</c:v>
                </c:pt>
                <c:pt idx="24">
                  <c:v>1986</c:v>
                </c:pt>
                <c:pt idx="25">
                  <c:v>1987</c:v>
                </c:pt>
                <c:pt idx="26">
                  <c:v>1988</c:v>
                </c:pt>
                <c:pt idx="27">
                  <c:v>1989</c:v>
                </c:pt>
                <c:pt idx="28">
                  <c:v>1990</c:v>
                </c:pt>
                <c:pt idx="29">
                  <c:v>1991</c:v>
                </c:pt>
                <c:pt idx="30">
                  <c:v>1992</c:v>
                </c:pt>
                <c:pt idx="31">
                  <c:v>1993</c:v>
                </c:pt>
                <c:pt idx="32">
                  <c:v>1994</c:v>
                </c:pt>
                <c:pt idx="33">
                  <c:v>1995</c:v>
                </c:pt>
                <c:pt idx="34">
                  <c:v>1996</c:v>
                </c:pt>
                <c:pt idx="35">
                  <c:v>1997</c:v>
                </c:pt>
                <c:pt idx="36">
                  <c:v>1998</c:v>
                </c:pt>
                <c:pt idx="37">
                  <c:v>1999</c:v>
                </c:pt>
                <c:pt idx="38">
                  <c:v>2000</c:v>
                </c:pt>
                <c:pt idx="39">
                  <c:v>2001</c:v>
                </c:pt>
                <c:pt idx="40">
                  <c:v>2002</c:v>
                </c:pt>
                <c:pt idx="41">
                  <c:v>2003</c:v>
                </c:pt>
                <c:pt idx="42">
                  <c:v>2004</c:v>
                </c:pt>
                <c:pt idx="43">
                  <c:v>2005</c:v>
                </c:pt>
                <c:pt idx="44">
                  <c:v>2006</c:v>
                </c:pt>
                <c:pt idx="45">
                  <c:v>2007</c:v>
                </c:pt>
                <c:pt idx="46">
                  <c:v>2008</c:v>
                </c:pt>
                <c:pt idx="47">
                  <c:v>2009</c:v>
                </c:pt>
                <c:pt idx="48">
                  <c:v>2010</c:v>
                </c:pt>
                <c:pt idx="49">
                  <c:v>2011</c:v>
                </c:pt>
                <c:pt idx="50">
                  <c:v>2012</c:v>
                </c:pt>
                <c:pt idx="51">
                  <c:v>2013</c:v>
                </c:pt>
              </c:numCache>
            </c:numRef>
          </c:cat>
          <c:val>
            <c:numRef>
              <c:f>Australia!$C$3:$BB$3</c:f>
              <c:numCache>
                <c:formatCode>0.00</c:formatCode>
                <c:ptCount val="52"/>
                <c:pt idx="0">
                  <c:v>182.13067118841971</c:v>
                </c:pt>
                <c:pt idx="1">
                  <c:v>179.37995731247059</c:v>
                </c:pt>
                <c:pt idx="2">
                  <c:v>183.64015291465907</c:v>
                </c:pt>
                <c:pt idx="3">
                  <c:v>190.51234251258111</c:v>
                </c:pt>
                <c:pt idx="4">
                  <c:v>198.41389867194599</c:v>
                </c:pt>
                <c:pt idx="5">
                  <c:v>208.19541341122434</c:v>
                </c:pt>
                <c:pt idx="6">
                  <c:v>216.58005580845136</c:v>
                </c:pt>
                <c:pt idx="7">
                  <c:v>229.45408552967046</c:v>
                </c:pt>
                <c:pt idx="8">
                  <c:v>243.3758923485708</c:v>
                </c:pt>
                <c:pt idx="9">
                  <c:v>249.27611335472722</c:v>
                </c:pt>
                <c:pt idx="10">
                  <c:v>252.62767175406017</c:v>
                </c:pt>
                <c:pt idx="11">
                  <c:v>266.39540757926414</c:v>
                </c:pt>
                <c:pt idx="12">
                  <c:v>286.70859041004667</c:v>
                </c:pt>
                <c:pt idx="13">
                  <c:v>304.8582870752503</c:v>
                </c:pt>
                <c:pt idx="14">
                  <c:v>320.04533715936327</c:v>
                </c:pt>
                <c:pt idx="15">
                  <c:v>321.32309370720117</c:v>
                </c:pt>
                <c:pt idx="16">
                  <c:v>334.53221755247199</c:v>
                </c:pt>
                <c:pt idx="17">
                  <c:v>340.41992140627451</c:v>
                </c:pt>
                <c:pt idx="18">
                  <c:v>317.81829239189454</c:v>
                </c:pt>
                <c:pt idx="19">
                  <c:v>336.25375588098001</c:v>
                </c:pt>
                <c:pt idx="20">
                  <c:v>342.2387365161153</c:v>
                </c:pt>
                <c:pt idx="21">
                  <c:v>349.26834315342296</c:v>
                </c:pt>
                <c:pt idx="22">
                  <c:v>346.35561031201939</c:v>
                </c:pt>
                <c:pt idx="23">
                  <c:v>348.4286316814925</c:v>
                </c:pt>
                <c:pt idx="24">
                  <c:v>353.0403176483394</c:v>
                </c:pt>
                <c:pt idx="25">
                  <c:v>362.67732176000067</c:v>
                </c:pt>
                <c:pt idx="26">
                  <c:v>378.54859289403248</c:v>
                </c:pt>
                <c:pt idx="27">
                  <c:v>389.8557607863234</c:v>
                </c:pt>
                <c:pt idx="28">
                  <c:v>407.02585999403749</c:v>
                </c:pt>
                <c:pt idx="29">
                  <c:v>408.78891218223788</c:v>
                </c:pt>
                <c:pt idx="30">
                  <c:v>408.08517954135323</c:v>
                </c:pt>
                <c:pt idx="31">
                  <c:v>409.15749796140773</c:v>
                </c:pt>
                <c:pt idx="32">
                  <c:v>411.53972096149704</c:v>
                </c:pt>
                <c:pt idx="33">
                  <c:v>414.61718607232274</c:v>
                </c:pt>
                <c:pt idx="34">
                  <c:v>436.03037900227952</c:v>
                </c:pt>
                <c:pt idx="35">
                  <c:v>462.38821834027561</c:v>
                </c:pt>
                <c:pt idx="36">
                  <c:v>456.83032076898382</c:v>
                </c:pt>
                <c:pt idx="37">
                  <c:v>476.86961654862245</c:v>
                </c:pt>
                <c:pt idx="38">
                  <c:v>478.44539962194631</c:v>
                </c:pt>
                <c:pt idx="39">
                  <c:v>505.75941284979257</c:v>
                </c:pt>
                <c:pt idx="40">
                  <c:v>525.97116718863208</c:v>
                </c:pt>
                <c:pt idx="41">
                  <c:v>547.43078905850996</c:v>
                </c:pt>
                <c:pt idx="42">
                  <c:v>574.41297030224496</c:v>
                </c:pt>
                <c:pt idx="43">
                  <c:v>592.56341415851489</c:v>
                </c:pt>
                <c:pt idx="44">
                  <c:v>614.04053691382353</c:v>
                </c:pt>
                <c:pt idx="45">
                  <c:v>627.84204972816042</c:v>
                </c:pt>
                <c:pt idx="46">
                  <c:v>637.60024875337331</c:v>
                </c:pt>
                <c:pt idx="47">
                  <c:v>639.43151276902188</c:v>
                </c:pt>
                <c:pt idx="48">
                  <c:v>694.49243025788894</c:v>
                </c:pt>
                <c:pt idx="49">
                  <c:v>738.21574402730494</c:v>
                </c:pt>
                <c:pt idx="50">
                  <c:v>771.10608923237623</c:v>
                </c:pt>
                <c:pt idx="51">
                  <c:v>798.44863000825433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AB-C84F-AB2F-F045F80B6B00}"/>
            </c:ext>
          </c:extLst>
        </c:ser>
        <c:ser>
          <c:idx val="1"/>
          <c:order val="1"/>
          <c:tx>
            <c:strRef>
              <c:f>Australia!$B$40</c:f>
              <c:strCache>
                <c:ptCount val="1"/>
                <c:pt idx="0">
                  <c:v>GDP (Adjusted for 2012$)</c:v>
                </c:pt>
              </c:strCache>
            </c:strRef>
          </c:tx>
          <c:spPr>
            <a:ln w="19050" cmpd="sng">
              <a:solidFill>
                <a:srgbClr val="DC3912"/>
              </a:solidFill>
            </a:ln>
          </c:spPr>
          <c:marker>
            <c:symbol val="none"/>
          </c:marker>
          <c:cat>
            <c:numRef>
              <c:f>Australia!$C$2:$BB$2</c:f>
              <c:numCache>
                <c:formatCode>General</c:formatCode>
                <c:ptCount val="52"/>
                <c:pt idx="0">
                  <c:v>1962</c:v>
                </c:pt>
                <c:pt idx="1">
                  <c:v>1963</c:v>
                </c:pt>
                <c:pt idx="2">
                  <c:v>1964</c:v>
                </c:pt>
                <c:pt idx="3">
                  <c:v>1965</c:v>
                </c:pt>
                <c:pt idx="4">
                  <c:v>1966</c:v>
                </c:pt>
                <c:pt idx="5">
                  <c:v>1967</c:v>
                </c:pt>
                <c:pt idx="6">
                  <c:v>1968</c:v>
                </c:pt>
                <c:pt idx="7">
                  <c:v>1969</c:v>
                </c:pt>
                <c:pt idx="8">
                  <c:v>1970</c:v>
                </c:pt>
                <c:pt idx="9">
                  <c:v>1971</c:v>
                </c:pt>
                <c:pt idx="10">
                  <c:v>1972</c:v>
                </c:pt>
                <c:pt idx="11">
                  <c:v>1973</c:v>
                </c:pt>
                <c:pt idx="12">
                  <c:v>1974</c:v>
                </c:pt>
                <c:pt idx="13">
                  <c:v>1975</c:v>
                </c:pt>
                <c:pt idx="14">
                  <c:v>1976</c:v>
                </c:pt>
                <c:pt idx="15">
                  <c:v>1977</c:v>
                </c:pt>
                <c:pt idx="16">
                  <c:v>1978</c:v>
                </c:pt>
                <c:pt idx="17">
                  <c:v>1979</c:v>
                </c:pt>
                <c:pt idx="18">
                  <c:v>1980</c:v>
                </c:pt>
                <c:pt idx="19">
                  <c:v>1981</c:v>
                </c:pt>
                <c:pt idx="20">
                  <c:v>1982</c:v>
                </c:pt>
                <c:pt idx="21">
                  <c:v>1983</c:v>
                </c:pt>
                <c:pt idx="22">
                  <c:v>1984</c:v>
                </c:pt>
                <c:pt idx="23">
                  <c:v>1985</c:v>
                </c:pt>
                <c:pt idx="24">
                  <c:v>1986</c:v>
                </c:pt>
                <c:pt idx="25">
                  <c:v>1987</c:v>
                </c:pt>
                <c:pt idx="26">
                  <c:v>1988</c:v>
                </c:pt>
                <c:pt idx="27">
                  <c:v>1989</c:v>
                </c:pt>
                <c:pt idx="28">
                  <c:v>1990</c:v>
                </c:pt>
                <c:pt idx="29">
                  <c:v>1991</c:v>
                </c:pt>
                <c:pt idx="30">
                  <c:v>1992</c:v>
                </c:pt>
                <c:pt idx="31">
                  <c:v>1993</c:v>
                </c:pt>
                <c:pt idx="32">
                  <c:v>1994</c:v>
                </c:pt>
                <c:pt idx="33">
                  <c:v>1995</c:v>
                </c:pt>
                <c:pt idx="34">
                  <c:v>1996</c:v>
                </c:pt>
                <c:pt idx="35">
                  <c:v>1997</c:v>
                </c:pt>
                <c:pt idx="36">
                  <c:v>1998</c:v>
                </c:pt>
                <c:pt idx="37">
                  <c:v>1999</c:v>
                </c:pt>
                <c:pt idx="38">
                  <c:v>2000</c:v>
                </c:pt>
                <c:pt idx="39">
                  <c:v>2001</c:v>
                </c:pt>
                <c:pt idx="40">
                  <c:v>2002</c:v>
                </c:pt>
                <c:pt idx="41">
                  <c:v>2003</c:v>
                </c:pt>
                <c:pt idx="42">
                  <c:v>2004</c:v>
                </c:pt>
                <c:pt idx="43">
                  <c:v>2005</c:v>
                </c:pt>
                <c:pt idx="44">
                  <c:v>2006</c:v>
                </c:pt>
                <c:pt idx="45">
                  <c:v>2007</c:v>
                </c:pt>
                <c:pt idx="46">
                  <c:v>2008</c:v>
                </c:pt>
                <c:pt idx="47">
                  <c:v>2009</c:v>
                </c:pt>
                <c:pt idx="48">
                  <c:v>2010</c:v>
                </c:pt>
                <c:pt idx="49">
                  <c:v>2011</c:v>
                </c:pt>
                <c:pt idx="50">
                  <c:v>2012</c:v>
                </c:pt>
                <c:pt idx="51">
                  <c:v>2013</c:v>
                </c:pt>
              </c:numCache>
            </c:numRef>
          </c:cat>
          <c:val>
            <c:numRef>
              <c:f>Australia!$C$40:$BB$40</c:f>
              <c:numCache>
                <c:formatCode>0.00</c:formatCode>
                <c:ptCount val="52"/>
                <c:pt idx="0">
                  <c:v>227.6538462</c:v>
                </c:pt>
                <c:pt idx="1">
                  <c:v>243</c:v>
                </c:pt>
                <c:pt idx="2">
                  <c:v>259</c:v>
                </c:pt>
                <c:pt idx="3">
                  <c:v>272.38823530000002</c:v>
                </c:pt>
                <c:pt idx="4">
                  <c:v>279.72413790000002</c:v>
                </c:pt>
                <c:pt idx="5">
                  <c:v>301.43333330000002</c:v>
                </c:pt>
                <c:pt idx="6">
                  <c:v>316.8586957</c:v>
                </c:pt>
                <c:pt idx="7">
                  <c:v>344.11578950000001</c:v>
                </c:pt>
                <c:pt idx="8">
                  <c:v>368.34</c:v>
                </c:pt>
                <c:pt idx="9">
                  <c:v>376.57943929999999</c:v>
                </c:pt>
                <c:pt idx="10">
                  <c:v>396.94642859999999</c:v>
                </c:pt>
                <c:pt idx="11">
                  <c:v>394.58730159999999</c:v>
                </c:pt>
                <c:pt idx="12">
                  <c:v>409.82312930000001</c:v>
                </c:pt>
                <c:pt idx="13">
                  <c:v>423.24404759999999</c:v>
                </c:pt>
                <c:pt idx="14">
                  <c:v>433.14583329999999</c:v>
                </c:pt>
                <c:pt idx="15">
                  <c:v>457.13809520000001</c:v>
                </c:pt>
                <c:pt idx="16">
                  <c:v>463.8495575</c:v>
                </c:pt>
                <c:pt idx="17">
                  <c:v>475.88353410000002</c:v>
                </c:pt>
                <c:pt idx="18">
                  <c:v>493.88602939999998</c:v>
                </c:pt>
                <c:pt idx="19">
                  <c:v>503.53973509999997</c:v>
                </c:pt>
                <c:pt idx="20">
                  <c:v>522.42857140000001</c:v>
                </c:pt>
                <c:pt idx="21">
                  <c:v>517.94246580000004</c:v>
                </c:pt>
                <c:pt idx="22">
                  <c:v>570.5</c:v>
                </c:pt>
                <c:pt idx="23">
                  <c:v>580.11604939999995</c:v>
                </c:pt>
                <c:pt idx="24">
                  <c:v>586.11261260000003</c:v>
                </c:pt>
                <c:pt idx="25">
                  <c:v>600.39495799999997</c:v>
                </c:pt>
                <c:pt idx="26">
                  <c:v>632.94140630000004</c:v>
                </c:pt>
                <c:pt idx="27">
                  <c:v>666.27717389999998</c:v>
                </c:pt>
                <c:pt idx="28">
                  <c:v>684.86949149999998</c:v>
                </c:pt>
                <c:pt idx="29">
                  <c:v>692.65442399999995</c:v>
                </c:pt>
                <c:pt idx="30">
                  <c:v>703.83527449999997</c:v>
                </c:pt>
                <c:pt idx="31">
                  <c:v>725.619281</c:v>
                </c:pt>
                <c:pt idx="32">
                  <c:v>743.17675159999999</c:v>
                </c:pt>
                <c:pt idx="33">
                  <c:v>750.98939389999998</c:v>
                </c:pt>
                <c:pt idx="34">
                  <c:v>789.63880600000005</c:v>
                </c:pt>
                <c:pt idx="35">
                  <c:v>833.31736530000001</c:v>
                </c:pt>
                <c:pt idx="36">
                  <c:v>868.3259587</c:v>
                </c:pt>
                <c:pt idx="37">
                  <c:v>897.64833569999996</c:v>
                </c:pt>
                <c:pt idx="38">
                  <c:v>903.9452804</c:v>
                </c:pt>
                <c:pt idx="39">
                  <c:v>935.37798410000005</c:v>
                </c:pt>
                <c:pt idx="40">
                  <c:v>970.99484540000003</c:v>
                </c:pt>
                <c:pt idx="41">
                  <c:v>1007.41761</c:v>
                </c:pt>
                <c:pt idx="42">
                  <c:v>1057.1472389999999</c:v>
                </c:pt>
                <c:pt idx="43">
                  <c:v>1100.5715990000001</c:v>
                </c:pt>
                <c:pt idx="44">
                  <c:v>1152.3879910000001</c:v>
                </c:pt>
                <c:pt idx="45">
                  <c:v>1220.008979</c:v>
                </c:pt>
                <c:pt idx="46">
                  <c:v>1275.348485</c:v>
                </c:pt>
                <c:pt idx="47">
                  <c:v>1334.11877</c:v>
                </c:pt>
                <c:pt idx="48">
                  <c:v>1337.1795669999999</c:v>
                </c:pt>
                <c:pt idx="49">
                  <c:v>1410.686373</c:v>
                </c:pt>
                <c:pt idx="50">
                  <c:v>1458.8509799999999</c:v>
                </c:pt>
                <c:pt idx="51">
                  <c:v>1451.2824430000001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AB-C84F-AB2F-F045F80B6B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40754840"/>
        <c:axId val="-2139164840"/>
      </c:lineChart>
      <c:catAx>
        <c:axId val="-21407548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/>
                </a:pPr>
                <a:r>
                  <a:t>Year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txPr>
          <a:bodyPr/>
          <a:lstStyle/>
          <a:p>
            <a:pPr lvl="0">
              <a:defRPr b="0"/>
            </a:pPr>
            <a:endParaRPr lang="en-US"/>
          </a:p>
        </c:txPr>
        <c:crossAx val="-2139164840"/>
        <c:crosses val="autoZero"/>
        <c:auto val="1"/>
        <c:lblAlgn val="ctr"/>
        <c:lblOffset val="100"/>
        <c:noMultiLvlLbl val="1"/>
      </c:catAx>
      <c:valAx>
        <c:axId val="-21391648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/>
                </a:pPr>
                <a:r>
                  <a:t>GPI/capita (billion $)</a:t>
                </a:r>
              </a:p>
            </c:rich>
          </c:tx>
          <c:overlay val="0"/>
        </c:title>
        <c:numFmt formatCode="0.00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/>
            </a:pPr>
            <a:endParaRPr lang="en-US"/>
          </a:p>
        </c:txPr>
        <c:crossAx val="-2140754840"/>
        <c:crosses val="autoZero"/>
        <c:crossBetween val="between"/>
      </c:valAx>
    </c:plotArea>
    <c:legend>
      <c:legendPos val="tr"/>
      <c:overlay val="1"/>
    </c:legend>
    <c:plotVisOnly val="1"/>
    <c:dispBlanksAs val="zero"/>
    <c:showDLblsOverMax val="1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8"/>
  <c:chart>
    <c:title>
      <c:tx>
        <c:rich>
          <a:bodyPr/>
          <a:lstStyle/>
          <a:p>
            <a:pPr lvl="0">
              <a:defRPr sz="1600" b="1">
                <a:solidFill>
                  <a:srgbClr val="000000"/>
                </a:solidFill>
              </a:defRPr>
            </a:pPr>
            <a:r>
              <a:rPr lang="en-US"/>
              <a:t>GPI Elements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Australia!$B$31</c:f>
              <c:strCache>
                <c:ptCount val="1"/>
                <c:pt idx="0">
                  <c:v>Economic Elements</c:v>
                </c:pt>
              </c:strCache>
            </c:strRef>
          </c:tx>
          <c:spPr>
            <a:ln w="38100" cmpd="sng">
              <a:solidFill>
                <a:srgbClr val="3366CC"/>
              </a:solidFill>
            </a:ln>
          </c:spPr>
          <c:marker>
            <c:symbol val="none"/>
          </c:marker>
          <c:cat>
            <c:numRef>
              <c:f>Australia!$C$30:$BB$30</c:f>
              <c:numCache>
                <c:formatCode>General</c:formatCode>
                <c:ptCount val="52"/>
                <c:pt idx="0">
                  <c:v>1962</c:v>
                </c:pt>
                <c:pt idx="1">
                  <c:v>1963</c:v>
                </c:pt>
                <c:pt idx="2">
                  <c:v>1964</c:v>
                </c:pt>
                <c:pt idx="3">
                  <c:v>1965</c:v>
                </c:pt>
                <c:pt idx="4">
                  <c:v>1966</c:v>
                </c:pt>
                <c:pt idx="5">
                  <c:v>1967</c:v>
                </c:pt>
                <c:pt idx="6">
                  <c:v>1968</c:v>
                </c:pt>
                <c:pt idx="7">
                  <c:v>1969</c:v>
                </c:pt>
                <c:pt idx="8">
                  <c:v>1970</c:v>
                </c:pt>
                <c:pt idx="9">
                  <c:v>1971</c:v>
                </c:pt>
                <c:pt idx="10">
                  <c:v>1972</c:v>
                </c:pt>
                <c:pt idx="11">
                  <c:v>1973</c:v>
                </c:pt>
                <c:pt idx="12">
                  <c:v>1974</c:v>
                </c:pt>
                <c:pt idx="13">
                  <c:v>1975</c:v>
                </c:pt>
                <c:pt idx="14">
                  <c:v>1976</c:v>
                </c:pt>
                <c:pt idx="15">
                  <c:v>1977</c:v>
                </c:pt>
                <c:pt idx="16">
                  <c:v>1978</c:v>
                </c:pt>
                <c:pt idx="17">
                  <c:v>1979</c:v>
                </c:pt>
                <c:pt idx="18">
                  <c:v>1980</c:v>
                </c:pt>
                <c:pt idx="19">
                  <c:v>1981</c:v>
                </c:pt>
                <c:pt idx="20">
                  <c:v>1982</c:v>
                </c:pt>
                <c:pt idx="21">
                  <c:v>1983</c:v>
                </c:pt>
                <c:pt idx="22">
                  <c:v>1984</c:v>
                </c:pt>
                <c:pt idx="23">
                  <c:v>1985</c:v>
                </c:pt>
                <c:pt idx="24">
                  <c:v>1986</c:v>
                </c:pt>
                <c:pt idx="25">
                  <c:v>1987</c:v>
                </c:pt>
                <c:pt idx="26">
                  <c:v>1988</c:v>
                </c:pt>
                <c:pt idx="27">
                  <c:v>1989</c:v>
                </c:pt>
                <c:pt idx="28">
                  <c:v>1990</c:v>
                </c:pt>
                <c:pt idx="29">
                  <c:v>1991</c:v>
                </c:pt>
                <c:pt idx="30">
                  <c:v>1992</c:v>
                </c:pt>
                <c:pt idx="31">
                  <c:v>1993</c:v>
                </c:pt>
                <c:pt idx="32">
                  <c:v>1994</c:v>
                </c:pt>
                <c:pt idx="33">
                  <c:v>1995</c:v>
                </c:pt>
                <c:pt idx="34">
                  <c:v>1996</c:v>
                </c:pt>
                <c:pt idx="35">
                  <c:v>1997</c:v>
                </c:pt>
                <c:pt idx="36">
                  <c:v>1998</c:v>
                </c:pt>
                <c:pt idx="37">
                  <c:v>1999</c:v>
                </c:pt>
                <c:pt idx="38">
                  <c:v>2000</c:v>
                </c:pt>
                <c:pt idx="39">
                  <c:v>2001</c:v>
                </c:pt>
                <c:pt idx="40">
                  <c:v>2002</c:v>
                </c:pt>
                <c:pt idx="41">
                  <c:v>2003</c:v>
                </c:pt>
                <c:pt idx="42">
                  <c:v>2004</c:v>
                </c:pt>
                <c:pt idx="43">
                  <c:v>2005</c:v>
                </c:pt>
                <c:pt idx="44">
                  <c:v>2006</c:v>
                </c:pt>
                <c:pt idx="45">
                  <c:v>2007</c:v>
                </c:pt>
                <c:pt idx="46">
                  <c:v>2008</c:v>
                </c:pt>
                <c:pt idx="47">
                  <c:v>2009</c:v>
                </c:pt>
                <c:pt idx="48">
                  <c:v>2010</c:v>
                </c:pt>
                <c:pt idx="49">
                  <c:v>2011</c:v>
                </c:pt>
                <c:pt idx="50">
                  <c:v>2012</c:v>
                </c:pt>
                <c:pt idx="51">
                  <c:v>2013</c:v>
                </c:pt>
              </c:numCache>
            </c:numRef>
          </c:cat>
          <c:val>
            <c:numRef>
              <c:f>Australia!$C$31:$BB$31</c:f>
              <c:numCache>
                <c:formatCode>0.00</c:formatCode>
                <c:ptCount val="52"/>
                <c:pt idx="0">
                  <c:v>114.64876686599999</c:v>
                </c:pt>
                <c:pt idx="1">
                  <c:v>121.59799941499999</c:v>
                </c:pt>
                <c:pt idx="2">
                  <c:v>130.11820541200001</c:v>
                </c:pt>
                <c:pt idx="3">
                  <c:v>139.339577994</c:v>
                </c:pt>
                <c:pt idx="4">
                  <c:v>148.31080359100002</c:v>
                </c:pt>
                <c:pt idx="5">
                  <c:v>157.78499924299999</c:v>
                </c:pt>
                <c:pt idx="6">
                  <c:v>168.05546668700001</c:v>
                </c:pt>
                <c:pt idx="7">
                  <c:v>181.68275945700003</c:v>
                </c:pt>
                <c:pt idx="8">
                  <c:v>198.07867428399996</c:v>
                </c:pt>
                <c:pt idx="9">
                  <c:v>206.13056514199997</c:v>
                </c:pt>
                <c:pt idx="10">
                  <c:v>214.08422143400003</c:v>
                </c:pt>
                <c:pt idx="11">
                  <c:v>233.53585781500001</c:v>
                </c:pt>
                <c:pt idx="12">
                  <c:v>257.629600084</c:v>
                </c:pt>
                <c:pt idx="13">
                  <c:v>276.48046924699997</c:v>
                </c:pt>
                <c:pt idx="14">
                  <c:v>293.55683844500004</c:v>
                </c:pt>
                <c:pt idx="15">
                  <c:v>303.54896033</c:v>
                </c:pt>
                <c:pt idx="16">
                  <c:v>314.349020602</c:v>
                </c:pt>
                <c:pt idx="17">
                  <c:v>323.84443442100002</c:v>
                </c:pt>
                <c:pt idx="18">
                  <c:v>331.81779359899997</c:v>
                </c:pt>
                <c:pt idx="19">
                  <c:v>348.39452555999998</c:v>
                </c:pt>
                <c:pt idx="20">
                  <c:v>361.99029306499995</c:v>
                </c:pt>
                <c:pt idx="21">
                  <c:v>359.40211519699994</c:v>
                </c:pt>
                <c:pt idx="22">
                  <c:v>362.11976706899998</c:v>
                </c:pt>
                <c:pt idx="23">
                  <c:v>369.859550888</c:v>
                </c:pt>
                <c:pt idx="24">
                  <c:v>375.57181443600001</c:v>
                </c:pt>
                <c:pt idx="25">
                  <c:v>389.562642369</c:v>
                </c:pt>
                <c:pt idx="26">
                  <c:v>415.17784087799998</c:v>
                </c:pt>
                <c:pt idx="27">
                  <c:v>438.37085460999998</c:v>
                </c:pt>
                <c:pt idx="28">
                  <c:v>450.14686784799989</c:v>
                </c:pt>
                <c:pt idx="29">
                  <c:v>446.94682382899998</c:v>
                </c:pt>
                <c:pt idx="30">
                  <c:v>454.43827568</c:v>
                </c:pt>
                <c:pt idx="31">
                  <c:v>459.50219396999995</c:v>
                </c:pt>
                <c:pt idx="32">
                  <c:v>469.14053570000004</c:v>
                </c:pt>
                <c:pt idx="33">
                  <c:v>482.63013381000002</c:v>
                </c:pt>
                <c:pt idx="34">
                  <c:v>507.61708375000001</c:v>
                </c:pt>
                <c:pt idx="35">
                  <c:v>539.80088407999995</c:v>
                </c:pt>
                <c:pt idx="36">
                  <c:v>550.66728271999989</c:v>
                </c:pt>
                <c:pt idx="37">
                  <c:v>574.68061734000003</c:v>
                </c:pt>
                <c:pt idx="38">
                  <c:v>588.77156660000003</c:v>
                </c:pt>
                <c:pt idx="39">
                  <c:v>607.95001967999997</c:v>
                </c:pt>
                <c:pt idx="40">
                  <c:v>630.64031948999991</c:v>
                </c:pt>
                <c:pt idx="41">
                  <c:v>657.2532765599999</c:v>
                </c:pt>
                <c:pt idx="42">
                  <c:v>693.68138110000007</c:v>
                </c:pt>
                <c:pt idx="43">
                  <c:v>714.09813596999982</c:v>
                </c:pt>
                <c:pt idx="44">
                  <c:v>735.49956294999993</c:v>
                </c:pt>
                <c:pt idx="45">
                  <c:v>754.37737302000005</c:v>
                </c:pt>
                <c:pt idx="46">
                  <c:v>759.7373860900002</c:v>
                </c:pt>
                <c:pt idx="47">
                  <c:v>763.08859344999996</c:v>
                </c:pt>
                <c:pt idx="48">
                  <c:v>803.6019268</c:v>
                </c:pt>
                <c:pt idx="49">
                  <c:v>841.3316689400001</c:v>
                </c:pt>
                <c:pt idx="50">
                  <c:v>868.77064116000008</c:v>
                </c:pt>
                <c:pt idx="51">
                  <c:v>884.98379705000002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B7-674B-91AB-68F399E3E63B}"/>
            </c:ext>
          </c:extLst>
        </c:ser>
        <c:ser>
          <c:idx val="1"/>
          <c:order val="1"/>
          <c:tx>
            <c:strRef>
              <c:f>Australia!$B$33</c:f>
              <c:strCache>
                <c:ptCount val="1"/>
                <c:pt idx="0">
                  <c:v>Environmental Elements</c:v>
                </c:pt>
              </c:strCache>
            </c:strRef>
          </c:tx>
          <c:spPr>
            <a:ln w="19050" cmpd="sng">
              <a:solidFill>
                <a:srgbClr val="6AA84F"/>
              </a:solidFill>
            </a:ln>
          </c:spPr>
          <c:marker>
            <c:symbol val="none"/>
          </c:marker>
          <c:cat>
            <c:numRef>
              <c:f>Australia!$C$30:$BB$30</c:f>
              <c:numCache>
                <c:formatCode>General</c:formatCode>
                <c:ptCount val="52"/>
                <c:pt idx="0">
                  <c:v>1962</c:v>
                </c:pt>
                <c:pt idx="1">
                  <c:v>1963</c:v>
                </c:pt>
                <c:pt idx="2">
                  <c:v>1964</c:v>
                </c:pt>
                <c:pt idx="3">
                  <c:v>1965</c:v>
                </c:pt>
                <c:pt idx="4">
                  <c:v>1966</c:v>
                </c:pt>
                <c:pt idx="5">
                  <c:v>1967</c:v>
                </c:pt>
                <c:pt idx="6">
                  <c:v>1968</c:v>
                </c:pt>
                <c:pt idx="7">
                  <c:v>1969</c:v>
                </c:pt>
                <c:pt idx="8">
                  <c:v>1970</c:v>
                </c:pt>
                <c:pt idx="9">
                  <c:v>1971</c:v>
                </c:pt>
                <c:pt idx="10">
                  <c:v>1972</c:v>
                </c:pt>
                <c:pt idx="11">
                  <c:v>1973</c:v>
                </c:pt>
                <c:pt idx="12">
                  <c:v>1974</c:v>
                </c:pt>
                <c:pt idx="13">
                  <c:v>1975</c:v>
                </c:pt>
                <c:pt idx="14">
                  <c:v>1976</c:v>
                </c:pt>
                <c:pt idx="15">
                  <c:v>1977</c:v>
                </c:pt>
                <c:pt idx="16">
                  <c:v>1978</c:v>
                </c:pt>
                <c:pt idx="17">
                  <c:v>1979</c:v>
                </c:pt>
                <c:pt idx="18">
                  <c:v>1980</c:v>
                </c:pt>
                <c:pt idx="19">
                  <c:v>1981</c:v>
                </c:pt>
                <c:pt idx="20">
                  <c:v>1982</c:v>
                </c:pt>
                <c:pt idx="21">
                  <c:v>1983</c:v>
                </c:pt>
                <c:pt idx="22">
                  <c:v>1984</c:v>
                </c:pt>
                <c:pt idx="23">
                  <c:v>1985</c:v>
                </c:pt>
                <c:pt idx="24">
                  <c:v>1986</c:v>
                </c:pt>
                <c:pt idx="25">
                  <c:v>1987</c:v>
                </c:pt>
                <c:pt idx="26">
                  <c:v>1988</c:v>
                </c:pt>
                <c:pt idx="27">
                  <c:v>1989</c:v>
                </c:pt>
                <c:pt idx="28">
                  <c:v>1990</c:v>
                </c:pt>
                <c:pt idx="29">
                  <c:v>1991</c:v>
                </c:pt>
                <c:pt idx="30">
                  <c:v>1992</c:v>
                </c:pt>
                <c:pt idx="31">
                  <c:v>1993</c:v>
                </c:pt>
                <c:pt idx="32">
                  <c:v>1994</c:v>
                </c:pt>
                <c:pt idx="33">
                  <c:v>1995</c:v>
                </c:pt>
                <c:pt idx="34">
                  <c:v>1996</c:v>
                </c:pt>
                <c:pt idx="35">
                  <c:v>1997</c:v>
                </c:pt>
                <c:pt idx="36">
                  <c:v>1998</c:v>
                </c:pt>
                <c:pt idx="37">
                  <c:v>1999</c:v>
                </c:pt>
                <c:pt idx="38">
                  <c:v>2000</c:v>
                </c:pt>
                <c:pt idx="39">
                  <c:v>2001</c:v>
                </c:pt>
                <c:pt idx="40">
                  <c:v>2002</c:v>
                </c:pt>
                <c:pt idx="41">
                  <c:v>2003</c:v>
                </c:pt>
                <c:pt idx="42">
                  <c:v>2004</c:v>
                </c:pt>
                <c:pt idx="43">
                  <c:v>2005</c:v>
                </c:pt>
                <c:pt idx="44">
                  <c:v>2006</c:v>
                </c:pt>
                <c:pt idx="45">
                  <c:v>2007</c:v>
                </c:pt>
                <c:pt idx="46">
                  <c:v>2008</c:v>
                </c:pt>
                <c:pt idx="47">
                  <c:v>2009</c:v>
                </c:pt>
                <c:pt idx="48">
                  <c:v>2010</c:v>
                </c:pt>
                <c:pt idx="49">
                  <c:v>2011</c:v>
                </c:pt>
                <c:pt idx="50">
                  <c:v>2012</c:v>
                </c:pt>
                <c:pt idx="51">
                  <c:v>2013</c:v>
                </c:pt>
              </c:numCache>
            </c:numRef>
          </c:cat>
          <c:val>
            <c:numRef>
              <c:f>Australia!$C$33:$BB$33</c:f>
              <c:numCache>
                <c:formatCode>0.00</c:formatCode>
                <c:ptCount val="52"/>
                <c:pt idx="0">
                  <c:v>-162.36459211558022</c:v>
                </c:pt>
                <c:pt idx="1">
                  <c:v>-166.48036870672939</c:v>
                </c:pt>
                <c:pt idx="2">
                  <c:v>-170.80467856094091</c:v>
                </c:pt>
                <c:pt idx="3">
                  <c:v>-175.58158293621878</c:v>
                </c:pt>
                <c:pt idx="4">
                  <c:v>-180.868157810654</c:v>
                </c:pt>
                <c:pt idx="5">
                  <c:v>-186.51609896817564</c:v>
                </c:pt>
                <c:pt idx="6">
                  <c:v>-192.07827899494865</c:v>
                </c:pt>
                <c:pt idx="7">
                  <c:v>-198.04115815652958</c:v>
                </c:pt>
                <c:pt idx="8">
                  <c:v>-203.22046133402912</c:v>
                </c:pt>
                <c:pt idx="9">
                  <c:v>-213.65551449467276</c:v>
                </c:pt>
                <c:pt idx="10">
                  <c:v>-219.18743899833981</c:v>
                </c:pt>
                <c:pt idx="11">
                  <c:v>-224.98517471913584</c:v>
                </c:pt>
                <c:pt idx="12">
                  <c:v>-231.17179648175335</c:v>
                </c:pt>
                <c:pt idx="13">
                  <c:v>-237.11113527094966</c:v>
                </c:pt>
                <c:pt idx="14">
                  <c:v>-243.97094023743679</c:v>
                </c:pt>
                <c:pt idx="15">
                  <c:v>-251.05596934179877</c:v>
                </c:pt>
                <c:pt idx="16">
                  <c:v>-254.87731313592803</c:v>
                </c:pt>
                <c:pt idx="17">
                  <c:v>-258.20172783992535</c:v>
                </c:pt>
                <c:pt idx="18">
                  <c:v>-241.07536358118853</c:v>
                </c:pt>
                <c:pt idx="19">
                  <c:v>-245.09991561034283</c:v>
                </c:pt>
                <c:pt idx="20">
                  <c:v>-253.29514480097995</c:v>
                </c:pt>
                <c:pt idx="21">
                  <c:v>-256.23903349288418</c:v>
                </c:pt>
                <c:pt idx="22">
                  <c:v>-256.20301086450104</c:v>
                </c:pt>
                <c:pt idx="23">
                  <c:v>-263.34223596409248</c:v>
                </c:pt>
                <c:pt idx="24">
                  <c:v>-264.92533538915069</c:v>
                </c:pt>
                <c:pt idx="25">
                  <c:v>-269.67261218304486</c:v>
                </c:pt>
                <c:pt idx="26">
                  <c:v>-270.24728542330973</c:v>
                </c:pt>
                <c:pt idx="27">
                  <c:v>-276.51904019883381</c:v>
                </c:pt>
                <c:pt idx="28">
                  <c:v>-282.61882678378117</c:v>
                </c:pt>
                <c:pt idx="29">
                  <c:v>-288.19082360621456</c:v>
                </c:pt>
                <c:pt idx="30">
                  <c:v>-286.58137088546152</c:v>
                </c:pt>
                <c:pt idx="31">
                  <c:v>-284.46256919645521</c:v>
                </c:pt>
                <c:pt idx="32">
                  <c:v>-282.23800521490887</c:v>
                </c:pt>
                <c:pt idx="33">
                  <c:v>-283.49447978371416</c:v>
                </c:pt>
                <c:pt idx="34">
                  <c:v>-289.61996088455749</c:v>
                </c:pt>
                <c:pt idx="35">
                  <c:v>-292.00662460329158</c:v>
                </c:pt>
                <c:pt idx="36">
                  <c:v>-297.72767236718596</c:v>
                </c:pt>
                <c:pt idx="37">
                  <c:v>-305.00572818502303</c:v>
                </c:pt>
                <c:pt idx="38">
                  <c:v>-302.4806535742336</c:v>
                </c:pt>
                <c:pt idx="39">
                  <c:v>-317.9316752454273</c:v>
                </c:pt>
                <c:pt idx="40">
                  <c:v>-325.8302123047448</c:v>
                </c:pt>
                <c:pt idx="41">
                  <c:v>-326.22610502914557</c:v>
                </c:pt>
                <c:pt idx="42">
                  <c:v>-335.29953305495127</c:v>
                </c:pt>
                <c:pt idx="43">
                  <c:v>-342.94199000077111</c:v>
                </c:pt>
                <c:pt idx="44">
                  <c:v>-350.65581307012985</c:v>
                </c:pt>
                <c:pt idx="45">
                  <c:v>-362.63346757359926</c:v>
                </c:pt>
                <c:pt idx="46">
                  <c:v>-371.0733025589812</c:v>
                </c:pt>
                <c:pt idx="47">
                  <c:v>-383.43304229739095</c:v>
                </c:pt>
                <c:pt idx="48">
                  <c:v>-382.01561288462636</c:v>
                </c:pt>
                <c:pt idx="49">
                  <c:v>-383.63341041504322</c:v>
                </c:pt>
                <c:pt idx="50">
                  <c:v>-389.26714305984132</c:v>
                </c:pt>
                <c:pt idx="51">
                  <c:v>-406.3262217627381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B7-674B-91AB-68F399E3E63B}"/>
            </c:ext>
          </c:extLst>
        </c:ser>
        <c:ser>
          <c:idx val="2"/>
          <c:order val="2"/>
          <c:tx>
            <c:strRef>
              <c:f>Australia!$B$35</c:f>
              <c:strCache>
                <c:ptCount val="1"/>
                <c:pt idx="0">
                  <c:v>Social Elements</c:v>
                </c:pt>
              </c:strCache>
            </c:strRef>
          </c:tx>
          <c:spPr>
            <a:ln w="19050" cmpd="sng">
              <a:solidFill>
                <a:srgbClr val="CC0000"/>
              </a:solidFill>
            </a:ln>
          </c:spPr>
          <c:marker>
            <c:symbol val="none"/>
          </c:marker>
          <c:cat>
            <c:numRef>
              <c:f>Australia!$C$30:$BB$30</c:f>
              <c:numCache>
                <c:formatCode>General</c:formatCode>
                <c:ptCount val="52"/>
                <c:pt idx="0">
                  <c:v>1962</c:v>
                </c:pt>
                <c:pt idx="1">
                  <c:v>1963</c:v>
                </c:pt>
                <c:pt idx="2">
                  <c:v>1964</c:v>
                </c:pt>
                <c:pt idx="3">
                  <c:v>1965</c:v>
                </c:pt>
                <c:pt idx="4">
                  <c:v>1966</c:v>
                </c:pt>
                <c:pt idx="5">
                  <c:v>1967</c:v>
                </c:pt>
                <c:pt idx="6">
                  <c:v>1968</c:v>
                </c:pt>
                <c:pt idx="7">
                  <c:v>1969</c:v>
                </c:pt>
                <c:pt idx="8">
                  <c:v>1970</c:v>
                </c:pt>
                <c:pt idx="9">
                  <c:v>1971</c:v>
                </c:pt>
                <c:pt idx="10">
                  <c:v>1972</c:v>
                </c:pt>
                <c:pt idx="11">
                  <c:v>1973</c:v>
                </c:pt>
                <c:pt idx="12">
                  <c:v>1974</c:v>
                </c:pt>
                <c:pt idx="13">
                  <c:v>1975</c:v>
                </c:pt>
                <c:pt idx="14">
                  <c:v>1976</c:v>
                </c:pt>
                <c:pt idx="15">
                  <c:v>1977</c:v>
                </c:pt>
                <c:pt idx="16">
                  <c:v>1978</c:v>
                </c:pt>
                <c:pt idx="17">
                  <c:v>1979</c:v>
                </c:pt>
                <c:pt idx="18">
                  <c:v>1980</c:v>
                </c:pt>
                <c:pt idx="19">
                  <c:v>1981</c:v>
                </c:pt>
                <c:pt idx="20">
                  <c:v>1982</c:v>
                </c:pt>
                <c:pt idx="21">
                  <c:v>1983</c:v>
                </c:pt>
                <c:pt idx="22">
                  <c:v>1984</c:v>
                </c:pt>
                <c:pt idx="23">
                  <c:v>1985</c:v>
                </c:pt>
                <c:pt idx="24">
                  <c:v>1986</c:v>
                </c:pt>
                <c:pt idx="25">
                  <c:v>1987</c:v>
                </c:pt>
                <c:pt idx="26">
                  <c:v>1988</c:v>
                </c:pt>
                <c:pt idx="27">
                  <c:v>1989</c:v>
                </c:pt>
                <c:pt idx="28">
                  <c:v>1990</c:v>
                </c:pt>
                <c:pt idx="29">
                  <c:v>1991</c:v>
                </c:pt>
                <c:pt idx="30">
                  <c:v>1992</c:v>
                </c:pt>
                <c:pt idx="31">
                  <c:v>1993</c:v>
                </c:pt>
                <c:pt idx="32">
                  <c:v>1994</c:v>
                </c:pt>
                <c:pt idx="33">
                  <c:v>1995</c:v>
                </c:pt>
                <c:pt idx="34">
                  <c:v>1996</c:v>
                </c:pt>
                <c:pt idx="35">
                  <c:v>1997</c:v>
                </c:pt>
                <c:pt idx="36">
                  <c:v>1998</c:v>
                </c:pt>
                <c:pt idx="37">
                  <c:v>1999</c:v>
                </c:pt>
                <c:pt idx="38">
                  <c:v>2000</c:v>
                </c:pt>
                <c:pt idx="39">
                  <c:v>2001</c:v>
                </c:pt>
                <c:pt idx="40">
                  <c:v>2002</c:v>
                </c:pt>
                <c:pt idx="41">
                  <c:v>2003</c:v>
                </c:pt>
                <c:pt idx="42">
                  <c:v>2004</c:v>
                </c:pt>
                <c:pt idx="43">
                  <c:v>2005</c:v>
                </c:pt>
                <c:pt idx="44">
                  <c:v>2006</c:v>
                </c:pt>
                <c:pt idx="45">
                  <c:v>2007</c:v>
                </c:pt>
                <c:pt idx="46">
                  <c:v>2008</c:v>
                </c:pt>
                <c:pt idx="47">
                  <c:v>2009</c:v>
                </c:pt>
                <c:pt idx="48">
                  <c:v>2010</c:v>
                </c:pt>
                <c:pt idx="49">
                  <c:v>2011</c:v>
                </c:pt>
                <c:pt idx="50">
                  <c:v>2012</c:v>
                </c:pt>
                <c:pt idx="51">
                  <c:v>2013</c:v>
                </c:pt>
              </c:numCache>
            </c:numRef>
          </c:cat>
          <c:val>
            <c:numRef>
              <c:f>Australia!$C$35:$BB$35</c:f>
              <c:numCache>
                <c:formatCode>0.00</c:formatCode>
                <c:ptCount val="52"/>
                <c:pt idx="0">
                  <c:v>111.41790432241979</c:v>
                </c:pt>
                <c:pt idx="1">
                  <c:v>106.25495789747063</c:v>
                </c:pt>
                <c:pt idx="2">
                  <c:v>106.53294750265911</c:v>
                </c:pt>
                <c:pt idx="3">
                  <c:v>108.71176451858121</c:v>
                </c:pt>
                <c:pt idx="4">
                  <c:v>112.20109508094598</c:v>
                </c:pt>
                <c:pt idx="5">
                  <c:v>117.03941416822434</c:v>
                </c:pt>
                <c:pt idx="6">
                  <c:v>119.69458912145134</c:v>
                </c:pt>
                <c:pt idx="7">
                  <c:v>123.48332607267048</c:v>
                </c:pt>
                <c:pt idx="8">
                  <c:v>125.2732180645709</c:v>
                </c:pt>
                <c:pt idx="9">
                  <c:v>128.66654821272726</c:v>
                </c:pt>
                <c:pt idx="10">
                  <c:v>127.96045032006018</c:v>
                </c:pt>
                <c:pt idx="11">
                  <c:v>130.55354976426418</c:v>
                </c:pt>
                <c:pt idx="12">
                  <c:v>136.37199032604667</c:v>
                </c:pt>
                <c:pt idx="13">
                  <c:v>140.14081782825028</c:v>
                </c:pt>
                <c:pt idx="14">
                  <c:v>139.96349871436325</c:v>
                </c:pt>
                <c:pt idx="15">
                  <c:v>140.46313337720122</c:v>
                </c:pt>
                <c:pt idx="16">
                  <c:v>142.82719695047194</c:v>
                </c:pt>
                <c:pt idx="17">
                  <c:v>143.43648698527451</c:v>
                </c:pt>
                <c:pt idx="18">
                  <c:v>139.89049879289459</c:v>
                </c:pt>
                <c:pt idx="19">
                  <c:v>143.7892303209801</c:v>
                </c:pt>
                <c:pt idx="20">
                  <c:v>142.50144345111528</c:v>
                </c:pt>
                <c:pt idx="21">
                  <c:v>146.86422795642301</c:v>
                </c:pt>
                <c:pt idx="22">
                  <c:v>145.70184324301948</c:v>
                </c:pt>
                <c:pt idx="23">
                  <c:v>146.90408079349251</c:v>
                </c:pt>
                <c:pt idx="24">
                  <c:v>146.72650321233937</c:v>
                </c:pt>
                <c:pt idx="25">
                  <c:v>149.53767939100067</c:v>
                </c:pt>
                <c:pt idx="26">
                  <c:v>145.59075201603235</c:v>
                </c:pt>
                <c:pt idx="27">
                  <c:v>143.76590617632334</c:v>
                </c:pt>
                <c:pt idx="28">
                  <c:v>152.87399214603752</c:v>
                </c:pt>
                <c:pt idx="29">
                  <c:v>158.19408835323793</c:v>
                </c:pt>
                <c:pt idx="30">
                  <c:v>154.25990386135311</c:v>
                </c:pt>
                <c:pt idx="31">
                  <c:v>152.24230399140777</c:v>
                </c:pt>
                <c:pt idx="32">
                  <c:v>148.65418526149679</c:v>
                </c:pt>
                <c:pt idx="33">
                  <c:v>146.19405226232277</c:v>
                </c:pt>
                <c:pt idx="34">
                  <c:v>149.8062952522796</c:v>
                </c:pt>
                <c:pt idx="35">
                  <c:v>148.74033426027586</c:v>
                </c:pt>
                <c:pt idx="36">
                  <c:v>146.09103804898385</c:v>
                </c:pt>
                <c:pt idx="37">
                  <c:v>148.45699920862239</c:v>
                </c:pt>
                <c:pt idx="38">
                  <c:v>139.57683302194613</c:v>
                </c:pt>
                <c:pt idx="39">
                  <c:v>154.58239316979257</c:v>
                </c:pt>
                <c:pt idx="40">
                  <c:v>156.68884769863237</c:v>
                </c:pt>
                <c:pt idx="41">
                  <c:v>154.3665124985101</c:v>
                </c:pt>
                <c:pt idx="42">
                  <c:v>156.32758920224464</c:v>
                </c:pt>
                <c:pt idx="43">
                  <c:v>157.68927818851509</c:v>
                </c:pt>
                <c:pt idx="44">
                  <c:v>161.29397396382367</c:v>
                </c:pt>
                <c:pt idx="45">
                  <c:v>164.78067670816046</c:v>
                </c:pt>
                <c:pt idx="46">
                  <c:v>171.55986266337297</c:v>
                </c:pt>
                <c:pt idx="47">
                  <c:v>177.98791931902218</c:v>
                </c:pt>
                <c:pt idx="48">
                  <c:v>182.23650345788892</c:v>
                </c:pt>
                <c:pt idx="49">
                  <c:v>186.74007508730503</c:v>
                </c:pt>
                <c:pt idx="50">
                  <c:v>193.3774480723761</c:v>
                </c:pt>
                <c:pt idx="51">
                  <c:v>216.73883295825428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B7-674B-91AB-68F399E3E6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40711272"/>
        <c:axId val="-2140705880"/>
      </c:lineChart>
      <c:catAx>
        <c:axId val="-21407112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/>
                </a:pPr>
                <a:r>
                  <a:rPr lang="en-US"/>
                  <a:t>Year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txPr>
          <a:bodyPr/>
          <a:lstStyle/>
          <a:p>
            <a:pPr lvl="0">
              <a:defRPr b="0"/>
            </a:pPr>
            <a:endParaRPr lang="en-US"/>
          </a:p>
        </c:txPr>
        <c:crossAx val="-2140705880"/>
        <c:crosses val="autoZero"/>
        <c:auto val="1"/>
        <c:lblAlgn val="ctr"/>
        <c:lblOffset val="100"/>
        <c:noMultiLvlLbl val="1"/>
      </c:catAx>
      <c:valAx>
        <c:axId val="-21407058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numFmt formatCode="0.00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/>
            </a:pPr>
            <a:endParaRPr lang="en-US"/>
          </a:p>
        </c:txPr>
        <c:crossAx val="-2140711272"/>
        <c:crosses val="autoZero"/>
        <c:crossBetween val="between"/>
      </c:valAx>
    </c:plotArea>
    <c:legend>
      <c:legendPos val="tr"/>
      <c:overlay val="1"/>
    </c:legend>
    <c:plotVisOnly val="1"/>
    <c:dispBlanksAs val="zero"/>
    <c:showDLblsOverMax val="1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8"/>
  <c:chart>
    <c:title>
      <c:tx>
        <c:rich>
          <a:bodyPr/>
          <a:lstStyle/>
          <a:p>
            <a:pPr lvl="0">
              <a:defRPr sz="1600" b="1">
                <a:solidFill>
                  <a:srgbClr val="000000"/>
                </a:solidFill>
              </a:defRPr>
            </a:pPr>
            <a:r>
              <a:rPr lang="en-US"/>
              <a:t>% Change from 1962-2013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Australia!$BE$3</c:f>
              <c:strCache>
                <c:ptCount val="1"/>
                <c:pt idx="0">
                  <c:v>GPI (Billions 2012$)</c:v>
                </c:pt>
              </c:strCache>
            </c:strRef>
          </c:tx>
          <c:spPr>
            <a:solidFill>
              <a:srgbClr val="3366CC"/>
            </a:solidFill>
          </c:spPr>
          <c:invertIfNegative val="1"/>
          <c:val>
            <c:numRef>
              <c:f>Australia!$BF$3</c:f>
              <c:numCache>
                <c:formatCode>0.00</c:formatCode>
                <c:ptCount val="1"/>
                <c:pt idx="0">
                  <c:v>338.39328367830757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052A-7648-90E9-280ECD178A29}"/>
            </c:ext>
          </c:extLst>
        </c:ser>
        <c:ser>
          <c:idx val="1"/>
          <c:order val="1"/>
          <c:tx>
            <c:strRef>
              <c:f>Australia!$BE$4</c:f>
              <c:strCache>
                <c:ptCount val="1"/>
                <c:pt idx="0">
                  <c:v>Personal Consumption Expenditures</c:v>
                </c:pt>
              </c:strCache>
            </c:strRef>
          </c:tx>
          <c:spPr>
            <a:solidFill>
              <a:srgbClr val="DC3912"/>
            </a:solidFill>
          </c:spPr>
          <c:invertIfNegative val="1"/>
          <c:val>
            <c:numRef>
              <c:f>Australia!$BF$4</c:f>
              <c:numCache>
                <c:formatCode>0.00</c:formatCode>
                <c:ptCount val="1"/>
                <c:pt idx="0">
                  <c:v>497.67441860465118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052A-7648-90E9-280ECD178A29}"/>
            </c:ext>
          </c:extLst>
        </c:ser>
        <c:ser>
          <c:idx val="2"/>
          <c:order val="2"/>
          <c:tx>
            <c:strRef>
              <c:f>Australia!$BE$5</c:f>
              <c:strCache>
                <c:ptCount val="1"/>
                <c:pt idx="0">
                  <c:v>Income Inequality</c:v>
                </c:pt>
              </c:strCache>
            </c:strRef>
          </c:tx>
          <c:spPr>
            <a:solidFill>
              <a:srgbClr val="FF9900"/>
            </a:solidFill>
          </c:spPr>
          <c:invertIfNegative val="1"/>
          <c:val>
            <c:numRef>
              <c:f>Australia!$BF$5</c:f>
              <c:numCache>
                <c:formatCode>0.00</c:formatCode>
                <c:ptCount val="1"/>
                <c:pt idx="0">
                  <c:v>0.67681895093062672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2-052A-7648-90E9-280ECD178A29}"/>
            </c:ext>
          </c:extLst>
        </c:ser>
        <c:ser>
          <c:idx val="3"/>
          <c:order val="3"/>
          <c:tx>
            <c:strRef>
              <c:f>Australia!$BE$6</c:f>
              <c:strCache>
                <c:ptCount val="1"/>
                <c:pt idx="0">
                  <c:v>Adjusted Personal Consumption</c:v>
                </c:pt>
              </c:strCache>
            </c:strRef>
          </c:tx>
          <c:spPr>
            <a:solidFill>
              <a:srgbClr val="109618"/>
            </a:solidFill>
          </c:spPr>
          <c:invertIfNegative val="1"/>
          <c:val>
            <c:numRef>
              <c:f>Australia!$BF$6</c:f>
              <c:numCache>
                <c:formatCode>0.00</c:formatCode>
                <c:ptCount val="1"/>
                <c:pt idx="0">
                  <c:v>494.98869924401828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3-052A-7648-90E9-280ECD178A29}"/>
            </c:ext>
          </c:extLst>
        </c:ser>
        <c:ser>
          <c:idx val="4"/>
          <c:order val="4"/>
          <c:tx>
            <c:strRef>
              <c:f>Australia!$BE$7</c:f>
              <c:strCache>
                <c:ptCount val="1"/>
                <c:pt idx="0">
                  <c:v>Services of Consumer Durables</c:v>
                </c:pt>
              </c:strCache>
            </c:strRef>
          </c:tx>
          <c:spPr>
            <a:solidFill>
              <a:srgbClr val="990099"/>
            </a:solidFill>
          </c:spPr>
          <c:invertIfNegative val="1"/>
          <c:val>
            <c:numRef>
              <c:f>Australia!$BF$7</c:f>
              <c:numCache>
                <c:formatCode>0.00</c:formatCode>
                <c:ptCount val="1"/>
                <c:pt idx="0">
                  <c:v>2395.6332594599035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4-052A-7648-90E9-280ECD178A29}"/>
            </c:ext>
          </c:extLst>
        </c:ser>
        <c:ser>
          <c:idx val="5"/>
          <c:order val="5"/>
          <c:tx>
            <c:strRef>
              <c:f>Australia!$BE$8</c:f>
              <c:strCache>
                <c:ptCount val="1"/>
                <c:pt idx="0">
                  <c:v>Cost of Consumer Durables</c:v>
                </c:pt>
              </c:strCache>
            </c:strRef>
          </c:tx>
          <c:spPr>
            <a:solidFill>
              <a:srgbClr val="0099C6"/>
            </a:solidFill>
          </c:spPr>
          <c:invertIfNegative val="1"/>
          <c:val>
            <c:numRef>
              <c:f>Australia!$BF$8</c:f>
              <c:numCache>
                <c:formatCode>0.00</c:formatCode>
                <c:ptCount val="1"/>
                <c:pt idx="0">
                  <c:v>153.0906333738003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5-052A-7648-90E9-280ECD178A29}"/>
            </c:ext>
          </c:extLst>
        </c:ser>
        <c:ser>
          <c:idx val="6"/>
          <c:order val="6"/>
          <c:tx>
            <c:strRef>
              <c:f>Australia!$BE$9</c:f>
              <c:strCache>
                <c:ptCount val="1"/>
                <c:pt idx="0">
                  <c:v>Cost of Underemployment</c:v>
                </c:pt>
              </c:strCache>
            </c:strRef>
          </c:tx>
          <c:spPr>
            <a:solidFill>
              <a:srgbClr val="DD4477"/>
            </a:solidFill>
          </c:spPr>
          <c:invertIfNegative val="1"/>
          <c:val>
            <c:numRef>
              <c:f>Australia!$BF$9</c:f>
              <c:numCache>
                <c:formatCode>0.00</c:formatCode>
                <c:ptCount val="1"/>
                <c:pt idx="0">
                  <c:v>2655.6846479782566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6-052A-7648-90E9-280ECD178A29}"/>
            </c:ext>
          </c:extLst>
        </c:ser>
        <c:ser>
          <c:idx val="7"/>
          <c:order val="7"/>
          <c:tx>
            <c:strRef>
              <c:f>Australia!$BE$10</c:f>
              <c:strCache>
                <c:ptCount val="1"/>
                <c:pt idx="0">
                  <c:v>Net Capital Investment</c:v>
                </c:pt>
              </c:strCache>
            </c:strRef>
          </c:tx>
          <c:spPr>
            <a:solidFill>
              <a:srgbClr val="66AA00"/>
            </a:solidFill>
          </c:spPr>
          <c:invertIfNegative val="1"/>
          <c:val>
            <c:numRef>
              <c:f>Australia!$BF$10</c:f>
              <c:numCache>
                <c:formatCode>0.00</c:formatCode>
                <c:ptCount val="1"/>
                <c:pt idx="0">
                  <c:v>694.4864048338369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7-052A-7648-90E9-280ECD178A29}"/>
            </c:ext>
          </c:extLst>
        </c:ser>
        <c:ser>
          <c:idx val="8"/>
          <c:order val="8"/>
          <c:tx>
            <c:strRef>
              <c:f>Australia!$BE$11</c:f>
              <c:strCache>
                <c:ptCount val="1"/>
                <c:pt idx="0">
                  <c:v>Cost of Water Pollution</c:v>
                </c:pt>
              </c:strCache>
            </c:strRef>
          </c:tx>
          <c:spPr>
            <a:solidFill>
              <a:srgbClr val="B82E2E"/>
            </a:solidFill>
          </c:spPr>
          <c:invertIfNegative val="1"/>
          <c:val>
            <c:numRef>
              <c:f>Australia!$BF$11</c:f>
              <c:numCache>
                <c:formatCode>0.00</c:formatCode>
                <c:ptCount val="1"/>
                <c:pt idx="0">
                  <c:v>1232.515337423313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8-052A-7648-90E9-280ECD178A29}"/>
            </c:ext>
          </c:extLst>
        </c:ser>
        <c:ser>
          <c:idx val="9"/>
          <c:order val="9"/>
          <c:tx>
            <c:strRef>
              <c:f>Australia!$BE$12</c:f>
              <c:strCache>
                <c:ptCount val="1"/>
                <c:pt idx="0">
                  <c:v>Cost of Air Pollution</c:v>
                </c:pt>
              </c:strCache>
            </c:strRef>
          </c:tx>
          <c:spPr>
            <a:solidFill>
              <a:srgbClr val="316395"/>
            </a:solidFill>
          </c:spPr>
          <c:invertIfNegative val="1"/>
          <c:val>
            <c:numRef>
              <c:f>Australia!$BF$12</c:f>
              <c:numCache>
                <c:formatCode>0.00</c:formatCode>
                <c:ptCount val="1"/>
                <c:pt idx="0">
                  <c:v>37.244897959183675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9-052A-7648-90E9-280ECD178A29}"/>
            </c:ext>
          </c:extLst>
        </c:ser>
        <c:ser>
          <c:idx val="10"/>
          <c:order val="10"/>
          <c:tx>
            <c:strRef>
              <c:f>Australia!$BE$13</c:f>
              <c:strCache>
                <c:ptCount val="1"/>
                <c:pt idx="0">
                  <c:v>Cost of Noise Pollution</c:v>
                </c:pt>
              </c:strCache>
            </c:strRef>
          </c:tx>
          <c:spPr>
            <a:solidFill>
              <a:srgbClr val="994499"/>
            </a:solidFill>
          </c:spPr>
          <c:invertIfNegative val="1"/>
          <c:val>
            <c:numRef>
              <c:f>Australia!$BF$13</c:f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A-052A-7648-90E9-280ECD178A29}"/>
            </c:ext>
          </c:extLst>
        </c:ser>
        <c:ser>
          <c:idx val="11"/>
          <c:order val="11"/>
          <c:tx>
            <c:strRef>
              <c:f>Australia!$BE$14</c:f>
              <c:strCache>
                <c:ptCount val="1"/>
                <c:pt idx="0">
                  <c:v>Cost of Net Wetland Change</c:v>
                </c:pt>
              </c:strCache>
            </c:strRef>
          </c:tx>
          <c:spPr>
            <a:solidFill>
              <a:srgbClr val="22AA99"/>
            </a:solidFill>
          </c:spPr>
          <c:invertIfNegative val="1"/>
          <c:val>
            <c:numRef>
              <c:f>Australia!$BF$14</c:f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B-052A-7648-90E9-280ECD178A29}"/>
            </c:ext>
          </c:extLst>
        </c:ser>
        <c:ser>
          <c:idx val="12"/>
          <c:order val="12"/>
          <c:tx>
            <c:strRef>
              <c:f>Australia!$BE$15</c:f>
              <c:strCache>
                <c:ptCount val="1"/>
                <c:pt idx="0">
                  <c:v>Cost of Net Farmland Change</c:v>
                </c:pt>
              </c:strCache>
            </c:strRef>
          </c:tx>
          <c:spPr>
            <a:solidFill>
              <a:srgbClr val="AAAA11"/>
            </a:solidFill>
          </c:spPr>
          <c:invertIfNegative val="1"/>
          <c:val>
            <c:numRef>
              <c:f>Australia!$BF$15</c:f>
              <c:numCache>
                <c:formatCode>0.00</c:formatCode>
                <c:ptCount val="1"/>
                <c:pt idx="0">
                  <c:v>-17.857142857142861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C-052A-7648-90E9-280ECD178A29}"/>
            </c:ext>
          </c:extLst>
        </c:ser>
        <c:ser>
          <c:idx val="13"/>
          <c:order val="13"/>
          <c:tx>
            <c:strRef>
              <c:f>Australia!$BE$16</c:f>
              <c:strCache>
                <c:ptCount val="1"/>
                <c:pt idx="0">
                  <c:v>Cost of Net Forest Cover Change</c:v>
                </c:pt>
              </c:strCache>
            </c:strRef>
          </c:tx>
          <c:spPr>
            <a:solidFill>
              <a:srgbClr val="6633CC"/>
            </a:solidFill>
          </c:spPr>
          <c:invertIfNegative val="1"/>
          <c:val>
            <c:numRef>
              <c:f>Australia!$BF$16</c:f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D-052A-7648-90E9-280ECD178A29}"/>
            </c:ext>
          </c:extLst>
        </c:ser>
        <c:ser>
          <c:idx val="14"/>
          <c:order val="14"/>
          <c:tx>
            <c:strRef>
              <c:f>Australia!$BE$17</c:f>
              <c:strCache>
                <c:ptCount val="1"/>
                <c:pt idx="0">
                  <c:v>Cost of Climate Change</c:v>
                </c:pt>
              </c:strCache>
            </c:strRef>
          </c:tx>
          <c:spPr>
            <a:solidFill>
              <a:srgbClr val="E67300"/>
            </a:solidFill>
          </c:spPr>
          <c:invertIfNegative val="1"/>
          <c:val>
            <c:numRef>
              <c:f>Australia!$BF$17</c:f>
              <c:numCache>
                <c:formatCode>0.00</c:formatCode>
                <c:ptCount val="1"/>
                <c:pt idx="0">
                  <c:v>407.53404810199953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E-052A-7648-90E9-280ECD178A29}"/>
            </c:ext>
          </c:extLst>
        </c:ser>
        <c:ser>
          <c:idx val="15"/>
          <c:order val="15"/>
          <c:tx>
            <c:strRef>
              <c:f>Australia!$BE$18</c:f>
              <c:strCache>
                <c:ptCount val="1"/>
                <c:pt idx="0">
                  <c:v>Cost of Ozone Depletion</c:v>
                </c:pt>
              </c:strCache>
            </c:strRef>
          </c:tx>
          <c:spPr>
            <a:solidFill>
              <a:srgbClr val="8B0707"/>
            </a:solidFill>
          </c:spPr>
          <c:invertIfNegative val="1"/>
          <c:val>
            <c:numRef>
              <c:f>Australia!$BF$18</c:f>
              <c:numCache>
                <c:formatCode>0.00</c:formatCode>
                <c:ptCount val="1"/>
                <c:pt idx="0">
                  <c:v>54.445606694560666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F-052A-7648-90E9-280ECD178A29}"/>
            </c:ext>
          </c:extLst>
        </c:ser>
        <c:ser>
          <c:idx val="16"/>
          <c:order val="16"/>
          <c:tx>
            <c:strRef>
              <c:f>Australia!$BE$19</c:f>
              <c:strCache>
                <c:ptCount val="1"/>
                <c:pt idx="0">
                  <c:v>Cost of Nonrenewable Energy Resource Depletion</c:v>
                </c:pt>
              </c:strCache>
            </c:strRef>
          </c:tx>
          <c:spPr>
            <a:solidFill>
              <a:srgbClr val="651067"/>
            </a:solidFill>
          </c:spPr>
          <c:invertIfNegative val="1"/>
          <c:val>
            <c:numRef>
              <c:f>Australia!$BF$19</c:f>
              <c:numCache>
                <c:formatCode>0.00</c:formatCode>
                <c:ptCount val="1"/>
                <c:pt idx="0">
                  <c:v>1708.9795918367345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10-052A-7648-90E9-280ECD178A29}"/>
            </c:ext>
          </c:extLst>
        </c:ser>
        <c:ser>
          <c:idx val="17"/>
          <c:order val="17"/>
          <c:tx>
            <c:strRef>
              <c:f>Australia!$BE$20</c:f>
              <c:strCache>
                <c:ptCount val="1"/>
                <c:pt idx="0">
                  <c:v>Value of Housework</c:v>
                </c:pt>
              </c:strCache>
            </c:strRef>
          </c:tx>
          <c:spPr>
            <a:solidFill>
              <a:srgbClr val="329262"/>
            </a:solidFill>
          </c:spPr>
          <c:invertIfNegative val="1"/>
          <c:val>
            <c:numRef>
              <c:f>Australia!$BF$20</c:f>
              <c:numCache>
                <c:formatCode>0.00</c:formatCode>
                <c:ptCount val="1"/>
                <c:pt idx="0">
                  <c:v>100.4069085808465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11-052A-7648-90E9-280ECD178A29}"/>
            </c:ext>
          </c:extLst>
        </c:ser>
        <c:ser>
          <c:idx val="18"/>
          <c:order val="18"/>
          <c:tx>
            <c:strRef>
              <c:f>Australia!$BE$21</c:f>
              <c:strCache>
                <c:ptCount val="1"/>
                <c:pt idx="0">
                  <c:v>Cost of Family Changes</c:v>
                </c:pt>
              </c:strCache>
            </c:strRef>
          </c:tx>
          <c:spPr>
            <a:solidFill>
              <a:srgbClr val="5574A6"/>
            </a:solidFill>
          </c:spPr>
          <c:invertIfNegative val="1"/>
          <c:val>
            <c:numRef>
              <c:f>Australia!$BF$21</c:f>
              <c:numCache>
                <c:formatCode>0.00</c:formatCode>
                <c:ptCount val="1"/>
                <c:pt idx="0">
                  <c:v>226.33044277340835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12-052A-7648-90E9-280ECD178A29}"/>
            </c:ext>
          </c:extLst>
        </c:ser>
        <c:ser>
          <c:idx val="19"/>
          <c:order val="19"/>
          <c:tx>
            <c:strRef>
              <c:f>Australia!$BE$22</c:f>
              <c:strCache>
                <c:ptCount val="1"/>
                <c:pt idx="0">
                  <c:v>Cost of Crime</c:v>
                </c:pt>
              </c:strCache>
            </c:strRef>
          </c:tx>
          <c:spPr>
            <a:solidFill>
              <a:srgbClr val="3B3EAC"/>
            </a:solidFill>
          </c:spPr>
          <c:invertIfNegative val="1"/>
          <c:val>
            <c:numRef>
              <c:f>Australia!$BF$22</c:f>
              <c:numCache>
                <c:formatCode>0.00</c:formatCode>
                <c:ptCount val="1"/>
                <c:pt idx="0">
                  <c:v>-100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13-052A-7648-90E9-280ECD178A29}"/>
            </c:ext>
          </c:extLst>
        </c:ser>
        <c:ser>
          <c:idx val="20"/>
          <c:order val="20"/>
          <c:tx>
            <c:strRef>
              <c:f>Australia!$BE$23</c:f>
              <c:strCache>
                <c:ptCount val="1"/>
                <c:pt idx="0">
                  <c:v>Cost of Personal Pollution Abatement</c:v>
                </c:pt>
              </c:strCache>
            </c:strRef>
          </c:tx>
          <c:spPr>
            <a:solidFill>
              <a:srgbClr val="B77322"/>
            </a:solidFill>
          </c:spPr>
          <c:invertIfNegative val="1"/>
          <c:val>
            <c:numRef>
              <c:f>Australia!$BF$23</c:f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14-052A-7648-90E9-280ECD178A29}"/>
            </c:ext>
          </c:extLst>
        </c:ser>
        <c:ser>
          <c:idx val="21"/>
          <c:order val="21"/>
          <c:tx>
            <c:strRef>
              <c:f>Australia!$BE$24</c:f>
              <c:strCache>
                <c:ptCount val="1"/>
                <c:pt idx="0">
                  <c:v>Value of Volunteer Work</c:v>
                </c:pt>
              </c:strCache>
            </c:strRef>
          </c:tx>
          <c:spPr>
            <a:solidFill>
              <a:srgbClr val="16D620"/>
            </a:solidFill>
          </c:spPr>
          <c:invertIfNegative val="1"/>
          <c:val>
            <c:numRef>
              <c:f>Australia!$BF$24</c:f>
              <c:numCache>
                <c:formatCode>0.00</c:formatCode>
                <c:ptCount val="1"/>
                <c:pt idx="0">
                  <c:v>200.99537423517742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15-052A-7648-90E9-280ECD178A29}"/>
            </c:ext>
          </c:extLst>
        </c:ser>
        <c:ser>
          <c:idx val="22"/>
          <c:order val="22"/>
          <c:tx>
            <c:strRef>
              <c:f>Australia!$BE$25</c:f>
              <c:strCache>
                <c:ptCount val="1"/>
                <c:pt idx="0">
                  <c:v>Cost of Lost Leisure Time</c:v>
                </c:pt>
              </c:strCache>
            </c:strRef>
          </c:tx>
          <c:spPr>
            <a:solidFill>
              <a:srgbClr val="B91383"/>
            </a:solidFill>
          </c:spPr>
          <c:invertIfNegative val="1"/>
          <c:val>
            <c:numRef>
              <c:f>Australia!$BF$25</c:f>
              <c:numCache>
                <c:formatCode>0.00</c:formatCode>
                <c:ptCount val="1"/>
                <c:pt idx="0">
                  <c:v>-1482.9705989280526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16-052A-7648-90E9-280ECD178A29}"/>
            </c:ext>
          </c:extLst>
        </c:ser>
        <c:ser>
          <c:idx val="23"/>
          <c:order val="23"/>
          <c:tx>
            <c:strRef>
              <c:f>Australia!$BE$26</c:f>
              <c:strCache>
                <c:ptCount val="1"/>
                <c:pt idx="0">
                  <c:v>Value of Higher Education</c:v>
                </c:pt>
              </c:strCache>
            </c:strRef>
          </c:tx>
          <c:spPr>
            <a:solidFill>
              <a:srgbClr val="F4359E"/>
            </a:solidFill>
          </c:spPr>
          <c:invertIfNegative val="1"/>
          <c:val>
            <c:numRef>
              <c:f>Australia!$BF$26</c:f>
              <c:numCache>
                <c:formatCode>0.00</c:formatCode>
                <c:ptCount val="1"/>
                <c:pt idx="0">
                  <c:v>30700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17-052A-7648-90E9-280ECD178A29}"/>
            </c:ext>
          </c:extLst>
        </c:ser>
        <c:ser>
          <c:idx val="24"/>
          <c:order val="24"/>
          <c:tx>
            <c:strRef>
              <c:f>Australia!$BE$27</c:f>
              <c:strCache>
                <c:ptCount val="1"/>
                <c:pt idx="0">
                  <c:v>Services of Highways and Streets</c:v>
                </c:pt>
              </c:strCache>
            </c:strRef>
          </c:tx>
          <c:spPr>
            <a:solidFill>
              <a:srgbClr val="9C5935"/>
            </a:solidFill>
          </c:spPr>
          <c:invertIfNegative val="1"/>
          <c:val>
            <c:numRef>
              <c:f>Australia!$BF$27</c:f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18-052A-7648-90E9-280ECD178A29}"/>
            </c:ext>
          </c:extLst>
        </c:ser>
        <c:ser>
          <c:idx val="25"/>
          <c:order val="25"/>
          <c:tx>
            <c:strRef>
              <c:f>Australia!$BE$28</c:f>
              <c:strCache>
                <c:ptCount val="1"/>
                <c:pt idx="0">
                  <c:v>Cost of Commuting</c:v>
                </c:pt>
              </c:strCache>
            </c:strRef>
          </c:tx>
          <c:spPr>
            <a:solidFill>
              <a:srgbClr val="A9C413"/>
            </a:solidFill>
          </c:spPr>
          <c:invertIfNegative val="1"/>
          <c:val>
            <c:numRef>
              <c:f>Australia!$BF$28</c:f>
              <c:numCache>
                <c:formatCode>0.00</c:formatCode>
                <c:ptCount val="1"/>
                <c:pt idx="0">
                  <c:v>265.39798113519771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19-052A-7648-90E9-280ECD178A29}"/>
            </c:ext>
          </c:extLst>
        </c:ser>
        <c:ser>
          <c:idx val="26"/>
          <c:order val="26"/>
          <c:tx>
            <c:strRef>
              <c:f>Australia!$BE$29</c:f>
              <c:strCache>
                <c:ptCount val="1"/>
                <c:pt idx="0">
                  <c:v>Cost of Motor Vehicle Crashes</c:v>
                </c:pt>
              </c:strCache>
            </c:strRef>
          </c:tx>
          <c:spPr>
            <a:solidFill>
              <a:srgbClr val="2A778D"/>
            </a:solidFill>
          </c:spPr>
          <c:invertIfNegative val="1"/>
          <c:val>
            <c:numRef>
              <c:f>Australia!$BF$29</c:f>
              <c:numCache>
                <c:formatCode>0.00</c:formatCode>
                <c:ptCount val="1"/>
                <c:pt idx="0">
                  <c:v>-53.175491088851309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1A-052A-7648-90E9-280ECD178A29}"/>
            </c:ext>
          </c:extLst>
        </c:ser>
        <c:ser>
          <c:idx val="27"/>
          <c:order val="27"/>
          <c:tx>
            <c:strRef>
              <c:f>Australia!$BE$30</c:f>
              <c:strCache>
                <c:ptCount val="1"/>
              </c:strCache>
            </c:strRef>
          </c:tx>
          <c:spPr>
            <a:solidFill>
              <a:srgbClr val="668D1C"/>
            </a:solidFill>
          </c:spPr>
          <c:invertIfNegative val="1"/>
          <c:val>
            <c:numRef>
              <c:f>Australia!$BF$30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1B-052A-7648-90E9-280ECD178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140206360"/>
        <c:axId val="-2140202808"/>
      </c:barChart>
      <c:catAx>
        <c:axId val="-2140206360"/>
        <c:scaling>
          <c:orientation val="maxMin"/>
        </c:scaling>
        <c:delete val="0"/>
        <c:axPos val="l"/>
        <c:majorTickMark val="cross"/>
        <c:minorTickMark val="cross"/>
        <c:tickLblPos val="nextTo"/>
        <c:txPr>
          <a:bodyPr/>
          <a:lstStyle/>
          <a:p>
            <a:pPr lvl="0">
              <a:defRPr b="0"/>
            </a:pPr>
            <a:endParaRPr lang="en-US"/>
          </a:p>
        </c:txPr>
        <c:crossAx val="-2140202808"/>
        <c:crosses val="autoZero"/>
        <c:auto val="1"/>
        <c:lblAlgn val="ctr"/>
        <c:lblOffset val="100"/>
        <c:noMultiLvlLbl val="1"/>
      </c:catAx>
      <c:valAx>
        <c:axId val="-214020280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/>
                </a:pPr>
                <a:r>
                  <a:rPr lang="en-US"/>
                  <a:t>% Change</a:t>
                </a:r>
              </a:p>
            </c:rich>
          </c:tx>
          <c:overlay val="0"/>
        </c:title>
        <c:numFmt formatCode="0.00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/>
            </a:pPr>
            <a:endParaRPr lang="en-US"/>
          </a:p>
        </c:txPr>
        <c:crossAx val="-2140206360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sz="800">
              <a:solidFill>
                <a:srgbClr val="222222"/>
              </a:solidFill>
            </a:defRPr>
          </a:pPr>
          <a:endParaRPr lang="en-US"/>
        </a:p>
      </c:txPr>
    </c:legend>
    <c:plotVisOnly val="1"/>
    <c:dispBlanksAs val="zero"/>
    <c:showDLblsOverMax val="1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8"/>
  <c:chart>
    <c:title>
      <c:tx>
        <c:rich>
          <a:bodyPr/>
          <a:lstStyle/>
          <a:p>
            <a:pPr lvl="0">
              <a:defRPr sz="1600" b="1">
                <a:solidFill>
                  <a:srgbClr val="000000"/>
                </a:solidFill>
              </a:defRPr>
            </a:pPr>
            <a:r>
              <a:rPr lang="en-US"/>
              <a:t>GPI, GDP, &amp; Adjusted Personal Consumption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Australia!$B$3</c:f>
              <c:strCache>
                <c:ptCount val="1"/>
                <c:pt idx="0">
                  <c:v>GPI (Billions 2012$)</c:v>
                </c:pt>
              </c:strCache>
            </c:strRef>
          </c:tx>
          <c:spPr>
            <a:ln w="19050" cmpd="sng">
              <a:solidFill>
                <a:srgbClr val="3366CC"/>
              </a:solidFill>
            </a:ln>
          </c:spPr>
          <c:marker>
            <c:symbol val="none"/>
          </c:marker>
          <c:cat>
            <c:numRef>
              <c:f>Australia!$C$2:$BB$2</c:f>
              <c:numCache>
                <c:formatCode>General</c:formatCode>
                <c:ptCount val="52"/>
                <c:pt idx="0">
                  <c:v>1962</c:v>
                </c:pt>
                <c:pt idx="1">
                  <c:v>1963</c:v>
                </c:pt>
                <c:pt idx="2">
                  <c:v>1964</c:v>
                </c:pt>
                <c:pt idx="3">
                  <c:v>1965</c:v>
                </c:pt>
                <c:pt idx="4">
                  <c:v>1966</c:v>
                </c:pt>
                <c:pt idx="5">
                  <c:v>1967</c:v>
                </c:pt>
                <c:pt idx="6">
                  <c:v>1968</c:v>
                </c:pt>
                <c:pt idx="7">
                  <c:v>1969</c:v>
                </c:pt>
                <c:pt idx="8">
                  <c:v>1970</c:v>
                </c:pt>
                <c:pt idx="9">
                  <c:v>1971</c:v>
                </c:pt>
                <c:pt idx="10">
                  <c:v>1972</c:v>
                </c:pt>
                <c:pt idx="11">
                  <c:v>1973</c:v>
                </c:pt>
                <c:pt idx="12">
                  <c:v>1974</c:v>
                </c:pt>
                <c:pt idx="13">
                  <c:v>1975</c:v>
                </c:pt>
                <c:pt idx="14">
                  <c:v>1976</c:v>
                </c:pt>
                <c:pt idx="15">
                  <c:v>1977</c:v>
                </c:pt>
                <c:pt idx="16">
                  <c:v>1978</c:v>
                </c:pt>
                <c:pt idx="17">
                  <c:v>1979</c:v>
                </c:pt>
                <c:pt idx="18">
                  <c:v>1980</c:v>
                </c:pt>
                <c:pt idx="19">
                  <c:v>1981</c:v>
                </c:pt>
                <c:pt idx="20">
                  <c:v>1982</c:v>
                </c:pt>
                <c:pt idx="21">
                  <c:v>1983</c:v>
                </c:pt>
                <c:pt idx="22">
                  <c:v>1984</c:v>
                </c:pt>
                <c:pt idx="23">
                  <c:v>1985</c:v>
                </c:pt>
                <c:pt idx="24">
                  <c:v>1986</c:v>
                </c:pt>
                <c:pt idx="25">
                  <c:v>1987</c:v>
                </c:pt>
                <c:pt idx="26">
                  <c:v>1988</c:v>
                </c:pt>
                <c:pt idx="27">
                  <c:v>1989</c:v>
                </c:pt>
                <c:pt idx="28">
                  <c:v>1990</c:v>
                </c:pt>
                <c:pt idx="29">
                  <c:v>1991</c:v>
                </c:pt>
                <c:pt idx="30">
                  <c:v>1992</c:v>
                </c:pt>
                <c:pt idx="31">
                  <c:v>1993</c:v>
                </c:pt>
                <c:pt idx="32">
                  <c:v>1994</c:v>
                </c:pt>
                <c:pt idx="33">
                  <c:v>1995</c:v>
                </c:pt>
                <c:pt idx="34">
                  <c:v>1996</c:v>
                </c:pt>
                <c:pt idx="35">
                  <c:v>1997</c:v>
                </c:pt>
                <c:pt idx="36">
                  <c:v>1998</c:v>
                </c:pt>
                <c:pt idx="37">
                  <c:v>1999</c:v>
                </c:pt>
                <c:pt idx="38">
                  <c:v>2000</c:v>
                </c:pt>
                <c:pt idx="39">
                  <c:v>2001</c:v>
                </c:pt>
                <c:pt idx="40">
                  <c:v>2002</c:v>
                </c:pt>
                <c:pt idx="41">
                  <c:v>2003</c:v>
                </c:pt>
                <c:pt idx="42">
                  <c:v>2004</c:v>
                </c:pt>
                <c:pt idx="43">
                  <c:v>2005</c:v>
                </c:pt>
                <c:pt idx="44">
                  <c:v>2006</c:v>
                </c:pt>
                <c:pt idx="45">
                  <c:v>2007</c:v>
                </c:pt>
                <c:pt idx="46">
                  <c:v>2008</c:v>
                </c:pt>
                <c:pt idx="47">
                  <c:v>2009</c:v>
                </c:pt>
                <c:pt idx="48">
                  <c:v>2010</c:v>
                </c:pt>
                <c:pt idx="49">
                  <c:v>2011</c:v>
                </c:pt>
                <c:pt idx="50">
                  <c:v>2012</c:v>
                </c:pt>
                <c:pt idx="51">
                  <c:v>2013</c:v>
                </c:pt>
              </c:numCache>
            </c:numRef>
          </c:cat>
          <c:val>
            <c:numRef>
              <c:f>Australia!$C$3:$BB$3</c:f>
              <c:numCache>
                <c:formatCode>0.00</c:formatCode>
                <c:ptCount val="52"/>
                <c:pt idx="0">
                  <c:v>182.13067118841971</c:v>
                </c:pt>
                <c:pt idx="1">
                  <c:v>179.37995731247059</c:v>
                </c:pt>
                <c:pt idx="2">
                  <c:v>183.64015291465907</c:v>
                </c:pt>
                <c:pt idx="3">
                  <c:v>190.51234251258111</c:v>
                </c:pt>
                <c:pt idx="4">
                  <c:v>198.41389867194599</c:v>
                </c:pt>
                <c:pt idx="5">
                  <c:v>208.19541341122434</c:v>
                </c:pt>
                <c:pt idx="6">
                  <c:v>216.58005580845136</c:v>
                </c:pt>
                <c:pt idx="7">
                  <c:v>229.45408552967046</c:v>
                </c:pt>
                <c:pt idx="8">
                  <c:v>243.3758923485708</c:v>
                </c:pt>
                <c:pt idx="9">
                  <c:v>249.27611335472722</c:v>
                </c:pt>
                <c:pt idx="10">
                  <c:v>252.62767175406017</c:v>
                </c:pt>
                <c:pt idx="11">
                  <c:v>266.39540757926414</c:v>
                </c:pt>
                <c:pt idx="12">
                  <c:v>286.70859041004667</c:v>
                </c:pt>
                <c:pt idx="13">
                  <c:v>304.8582870752503</c:v>
                </c:pt>
                <c:pt idx="14">
                  <c:v>320.04533715936327</c:v>
                </c:pt>
                <c:pt idx="15">
                  <c:v>321.32309370720117</c:v>
                </c:pt>
                <c:pt idx="16">
                  <c:v>334.53221755247199</c:v>
                </c:pt>
                <c:pt idx="17">
                  <c:v>340.41992140627451</c:v>
                </c:pt>
                <c:pt idx="18">
                  <c:v>317.81829239189454</c:v>
                </c:pt>
                <c:pt idx="19">
                  <c:v>336.25375588098001</c:v>
                </c:pt>
                <c:pt idx="20">
                  <c:v>342.2387365161153</c:v>
                </c:pt>
                <c:pt idx="21">
                  <c:v>349.26834315342296</c:v>
                </c:pt>
                <c:pt idx="22">
                  <c:v>346.35561031201939</c:v>
                </c:pt>
                <c:pt idx="23">
                  <c:v>348.4286316814925</c:v>
                </c:pt>
                <c:pt idx="24">
                  <c:v>353.0403176483394</c:v>
                </c:pt>
                <c:pt idx="25">
                  <c:v>362.67732176000067</c:v>
                </c:pt>
                <c:pt idx="26">
                  <c:v>378.54859289403248</c:v>
                </c:pt>
                <c:pt idx="27">
                  <c:v>389.8557607863234</c:v>
                </c:pt>
                <c:pt idx="28">
                  <c:v>407.02585999403749</c:v>
                </c:pt>
                <c:pt idx="29">
                  <c:v>408.78891218223788</c:v>
                </c:pt>
                <c:pt idx="30">
                  <c:v>408.08517954135323</c:v>
                </c:pt>
                <c:pt idx="31">
                  <c:v>409.15749796140773</c:v>
                </c:pt>
                <c:pt idx="32">
                  <c:v>411.53972096149704</c:v>
                </c:pt>
                <c:pt idx="33">
                  <c:v>414.61718607232274</c:v>
                </c:pt>
                <c:pt idx="34">
                  <c:v>436.03037900227952</c:v>
                </c:pt>
                <c:pt idx="35">
                  <c:v>462.38821834027561</c:v>
                </c:pt>
                <c:pt idx="36">
                  <c:v>456.83032076898382</c:v>
                </c:pt>
                <c:pt idx="37">
                  <c:v>476.86961654862245</c:v>
                </c:pt>
                <c:pt idx="38">
                  <c:v>478.44539962194631</c:v>
                </c:pt>
                <c:pt idx="39">
                  <c:v>505.75941284979257</c:v>
                </c:pt>
                <c:pt idx="40">
                  <c:v>525.97116718863208</c:v>
                </c:pt>
                <c:pt idx="41">
                  <c:v>547.43078905850996</c:v>
                </c:pt>
                <c:pt idx="42">
                  <c:v>574.41297030224496</c:v>
                </c:pt>
                <c:pt idx="43">
                  <c:v>592.56341415851489</c:v>
                </c:pt>
                <c:pt idx="44">
                  <c:v>614.04053691382353</c:v>
                </c:pt>
                <c:pt idx="45">
                  <c:v>627.84204972816042</c:v>
                </c:pt>
                <c:pt idx="46">
                  <c:v>637.60024875337331</c:v>
                </c:pt>
                <c:pt idx="47">
                  <c:v>639.43151276902188</c:v>
                </c:pt>
                <c:pt idx="48">
                  <c:v>694.49243025788894</c:v>
                </c:pt>
                <c:pt idx="49">
                  <c:v>738.21574402730494</c:v>
                </c:pt>
                <c:pt idx="50">
                  <c:v>771.10608923237623</c:v>
                </c:pt>
                <c:pt idx="51">
                  <c:v>798.44863000825433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F5-DE40-BBFD-B17759413CEA}"/>
            </c:ext>
          </c:extLst>
        </c:ser>
        <c:ser>
          <c:idx val="1"/>
          <c:order val="1"/>
          <c:tx>
            <c:strRef>
              <c:f>Australia!$B$6</c:f>
              <c:strCache>
                <c:ptCount val="1"/>
                <c:pt idx="0">
                  <c:v>Adjusted Personal Consumption</c:v>
                </c:pt>
              </c:strCache>
            </c:strRef>
          </c:tx>
          <c:spPr>
            <a:ln w="19050" cmpd="sng">
              <a:solidFill>
                <a:srgbClr val="DC3912"/>
              </a:solidFill>
            </a:ln>
          </c:spPr>
          <c:marker>
            <c:symbol val="none"/>
          </c:marker>
          <c:cat>
            <c:numRef>
              <c:f>Australia!$C$2:$BB$2</c:f>
              <c:numCache>
                <c:formatCode>General</c:formatCode>
                <c:ptCount val="52"/>
                <c:pt idx="0">
                  <c:v>1962</c:v>
                </c:pt>
                <c:pt idx="1">
                  <c:v>1963</c:v>
                </c:pt>
                <c:pt idx="2">
                  <c:v>1964</c:v>
                </c:pt>
                <c:pt idx="3">
                  <c:v>1965</c:v>
                </c:pt>
                <c:pt idx="4">
                  <c:v>1966</c:v>
                </c:pt>
                <c:pt idx="5">
                  <c:v>1967</c:v>
                </c:pt>
                <c:pt idx="6">
                  <c:v>1968</c:v>
                </c:pt>
                <c:pt idx="7">
                  <c:v>1969</c:v>
                </c:pt>
                <c:pt idx="8">
                  <c:v>1970</c:v>
                </c:pt>
                <c:pt idx="9">
                  <c:v>1971</c:v>
                </c:pt>
                <c:pt idx="10">
                  <c:v>1972</c:v>
                </c:pt>
                <c:pt idx="11">
                  <c:v>1973</c:v>
                </c:pt>
                <c:pt idx="12">
                  <c:v>1974</c:v>
                </c:pt>
                <c:pt idx="13">
                  <c:v>1975</c:v>
                </c:pt>
                <c:pt idx="14">
                  <c:v>1976</c:v>
                </c:pt>
                <c:pt idx="15">
                  <c:v>1977</c:v>
                </c:pt>
                <c:pt idx="16">
                  <c:v>1978</c:v>
                </c:pt>
                <c:pt idx="17">
                  <c:v>1979</c:v>
                </c:pt>
                <c:pt idx="18">
                  <c:v>1980</c:v>
                </c:pt>
                <c:pt idx="19">
                  <c:v>1981</c:v>
                </c:pt>
                <c:pt idx="20">
                  <c:v>1982</c:v>
                </c:pt>
                <c:pt idx="21">
                  <c:v>1983</c:v>
                </c:pt>
                <c:pt idx="22">
                  <c:v>1984</c:v>
                </c:pt>
                <c:pt idx="23">
                  <c:v>1985</c:v>
                </c:pt>
                <c:pt idx="24">
                  <c:v>1986</c:v>
                </c:pt>
                <c:pt idx="25">
                  <c:v>1987</c:v>
                </c:pt>
                <c:pt idx="26">
                  <c:v>1988</c:v>
                </c:pt>
                <c:pt idx="27">
                  <c:v>1989</c:v>
                </c:pt>
                <c:pt idx="28">
                  <c:v>1990</c:v>
                </c:pt>
                <c:pt idx="29">
                  <c:v>1991</c:v>
                </c:pt>
                <c:pt idx="30">
                  <c:v>1992</c:v>
                </c:pt>
                <c:pt idx="31">
                  <c:v>1993</c:v>
                </c:pt>
                <c:pt idx="32">
                  <c:v>1994</c:v>
                </c:pt>
                <c:pt idx="33">
                  <c:v>1995</c:v>
                </c:pt>
                <c:pt idx="34">
                  <c:v>1996</c:v>
                </c:pt>
                <c:pt idx="35">
                  <c:v>1997</c:v>
                </c:pt>
                <c:pt idx="36">
                  <c:v>1998</c:v>
                </c:pt>
                <c:pt idx="37">
                  <c:v>1999</c:v>
                </c:pt>
                <c:pt idx="38">
                  <c:v>2000</c:v>
                </c:pt>
                <c:pt idx="39">
                  <c:v>2001</c:v>
                </c:pt>
                <c:pt idx="40">
                  <c:v>2002</c:v>
                </c:pt>
                <c:pt idx="41">
                  <c:v>2003</c:v>
                </c:pt>
                <c:pt idx="42">
                  <c:v>2004</c:v>
                </c:pt>
                <c:pt idx="43">
                  <c:v>2005</c:v>
                </c:pt>
                <c:pt idx="44">
                  <c:v>2006</c:v>
                </c:pt>
                <c:pt idx="45">
                  <c:v>2007</c:v>
                </c:pt>
                <c:pt idx="46">
                  <c:v>2008</c:v>
                </c:pt>
                <c:pt idx="47">
                  <c:v>2009</c:v>
                </c:pt>
                <c:pt idx="48">
                  <c:v>2010</c:v>
                </c:pt>
                <c:pt idx="49">
                  <c:v>2011</c:v>
                </c:pt>
                <c:pt idx="50">
                  <c:v>2012</c:v>
                </c:pt>
                <c:pt idx="51">
                  <c:v>2013</c:v>
                </c:pt>
              </c:numCache>
            </c:numRef>
          </c:cat>
          <c:val>
            <c:numRef>
              <c:f>Australia!$C$6:$BB$6</c:f>
              <c:numCache>
                <c:formatCode>0.00</c:formatCode>
                <c:ptCount val="52"/>
                <c:pt idx="0">
                  <c:v>128.31</c:v>
                </c:pt>
                <c:pt idx="1">
                  <c:v>136.82</c:v>
                </c:pt>
                <c:pt idx="2">
                  <c:v>146.28</c:v>
                </c:pt>
                <c:pt idx="3">
                  <c:v>154.88</c:v>
                </c:pt>
                <c:pt idx="4">
                  <c:v>162.83000000000001</c:v>
                </c:pt>
                <c:pt idx="5">
                  <c:v>172.86</c:v>
                </c:pt>
                <c:pt idx="6">
                  <c:v>183.76</c:v>
                </c:pt>
                <c:pt idx="7">
                  <c:v>198.65</c:v>
                </c:pt>
                <c:pt idx="8">
                  <c:v>214.51</c:v>
                </c:pt>
                <c:pt idx="9">
                  <c:v>222.2</c:v>
                </c:pt>
                <c:pt idx="10">
                  <c:v>229.87</c:v>
                </c:pt>
                <c:pt idx="11">
                  <c:v>250.49</c:v>
                </c:pt>
                <c:pt idx="12">
                  <c:v>274.26</c:v>
                </c:pt>
                <c:pt idx="13">
                  <c:v>292.26</c:v>
                </c:pt>
                <c:pt idx="14">
                  <c:v>307.43</c:v>
                </c:pt>
                <c:pt idx="15">
                  <c:v>314.02999999999997</c:v>
                </c:pt>
                <c:pt idx="16">
                  <c:v>323.32</c:v>
                </c:pt>
                <c:pt idx="17">
                  <c:v>328.5</c:v>
                </c:pt>
                <c:pt idx="18">
                  <c:v>335.5</c:v>
                </c:pt>
                <c:pt idx="19">
                  <c:v>349.54</c:v>
                </c:pt>
                <c:pt idx="20">
                  <c:v>358.51</c:v>
                </c:pt>
                <c:pt idx="21">
                  <c:v>353.19</c:v>
                </c:pt>
                <c:pt idx="22">
                  <c:v>356.57</c:v>
                </c:pt>
                <c:pt idx="23">
                  <c:v>364.64</c:v>
                </c:pt>
                <c:pt idx="24">
                  <c:v>364.96</c:v>
                </c:pt>
                <c:pt idx="25">
                  <c:v>376.03</c:v>
                </c:pt>
                <c:pt idx="26">
                  <c:v>394</c:v>
                </c:pt>
                <c:pt idx="27">
                  <c:v>415.85</c:v>
                </c:pt>
                <c:pt idx="28">
                  <c:v>427.84</c:v>
                </c:pt>
                <c:pt idx="29">
                  <c:v>426.59</c:v>
                </c:pt>
                <c:pt idx="30">
                  <c:v>433.86</c:v>
                </c:pt>
                <c:pt idx="31">
                  <c:v>434.39</c:v>
                </c:pt>
                <c:pt idx="32">
                  <c:v>440.17</c:v>
                </c:pt>
                <c:pt idx="33">
                  <c:v>449.13</c:v>
                </c:pt>
                <c:pt idx="34">
                  <c:v>468.74</c:v>
                </c:pt>
                <c:pt idx="35">
                  <c:v>501.12</c:v>
                </c:pt>
                <c:pt idx="36">
                  <c:v>507.83</c:v>
                </c:pt>
                <c:pt idx="37">
                  <c:v>526.87</c:v>
                </c:pt>
                <c:pt idx="38">
                  <c:v>532.91</c:v>
                </c:pt>
                <c:pt idx="39">
                  <c:v>542.37</c:v>
                </c:pt>
                <c:pt idx="40">
                  <c:v>566.30999999999995</c:v>
                </c:pt>
                <c:pt idx="41">
                  <c:v>588.12</c:v>
                </c:pt>
                <c:pt idx="42">
                  <c:v>622.33000000000004</c:v>
                </c:pt>
                <c:pt idx="43">
                  <c:v>630.79999999999995</c:v>
                </c:pt>
                <c:pt idx="44">
                  <c:v>646.63</c:v>
                </c:pt>
                <c:pt idx="45">
                  <c:v>665.39</c:v>
                </c:pt>
                <c:pt idx="46">
                  <c:v>648.82000000000005</c:v>
                </c:pt>
                <c:pt idx="47">
                  <c:v>666.4</c:v>
                </c:pt>
                <c:pt idx="48">
                  <c:v>690.9</c:v>
                </c:pt>
                <c:pt idx="49">
                  <c:v>717.24</c:v>
                </c:pt>
                <c:pt idx="50">
                  <c:v>751.08</c:v>
                </c:pt>
                <c:pt idx="51">
                  <c:v>763.43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F5-DE40-BBFD-B17759413CEA}"/>
            </c:ext>
          </c:extLst>
        </c:ser>
        <c:ser>
          <c:idx val="2"/>
          <c:order val="2"/>
          <c:tx>
            <c:strRef>
              <c:f>Australia!$B$40</c:f>
              <c:strCache>
                <c:ptCount val="1"/>
                <c:pt idx="0">
                  <c:v>GDP (Adjusted for 2012$)</c:v>
                </c:pt>
              </c:strCache>
            </c:strRef>
          </c:tx>
          <c:spPr>
            <a:ln w="19050" cmpd="sng">
              <a:solidFill>
                <a:srgbClr val="FF9900"/>
              </a:solidFill>
            </a:ln>
          </c:spPr>
          <c:marker>
            <c:symbol val="none"/>
          </c:marker>
          <c:cat>
            <c:numRef>
              <c:f>Australia!$C$2:$BB$2</c:f>
              <c:numCache>
                <c:formatCode>General</c:formatCode>
                <c:ptCount val="52"/>
                <c:pt idx="0">
                  <c:v>1962</c:v>
                </c:pt>
                <c:pt idx="1">
                  <c:v>1963</c:v>
                </c:pt>
                <c:pt idx="2">
                  <c:v>1964</c:v>
                </c:pt>
                <c:pt idx="3">
                  <c:v>1965</c:v>
                </c:pt>
                <c:pt idx="4">
                  <c:v>1966</c:v>
                </c:pt>
                <c:pt idx="5">
                  <c:v>1967</c:v>
                </c:pt>
                <c:pt idx="6">
                  <c:v>1968</c:v>
                </c:pt>
                <c:pt idx="7">
                  <c:v>1969</c:v>
                </c:pt>
                <c:pt idx="8">
                  <c:v>1970</c:v>
                </c:pt>
                <c:pt idx="9">
                  <c:v>1971</c:v>
                </c:pt>
                <c:pt idx="10">
                  <c:v>1972</c:v>
                </c:pt>
                <c:pt idx="11">
                  <c:v>1973</c:v>
                </c:pt>
                <c:pt idx="12">
                  <c:v>1974</c:v>
                </c:pt>
                <c:pt idx="13">
                  <c:v>1975</c:v>
                </c:pt>
                <c:pt idx="14">
                  <c:v>1976</c:v>
                </c:pt>
                <c:pt idx="15">
                  <c:v>1977</c:v>
                </c:pt>
                <c:pt idx="16">
                  <c:v>1978</c:v>
                </c:pt>
                <c:pt idx="17">
                  <c:v>1979</c:v>
                </c:pt>
                <c:pt idx="18">
                  <c:v>1980</c:v>
                </c:pt>
                <c:pt idx="19">
                  <c:v>1981</c:v>
                </c:pt>
                <c:pt idx="20">
                  <c:v>1982</c:v>
                </c:pt>
                <c:pt idx="21">
                  <c:v>1983</c:v>
                </c:pt>
                <c:pt idx="22">
                  <c:v>1984</c:v>
                </c:pt>
                <c:pt idx="23">
                  <c:v>1985</c:v>
                </c:pt>
                <c:pt idx="24">
                  <c:v>1986</c:v>
                </c:pt>
                <c:pt idx="25">
                  <c:v>1987</c:v>
                </c:pt>
                <c:pt idx="26">
                  <c:v>1988</c:v>
                </c:pt>
                <c:pt idx="27">
                  <c:v>1989</c:v>
                </c:pt>
                <c:pt idx="28">
                  <c:v>1990</c:v>
                </c:pt>
                <c:pt idx="29">
                  <c:v>1991</c:v>
                </c:pt>
                <c:pt idx="30">
                  <c:v>1992</c:v>
                </c:pt>
                <c:pt idx="31">
                  <c:v>1993</c:v>
                </c:pt>
                <c:pt idx="32">
                  <c:v>1994</c:v>
                </c:pt>
                <c:pt idx="33">
                  <c:v>1995</c:v>
                </c:pt>
                <c:pt idx="34">
                  <c:v>1996</c:v>
                </c:pt>
                <c:pt idx="35">
                  <c:v>1997</c:v>
                </c:pt>
                <c:pt idx="36">
                  <c:v>1998</c:v>
                </c:pt>
                <c:pt idx="37">
                  <c:v>1999</c:v>
                </c:pt>
                <c:pt idx="38">
                  <c:v>2000</c:v>
                </c:pt>
                <c:pt idx="39">
                  <c:v>2001</c:v>
                </c:pt>
                <c:pt idx="40">
                  <c:v>2002</c:v>
                </c:pt>
                <c:pt idx="41">
                  <c:v>2003</c:v>
                </c:pt>
                <c:pt idx="42">
                  <c:v>2004</c:v>
                </c:pt>
                <c:pt idx="43">
                  <c:v>2005</c:v>
                </c:pt>
                <c:pt idx="44">
                  <c:v>2006</c:v>
                </c:pt>
                <c:pt idx="45">
                  <c:v>2007</c:v>
                </c:pt>
                <c:pt idx="46">
                  <c:v>2008</c:v>
                </c:pt>
                <c:pt idx="47">
                  <c:v>2009</c:v>
                </c:pt>
                <c:pt idx="48">
                  <c:v>2010</c:v>
                </c:pt>
                <c:pt idx="49">
                  <c:v>2011</c:v>
                </c:pt>
                <c:pt idx="50">
                  <c:v>2012</c:v>
                </c:pt>
                <c:pt idx="51">
                  <c:v>2013</c:v>
                </c:pt>
              </c:numCache>
            </c:numRef>
          </c:cat>
          <c:val>
            <c:numRef>
              <c:f>Australia!$C$40:$BB$40</c:f>
              <c:numCache>
                <c:formatCode>0.00</c:formatCode>
                <c:ptCount val="52"/>
                <c:pt idx="0">
                  <c:v>227.6538462</c:v>
                </c:pt>
                <c:pt idx="1">
                  <c:v>243</c:v>
                </c:pt>
                <c:pt idx="2">
                  <c:v>259</c:v>
                </c:pt>
                <c:pt idx="3">
                  <c:v>272.38823530000002</c:v>
                </c:pt>
                <c:pt idx="4">
                  <c:v>279.72413790000002</c:v>
                </c:pt>
                <c:pt idx="5">
                  <c:v>301.43333330000002</c:v>
                </c:pt>
                <c:pt idx="6">
                  <c:v>316.8586957</c:v>
                </c:pt>
                <c:pt idx="7">
                  <c:v>344.11578950000001</c:v>
                </c:pt>
                <c:pt idx="8">
                  <c:v>368.34</c:v>
                </c:pt>
                <c:pt idx="9">
                  <c:v>376.57943929999999</c:v>
                </c:pt>
                <c:pt idx="10">
                  <c:v>396.94642859999999</c:v>
                </c:pt>
                <c:pt idx="11">
                  <c:v>394.58730159999999</c:v>
                </c:pt>
                <c:pt idx="12">
                  <c:v>409.82312930000001</c:v>
                </c:pt>
                <c:pt idx="13">
                  <c:v>423.24404759999999</c:v>
                </c:pt>
                <c:pt idx="14">
                  <c:v>433.14583329999999</c:v>
                </c:pt>
                <c:pt idx="15">
                  <c:v>457.13809520000001</c:v>
                </c:pt>
                <c:pt idx="16">
                  <c:v>463.8495575</c:v>
                </c:pt>
                <c:pt idx="17">
                  <c:v>475.88353410000002</c:v>
                </c:pt>
                <c:pt idx="18">
                  <c:v>493.88602939999998</c:v>
                </c:pt>
                <c:pt idx="19">
                  <c:v>503.53973509999997</c:v>
                </c:pt>
                <c:pt idx="20">
                  <c:v>522.42857140000001</c:v>
                </c:pt>
                <c:pt idx="21">
                  <c:v>517.94246580000004</c:v>
                </c:pt>
                <c:pt idx="22">
                  <c:v>570.5</c:v>
                </c:pt>
                <c:pt idx="23">
                  <c:v>580.11604939999995</c:v>
                </c:pt>
                <c:pt idx="24">
                  <c:v>586.11261260000003</c:v>
                </c:pt>
                <c:pt idx="25">
                  <c:v>600.39495799999997</c:v>
                </c:pt>
                <c:pt idx="26">
                  <c:v>632.94140630000004</c:v>
                </c:pt>
                <c:pt idx="27">
                  <c:v>666.27717389999998</c:v>
                </c:pt>
                <c:pt idx="28">
                  <c:v>684.86949149999998</c:v>
                </c:pt>
                <c:pt idx="29">
                  <c:v>692.65442399999995</c:v>
                </c:pt>
                <c:pt idx="30">
                  <c:v>703.83527449999997</c:v>
                </c:pt>
                <c:pt idx="31">
                  <c:v>725.619281</c:v>
                </c:pt>
                <c:pt idx="32">
                  <c:v>743.17675159999999</c:v>
                </c:pt>
                <c:pt idx="33">
                  <c:v>750.98939389999998</c:v>
                </c:pt>
                <c:pt idx="34">
                  <c:v>789.63880600000005</c:v>
                </c:pt>
                <c:pt idx="35">
                  <c:v>833.31736530000001</c:v>
                </c:pt>
                <c:pt idx="36">
                  <c:v>868.3259587</c:v>
                </c:pt>
                <c:pt idx="37">
                  <c:v>897.64833569999996</c:v>
                </c:pt>
                <c:pt idx="38">
                  <c:v>903.9452804</c:v>
                </c:pt>
                <c:pt idx="39">
                  <c:v>935.37798410000005</c:v>
                </c:pt>
                <c:pt idx="40">
                  <c:v>970.99484540000003</c:v>
                </c:pt>
                <c:pt idx="41">
                  <c:v>1007.41761</c:v>
                </c:pt>
                <c:pt idx="42">
                  <c:v>1057.1472389999999</c:v>
                </c:pt>
                <c:pt idx="43">
                  <c:v>1100.5715990000001</c:v>
                </c:pt>
                <c:pt idx="44">
                  <c:v>1152.3879910000001</c:v>
                </c:pt>
                <c:pt idx="45">
                  <c:v>1220.008979</c:v>
                </c:pt>
                <c:pt idx="46">
                  <c:v>1275.348485</c:v>
                </c:pt>
                <c:pt idx="47">
                  <c:v>1334.11877</c:v>
                </c:pt>
                <c:pt idx="48">
                  <c:v>1337.1795669999999</c:v>
                </c:pt>
                <c:pt idx="49">
                  <c:v>1410.686373</c:v>
                </c:pt>
                <c:pt idx="50">
                  <c:v>1458.8509799999999</c:v>
                </c:pt>
                <c:pt idx="51">
                  <c:v>1451.2824430000001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F5-DE40-BBFD-B17759413C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39772648"/>
        <c:axId val="-2139777944"/>
      </c:lineChart>
      <c:catAx>
        <c:axId val="-21397726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/>
                </a:pPr>
                <a:r>
                  <a:rPr lang="en-US"/>
                  <a:t>Time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txPr>
          <a:bodyPr/>
          <a:lstStyle/>
          <a:p>
            <a:pPr lvl="0">
              <a:defRPr b="0"/>
            </a:pPr>
            <a:endParaRPr lang="en-US"/>
          </a:p>
        </c:txPr>
        <c:crossAx val="-2139777944"/>
        <c:crosses val="autoZero"/>
        <c:auto val="1"/>
        <c:lblAlgn val="ctr"/>
        <c:lblOffset val="100"/>
        <c:noMultiLvlLbl val="1"/>
      </c:catAx>
      <c:valAx>
        <c:axId val="-21397779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/>
                </a:pPr>
                <a:r>
                  <a:rPr lang="en-US"/>
                  <a:t>$ Billions (AUD)</a:t>
                </a:r>
              </a:p>
            </c:rich>
          </c:tx>
          <c:overlay val="0"/>
        </c:title>
        <c:numFmt formatCode="0.00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/>
            </a:pPr>
            <a:endParaRPr lang="en-US"/>
          </a:p>
        </c:txPr>
        <c:crossAx val="-2139772648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1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8"/>
  <c:chart>
    <c:title>
      <c:tx>
        <c:rich>
          <a:bodyPr/>
          <a:lstStyle/>
          <a:p>
            <a:pPr lvl="0">
              <a:defRPr sz="1600" b="1">
                <a:solidFill>
                  <a:srgbClr val="000000"/>
                </a:solidFill>
              </a:defRPr>
            </a:pPr>
            <a:r>
              <a:rPr lang="en-US"/>
              <a:t>Comparison of ANU &amp; Lawn Australia GPI studies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'Lawn comparison'!$A$16</c:f>
              <c:strCache>
                <c:ptCount val="1"/>
                <c:pt idx="0">
                  <c:v>ANU 2015 GPI (plus $200bn)</c:v>
                </c:pt>
              </c:strCache>
            </c:strRef>
          </c:tx>
          <c:spPr>
            <a:ln w="19050" cmpd="sng">
              <a:solidFill>
                <a:srgbClr val="3366CC"/>
              </a:solidFill>
            </a:ln>
          </c:spPr>
          <c:marker>
            <c:symbol val="none"/>
          </c:marker>
          <c:cat>
            <c:numRef>
              <c:f>'Lawn comparison'!$B$15:$BA$15</c:f>
              <c:numCache>
                <c:formatCode>General</c:formatCode>
                <c:ptCount val="52"/>
                <c:pt idx="0">
                  <c:v>1962</c:v>
                </c:pt>
                <c:pt idx="1">
                  <c:v>1963</c:v>
                </c:pt>
                <c:pt idx="2">
                  <c:v>1964</c:v>
                </c:pt>
                <c:pt idx="3">
                  <c:v>1965</c:v>
                </c:pt>
                <c:pt idx="4">
                  <c:v>1966</c:v>
                </c:pt>
                <c:pt idx="5">
                  <c:v>1967</c:v>
                </c:pt>
                <c:pt idx="6">
                  <c:v>1968</c:v>
                </c:pt>
                <c:pt idx="7">
                  <c:v>1969</c:v>
                </c:pt>
                <c:pt idx="8">
                  <c:v>1970</c:v>
                </c:pt>
                <c:pt idx="9">
                  <c:v>1971</c:v>
                </c:pt>
                <c:pt idx="10">
                  <c:v>1972</c:v>
                </c:pt>
                <c:pt idx="11">
                  <c:v>1973</c:v>
                </c:pt>
                <c:pt idx="12">
                  <c:v>1974</c:v>
                </c:pt>
                <c:pt idx="13">
                  <c:v>1975</c:v>
                </c:pt>
                <c:pt idx="14">
                  <c:v>1976</c:v>
                </c:pt>
                <c:pt idx="15">
                  <c:v>1977</c:v>
                </c:pt>
                <c:pt idx="16">
                  <c:v>1978</c:v>
                </c:pt>
                <c:pt idx="17">
                  <c:v>1979</c:v>
                </c:pt>
                <c:pt idx="18">
                  <c:v>1980</c:v>
                </c:pt>
                <c:pt idx="19">
                  <c:v>1981</c:v>
                </c:pt>
                <c:pt idx="20">
                  <c:v>1982</c:v>
                </c:pt>
                <c:pt idx="21">
                  <c:v>1983</c:v>
                </c:pt>
                <c:pt idx="22">
                  <c:v>1984</c:v>
                </c:pt>
                <c:pt idx="23">
                  <c:v>1985</c:v>
                </c:pt>
                <c:pt idx="24">
                  <c:v>1986</c:v>
                </c:pt>
                <c:pt idx="25">
                  <c:v>1987</c:v>
                </c:pt>
                <c:pt idx="26">
                  <c:v>1988</c:v>
                </c:pt>
                <c:pt idx="27">
                  <c:v>1989</c:v>
                </c:pt>
                <c:pt idx="28">
                  <c:v>1990</c:v>
                </c:pt>
                <c:pt idx="29">
                  <c:v>1991</c:v>
                </c:pt>
                <c:pt idx="30">
                  <c:v>1992</c:v>
                </c:pt>
                <c:pt idx="31">
                  <c:v>1993</c:v>
                </c:pt>
                <c:pt idx="32">
                  <c:v>1994</c:v>
                </c:pt>
                <c:pt idx="33">
                  <c:v>1995</c:v>
                </c:pt>
                <c:pt idx="34">
                  <c:v>1996</c:v>
                </c:pt>
                <c:pt idx="35">
                  <c:v>1997</c:v>
                </c:pt>
                <c:pt idx="36">
                  <c:v>1998</c:v>
                </c:pt>
                <c:pt idx="37">
                  <c:v>1999</c:v>
                </c:pt>
                <c:pt idx="38">
                  <c:v>2000</c:v>
                </c:pt>
                <c:pt idx="39">
                  <c:v>2001</c:v>
                </c:pt>
                <c:pt idx="40">
                  <c:v>2002</c:v>
                </c:pt>
                <c:pt idx="41">
                  <c:v>2003</c:v>
                </c:pt>
                <c:pt idx="42">
                  <c:v>2004</c:v>
                </c:pt>
                <c:pt idx="43">
                  <c:v>2005</c:v>
                </c:pt>
                <c:pt idx="44">
                  <c:v>2006</c:v>
                </c:pt>
                <c:pt idx="45">
                  <c:v>2007</c:v>
                </c:pt>
                <c:pt idx="46">
                  <c:v>2008</c:v>
                </c:pt>
                <c:pt idx="47">
                  <c:v>2009</c:v>
                </c:pt>
                <c:pt idx="48">
                  <c:v>2010</c:v>
                </c:pt>
                <c:pt idx="49">
                  <c:v>2011</c:v>
                </c:pt>
                <c:pt idx="50">
                  <c:v>2012</c:v>
                </c:pt>
                <c:pt idx="51">
                  <c:v>2013</c:v>
                </c:pt>
              </c:numCache>
            </c:numRef>
          </c:cat>
          <c:val>
            <c:numRef>
              <c:f>'Lawn comparison'!$B$16:$BA$16</c:f>
              <c:numCache>
                <c:formatCode>General</c:formatCode>
                <c:ptCount val="52"/>
                <c:pt idx="0">
                  <c:v>402.94</c:v>
                </c:pt>
                <c:pt idx="1">
                  <c:v>400.3</c:v>
                </c:pt>
                <c:pt idx="2">
                  <c:v>402.16</c:v>
                </c:pt>
                <c:pt idx="3">
                  <c:v>405.05</c:v>
                </c:pt>
                <c:pt idx="4">
                  <c:v>409.02</c:v>
                </c:pt>
                <c:pt idx="5">
                  <c:v>415.81</c:v>
                </c:pt>
                <c:pt idx="6">
                  <c:v>422.26</c:v>
                </c:pt>
                <c:pt idx="7">
                  <c:v>430.7</c:v>
                </c:pt>
                <c:pt idx="8">
                  <c:v>439.9</c:v>
                </c:pt>
                <c:pt idx="9">
                  <c:v>444.91</c:v>
                </c:pt>
                <c:pt idx="10">
                  <c:v>446.45</c:v>
                </c:pt>
                <c:pt idx="11">
                  <c:v>450.75</c:v>
                </c:pt>
                <c:pt idx="12">
                  <c:v>457.87</c:v>
                </c:pt>
                <c:pt idx="13">
                  <c:v>465.59</c:v>
                </c:pt>
                <c:pt idx="14">
                  <c:v>472.7</c:v>
                </c:pt>
                <c:pt idx="15">
                  <c:v>468</c:v>
                </c:pt>
                <c:pt idx="16">
                  <c:v>476.07</c:v>
                </c:pt>
                <c:pt idx="17">
                  <c:v>477.34</c:v>
                </c:pt>
                <c:pt idx="18">
                  <c:v>455.06</c:v>
                </c:pt>
                <c:pt idx="19">
                  <c:v>463.87</c:v>
                </c:pt>
                <c:pt idx="20">
                  <c:v>461.08</c:v>
                </c:pt>
                <c:pt idx="21">
                  <c:v>466.03</c:v>
                </c:pt>
                <c:pt idx="22">
                  <c:v>464.84</c:v>
                </c:pt>
                <c:pt idx="23">
                  <c:v>463.13</c:v>
                </c:pt>
                <c:pt idx="24">
                  <c:v>468.6</c:v>
                </c:pt>
                <c:pt idx="25">
                  <c:v>467.02</c:v>
                </c:pt>
                <c:pt idx="26">
                  <c:v>473.05</c:v>
                </c:pt>
                <c:pt idx="27">
                  <c:v>469.75</c:v>
                </c:pt>
                <c:pt idx="28">
                  <c:v>471.82</c:v>
                </c:pt>
                <c:pt idx="29">
                  <c:v>471.5</c:v>
                </c:pt>
                <c:pt idx="30">
                  <c:v>472.21</c:v>
                </c:pt>
                <c:pt idx="31">
                  <c:v>473.41</c:v>
                </c:pt>
                <c:pt idx="32">
                  <c:v>475.79</c:v>
                </c:pt>
                <c:pt idx="33">
                  <c:v>472.3</c:v>
                </c:pt>
                <c:pt idx="34">
                  <c:v>482.67</c:v>
                </c:pt>
                <c:pt idx="35">
                  <c:v>494.76</c:v>
                </c:pt>
                <c:pt idx="36">
                  <c:v>491.7</c:v>
                </c:pt>
                <c:pt idx="37">
                  <c:v>504.56</c:v>
                </c:pt>
                <c:pt idx="38">
                  <c:v>507.02</c:v>
                </c:pt>
                <c:pt idx="39">
                  <c:v>530.09</c:v>
                </c:pt>
                <c:pt idx="40">
                  <c:v>541.25</c:v>
                </c:pt>
                <c:pt idx="41">
                  <c:v>556.72</c:v>
                </c:pt>
                <c:pt idx="42">
                  <c:v>571.01</c:v>
                </c:pt>
                <c:pt idx="43">
                  <c:v>585.94000000000005</c:v>
                </c:pt>
                <c:pt idx="44">
                  <c:v>602.54</c:v>
                </c:pt>
                <c:pt idx="45">
                  <c:v>616.92999999999995</c:v>
                </c:pt>
                <c:pt idx="46">
                  <c:v>636.82000000000005</c:v>
                </c:pt>
                <c:pt idx="47">
                  <c:v>633.54</c:v>
                </c:pt>
                <c:pt idx="48">
                  <c:v>681.06</c:v>
                </c:pt>
                <c:pt idx="49">
                  <c:v>710.28</c:v>
                </c:pt>
                <c:pt idx="50">
                  <c:v>726.76</c:v>
                </c:pt>
                <c:pt idx="51">
                  <c:v>753.56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E0-6E4A-A369-8FDBB280F87E}"/>
            </c:ext>
          </c:extLst>
        </c:ser>
        <c:ser>
          <c:idx val="1"/>
          <c:order val="1"/>
          <c:tx>
            <c:strRef>
              <c:f>'Lawn comparison'!$A$6</c:f>
              <c:strCache>
                <c:ptCount val="1"/>
                <c:pt idx="0">
                  <c:v>Lawn 2005 GPI</c:v>
                </c:pt>
              </c:strCache>
            </c:strRef>
          </c:tx>
          <c:spPr>
            <a:ln w="19050" cmpd="sng">
              <a:solidFill>
                <a:srgbClr val="DC3912"/>
              </a:solidFill>
            </a:ln>
          </c:spPr>
          <c:marker>
            <c:symbol val="none"/>
          </c:marker>
          <c:cat>
            <c:numRef>
              <c:f>'Lawn comparison'!$B$15:$BA$15</c:f>
              <c:numCache>
                <c:formatCode>General</c:formatCode>
                <c:ptCount val="52"/>
                <c:pt idx="0">
                  <c:v>1962</c:v>
                </c:pt>
                <c:pt idx="1">
                  <c:v>1963</c:v>
                </c:pt>
                <c:pt idx="2">
                  <c:v>1964</c:v>
                </c:pt>
                <c:pt idx="3">
                  <c:v>1965</c:v>
                </c:pt>
                <c:pt idx="4">
                  <c:v>1966</c:v>
                </c:pt>
                <c:pt idx="5">
                  <c:v>1967</c:v>
                </c:pt>
                <c:pt idx="6">
                  <c:v>1968</c:v>
                </c:pt>
                <c:pt idx="7">
                  <c:v>1969</c:v>
                </c:pt>
                <c:pt idx="8">
                  <c:v>1970</c:v>
                </c:pt>
                <c:pt idx="9">
                  <c:v>1971</c:v>
                </c:pt>
                <c:pt idx="10">
                  <c:v>1972</c:v>
                </c:pt>
                <c:pt idx="11">
                  <c:v>1973</c:v>
                </c:pt>
                <c:pt idx="12">
                  <c:v>1974</c:v>
                </c:pt>
                <c:pt idx="13">
                  <c:v>1975</c:v>
                </c:pt>
                <c:pt idx="14">
                  <c:v>1976</c:v>
                </c:pt>
                <c:pt idx="15">
                  <c:v>1977</c:v>
                </c:pt>
                <c:pt idx="16">
                  <c:v>1978</c:v>
                </c:pt>
                <c:pt idx="17">
                  <c:v>1979</c:v>
                </c:pt>
                <c:pt idx="18">
                  <c:v>1980</c:v>
                </c:pt>
                <c:pt idx="19">
                  <c:v>1981</c:v>
                </c:pt>
                <c:pt idx="20">
                  <c:v>1982</c:v>
                </c:pt>
                <c:pt idx="21">
                  <c:v>1983</c:v>
                </c:pt>
                <c:pt idx="22">
                  <c:v>1984</c:v>
                </c:pt>
                <c:pt idx="23">
                  <c:v>1985</c:v>
                </c:pt>
                <c:pt idx="24">
                  <c:v>1986</c:v>
                </c:pt>
                <c:pt idx="25">
                  <c:v>1987</c:v>
                </c:pt>
                <c:pt idx="26">
                  <c:v>1988</c:v>
                </c:pt>
                <c:pt idx="27">
                  <c:v>1989</c:v>
                </c:pt>
                <c:pt idx="28">
                  <c:v>1990</c:v>
                </c:pt>
                <c:pt idx="29">
                  <c:v>1991</c:v>
                </c:pt>
                <c:pt idx="30">
                  <c:v>1992</c:v>
                </c:pt>
                <c:pt idx="31">
                  <c:v>1993</c:v>
                </c:pt>
                <c:pt idx="32">
                  <c:v>1994</c:v>
                </c:pt>
                <c:pt idx="33">
                  <c:v>1995</c:v>
                </c:pt>
                <c:pt idx="34">
                  <c:v>1996</c:v>
                </c:pt>
                <c:pt idx="35">
                  <c:v>1997</c:v>
                </c:pt>
                <c:pt idx="36">
                  <c:v>1998</c:v>
                </c:pt>
                <c:pt idx="37">
                  <c:v>1999</c:v>
                </c:pt>
                <c:pt idx="38">
                  <c:v>2000</c:v>
                </c:pt>
                <c:pt idx="39">
                  <c:v>2001</c:v>
                </c:pt>
                <c:pt idx="40">
                  <c:v>2002</c:v>
                </c:pt>
                <c:pt idx="41">
                  <c:v>2003</c:v>
                </c:pt>
                <c:pt idx="42">
                  <c:v>2004</c:v>
                </c:pt>
                <c:pt idx="43">
                  <c:v>2005</c:v>
                </c:pt>
                <c:pt idx="44">
                  <c:v>2006</c:v>
                </c:pt>
                <c:pt idx="45">
                  <c:v>2007</c:v>
                </c:pt>
                <c:pt idx="46">
                  <c:v>2008</c:v>
                </c:pt>
                <c:pt idx="47">
                  <c:v>2009</c:v>
                </c:pt>
                <c:pt idx="48">
                  <c:v>2010</c:v>
                </c:pt>
                <c:pt idx="49">
                  <c:v>2011</c:v>
                </c:pt>
                <c:pt idx="50">
                  <c:v>2012</c:v>
                </c:pt>
                <c:pt idx="51">
                  <c:v>2013</c:v>
                </c:pt>
              </c:numCache>
            </c:numRef>
          </c:cat>
          <c:val>
            <c:numRef>
              <c:f>'Lawn comparison'!$B$6:$BA$6</c:f>
              <c:numCache>
                <c:formatCode>General</c:formatCode>
                <c:ptCount val="52"/>
                <c:pt idx="0">
                  <c:v>362.30373279999998</c:v>
                </c:pt>
                <c:pt idx="1">
                  <c:v>371.62933099999998</c:v>
                </c:pt>
                <c:pt idx="2">
                  <c:v>383.2636392</c:v>
                </c:pt>
                <c:pt idx="3">
                  <c:v>392.56849169999998</c:v>
                </c:pt>
                <c:pt idx="4">
                  <c:v>398.50572870000002</c:v>
                </c:pt>
                <c:pt idx="5">
                  <c:v>409.8562862</c:v>
                </c:pt>
                <c:pt idx="6">
                  <c:v>423.23181929999998</c:v>
                </c:pt>
                <c:pt idx="7">
                  <c:v>432.87854179999999</c:v>
                </c:pt>
                <c:pt idx="8">
                  <c:v>446.35794750000002</c:v>
                </c:pt>
                <c:pt idx="9">
                  <c:v>454.99836770000002</c:v>
                </c:pt>
                <c:pt idx="10">
                  <c:v>467.92740750000002</c:v>
                </c:pt>
                <c:pt idx="11">
                  <c:v>484.76479660000001</c:v>
                </c:pt>
                <c:pt idx="12">
                  <c:v>499.57293600000003</c:v>
                </c:pt>
                <c:pt idx="13">
                  <c:v>492.94537020000001</c:v>
                </c:pt>
                <c:pt idx="14">
                  <c:v>488.15721680000001</c:v>
                </c:pt>
                <c:pt idx="15">
                  <c:v>480.07241720000002</c:v>
                </c:pt>
                <c:pt idx="16">
                  <c:v>470.20308590000002</c:v>
                </c:pt>
                <c:pt idx="17">
                  <c:v>462.9726374</c:v>
                </c:pt>
                <c:pt idx="18">
                  <c:v>463.07156040000001</c:v>
                </c:pt>
                <c:pt idx="19">
                  <c:v>465.58515010000002</c:v>
                </c:pt>
                <c:pt idx="20">
                  <c:v>468.18565869999998</c:v>
                </c:pt>
                <c:pt idx="21">
                  <c:v>469.9441405</c:v>
                </c:pt>
                <c:pt idx="22">
                  <c:v>471.99454639999999</c:v>
                </c:pt>
                <c:pt idx="23">
                  <c:v>482.92876339999998</c:v>
                </c:pt>
                <c:pt idx="24">
                  <c:v>483.18080759999998</c:v>
                </c:pt>
                <c:pt idx="25">
                  <c:v>467.8469235</c:v>
                </c:pt>
                <c:pt idx="26">
                  <c:v>482.75921039999997</c:v>
                </c:pt>
                <c:pt idx="27">
                  <c:v>482.5640449</c:v>
                </c:pt>
                <c:pt idx="28">
                  <c:v>493.5812641</c:v>
                </c:pt>
                <c:pt idx="29">
                  <c:v>497.1462545</c:v>
                </c:pt>
                <c:pt idx="30">
                  <c:v>497.84698479999997</c:v>
                </c:pt>
                <c:pt idx="31">
                  <c:v>497.49089129999999</c:v>
                </c:pt>
                <c:pt idx="32">
                  <c:v>508.55828100000002</c:v>
                </c:pt>
                <c:pt idx="33">
                  <c:v>525.02818669999999</c:v>
                </c:pt>
                <c:pt idx="34">
                  <c:v>546.63191389999997</c:v>
                </c:pt>
                <c:pt idx="35">
                  <c:v>553.60675900000001</c:v>
                </c:pt>
                <c:pt idx="36">
                  <c:v>554.90746830000001</c:v>
                </c:pt>
                <c:pt idx="37">
                  <c:v>566.93319940000003</c:v>
                </c:pt>
                <c:pt idx="38">
                  <c:v>581.08241290000001</c:v>
                </c:pt>
                <c:pt idx="39">
                  <c:v>594.28325989999996</c:v>
                </c:pt>
                <c:pt idx="40">
                  <c:v>608.74087259999999</c:v>
                </c:pt>
                <c:pt idx="41">
                  <c:v>612.24002470000005</c:v>
                </c:pt>
                <c:pt idx="42">
                  <c:v>643.51108829999998</c:v>
                </c:pt>
                <c:pt idx="43">
                  <c:v>643.17959710000002</c:v>
                </c:pt>
                <c:pt idx="44">
                  <c:v>656.32761540000001</c:v>
                </c:pt>
                <c:pt idx="45">
                  <c:v>650.89105670000004</c:v>
                </c:pt>
                <c:pt idx="46">
                  <c:v>663.38618210000004</c:v>
                </c:pt>
                <c:pt idx="47">
                  <c:v>677.77630529999999</c:v>
                </c:pt>
                <c:pt idx="48">
                  <c:v>692.74243809999996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E0-6E4A-A369-8FDBB280F87E}"/>
            </c:ext>
          </c:extLst>
        </c:ser>
        <c:ser>
          <c:idx val="2"/>
          <c:order val="2"/>
          <c:tx>
            <c:strRef>
              <c:f>'Lawn comparison'!$A$14</c:f>
              <c:strCache>
                <c:ptCount val="1"/>
                <c:pt idx="0">
                  <c:v>ANU 2015 GPI</c:v>
                </c:pt>
              </c:strCache>
            </c:strRef>
          </c:tx>
          <c:spPr>
            <a:ln w="19050" cmpd="sng">
              <a:solidFill>
                <a:srgbClr val="FF9900"/>
              </a:solidFill>
            </a:ln>
          </c:spPr>
          <c:marker>
            <c:symbol val="none"/>
          </c:marker>
          <c:cat>
            <c:numRef>
              <c:f>'Lawn comparison'!$B$15:$BA$15</c:f>
              <c:numCache>
                <c:formatCode>General</c:formatCode>
                <c:ptCount val="52"/>
                <c:pt idx="0">
                  <c:v>1962</c:v>
                </c:pt>
                <c:pt idx="1">
                  <c:v>1963</c:v>
                </c:pt>
                <c:pt idx="2">
                  <c:v>1964</c:v>
                </c:pt>
                <c:pt idx="3">
                  <c:v>1965</c:v>
                </c:pt>
                <c:pt idx="4">
                  <c:v>1966</c:v>
                </c:pt>
                <c:pt idx="5">
                  <c:v>1967</c:v>
                </c:pt>
                <c:pt idx="6">
                  <c:v>1968</c:v>
                </c:pt>
                <c:pt idx="7">
                  <c:v>1969</c:v>
                </c:pt>
                <c:pt idx="8">
                  <c:v>1970</c:v>
                </c:pt>
                <c:pt idx="9">
                  <c:v>1971</c:v>
                </c:pt>
                <c:pt idx="10">
                  <c:v>1972</c:v>
                </c:pt>
                <c:pt idx="11">
                  <c:v>1973</c:v>
                </c:pt>
                <c:pt idx="12">
                  <c:v>1974</c:v>
                </c:pt>
                <c:pt idx="13">
                  <c:v>1975</c:v>
                </c:pt>
                <c:pt idx="14">
                  <c:v>1976</c:v>
                </c:pt>
                <c:pt idx="15">
                  <c:v>1977</c:v>
                </c:pt>
                <c:pt idx="16">
                  <c:v>1978</c:v>
                </c:pt>
                <c:pt idx="17">
                  <c:v>1979</c:v>
                </c:pt>
                <c:pt idx="18">
                  <c:v>1980</c:v>
                </c:pt>
                <c:pt idx="19">
                  <c:v>1981</c:v>
                </c:pt>
                <c:pt idx="20">
                  <c:v>1982</c:v>
                </c:pt>
                <c:pt idx="21">
                  <c:v>1983</c:v>
                </c:pt>
                <c:pt idx="22">
                  <c:v>1984</c:v>
                </c:pt>
                <c:pt idx="23">
                  <c:v>1985</c:v>
                </c:pt>
                <c:pt idx="24">
                  <c:v>1986</c:v>
                </c:pt>
                <c:pt idx="25">
                  <c:v>1987</c:v>
                </c:pt>
                <c:pt idx="26">
                  <c:v>1988</c:v>
                </c:pt>
                <c:pt idx="27">
                  <c:v>1989</c:v>
                </c:pt>
                <c:pt idx="28">
                  <c:v>1990</c:v>
                </c:pt>
                <c:pt idx="29">
                  <c:v>1991</c:v>
                </c:pt>
                <c:pt idx="30">
                  <c:v>1992</c:v>
                </c:pt>
                <c:pt idx="31">
                  <c:v>1993</c:v>
                </c:pt>
                <c:pt idx="32">
                  <c:v>1994</c:v>
                </c:pt>
                <c:pt idx="33">
                  <c:v>1995</c:v>
                </c:pt>
                <c:pt idx="34">
                  <c:v>1996</c:v>
                </c:pt>
                <c:pt idx="35">
                  <c:v>1997</c:v>
                </c:pt>
                <c:pt idx="36">
                  <c:v>1998</c:v>
                </c:pt>
                <c:pt idx="37">
                  <c:v>1999</c:v>
                </c:pt>
                <c:pt idx="38">
                  <c:v>2000</c:v>
                </c:pt>
                <c:pt idx="39">
                  <c:v>2001</c:v>
                </c:pt>
                <c:pt idx="40">
                  <c:v>2002</c:v>
                </c:pt>
                <c:pt idx="41">
                  <c:v>2003</c:v>
                </c:pt>
                <c:pt idx="42">
                  <c:v>2004</c:v>
                </c:pt>
                <c:pt idx="43">
                  <c:v>2005</c:v>
                </c:pt>
                <c:pt idx="44">
                  <c:v>2006</c:v>
                </c:pt>
                <c:pt idx="45">
                  <c:v>2007</c:v>
                </c:pt>
                <c:pt idx="46">
                  <c:v>2008</c:v>
                </c:pt>
                <c:pt idx="47">
                  <c:v>2009</c:v>
                </c:pt>
                <c:pt idx="48">
                  <c:v>2010</c:v>
                </c:pt>
                <c:pt idx="49">
                  <c:v>2011</c:v>
                </c:pt>
                <c:pt idx="50">
                  <c:v>2012</c:v>
                </c:pt>
                <c:pt idx="51">
                  <c:v>2013</c:v>
                </c:pt>
              </c:numCache>
            </c:numRef>
          </c:cat>
          <c:val>
            <c:numRef>
              <c:f>'Lawn comparison'!$B$14:$BA$14</c:f>
              <c:numCache>
                <c:formatCode>General</c:formatCode>
                <c:ptCount val="52"/>
                <c:pt idx="0">
                  <c:v>202.94</c:v>
                </c:pt>
                <c:pt idx="1">
                  <c:v>200.3</c:v>
                </c:pt>
                <c:pt idx="2">
                  <c:v>202.16</c:v>
                </c:pt>
                <c:pt idx="3">
                  <c:v>205.05</c:v>
                </c:pt>
                <c:pt idx="4">
                  <c:v>209.02</c:v>
                </c:pt>
                <c:pt idx="5">
                  <c:v>215.81</c:v>
                </c:pt>
                <c:pt idx="6">
                  <c:v>222.26</c:v>
                </c:pt>
                <c:pt idx="7">
                  <c:v>230.7</c:v>
                </c:pt>
                <c:pt idx="8">
                  <c:v>239.9</c:v>
                </c:pt>
                <c:pt idx="9">
                  <c:v>244.91</c:v>
                </c:pt>
                <c:pt idx="10">
                  <c:v>246.45</c:v>
                </c:pt>
                <c:pt idx="11">
                  <c:v>250.75</c:v>
                </c:pt>
                <c:pt idx="12">
                  <c:v>257.87</c:v>
                </c:pt>
                <c:pt idx="13">
                  <c:v>265.58999999999997</c:v>
                </c:pt>
                <c:pt idx="14">
                  <c:v>272.7</c:v>
                </c:pt>
                <c:pt idx="15">
                  <c:v>268</c:v>
                </c:pt>
                <c:pt idx="16">
                  <c:v>276.07</c:v>
                </c:pt>
                <c:pt idx="17">
                  <c:v>277.33999999999997</c:v>
                </c:pt>
                <c:pt idx="18">
                  <c:v>255.06</c:v>
                </c:pt>
                <c:pt idx="19">
                  <c:v>263.87</c:v>
                </c:pt>
                <c:pt idx="20">
                  <c:v>261.08</c:v>
                </c:pt>
                <c:pt idx="21">
                  <c:v>266.02999999999997</c:v>
                </c:pt>
                <c:pt idx="22">
                  <c:v>264.83999999999997</c:v>
                </c:pt>
                <c:pt idx="23">
                  <c:v>263.13</c:v>
                </c:pt>
                <c:pt idx="24">
                  <c:v>268.60000000000002</c:v>
                </c:pt>
                <c:pt idx="25">
                  <c:v>267.02</c:v>
                </c:pt>
                <c:pt idx="26">
                  <c:v>273.05</c:v>
                </c:pt>
                <c:pt idx="27">
                  <c:v>269.75</c:v>
                </c:pt>
                <c:pt idx="28">
                  <c:v>271.82</c:v>
                </c:pt>
                <c:pt idx="29">
                  <c:v>271.5</c:v>
                </c:pt>
                <c:pt idx="30">
                  <c:v>272.20999999999998</c:v>
                </c:pt>
                <c:pt idx="31">
                  <c:v>273.41000000000003</c:v>
                </c:pt>
                <c:pt idx="32">
                  <c:v>275.79000000000002</c:v>
                </c:pt>
                <c:pt idx="33">
                  <c:v>272.3</c:v>
                </c:pt>
                <c:pt idx="34">
                  <c:v>282.67</c:v>
                </c:pt>
                <c:pt idx="35">
                  <c:v>294.76</c:v>
                </c:pt>
                <c:pt idx="36">
                  <c:v>291.7</c:v>
                </c:pt>
                <c:pt idx="37">
                  <c:v>304.56</c:v>
                </c:pt>
                <c:pt idx="38">
                  <c:v>307.02</c:v>
                </c:pt>
                <c:pt idx="39">
                  <c:v>330.09</c:v>
                </c:pt>
                <c:pt idx="40">
                  <c:v>341.25</c:v>
                </c:pt>
                <c:pt idx="41">
                  <c:v>356.72</c:v>
                </c:pt>
                <c:pt idx="42">
                  <c:v>371.01</c:v>
                </c:pt>
                <c:pt idx="43">
                  <c:v>385.94</c:v>
                </c:pt>
                <c:pt idx="44">
                  <c:v>402.54</c:v>
                </c:pt>
                <c:pt idx="45">
                  <c:v>416.93</c:v>
                </c:pt>
                <c:pt idx="46">
                  <c:v>436.82</c:v>
                </c:pt>
                <c:pt idx="47">
                  <c:v>433.54</c:v>
                </c:pt>
                <c:pt idx="48">
                  <c:v>481.06</c:v>
                </c:pt>
                <c:pt idx="49">
                  <c:v>510.28</c:v>
                </c:pt>
                <c:pt idx="50">
                  <c:v>526.76</c:v>
                </c:pt>
                <c:pt idx="51">
                  <c:v>553.55999999999995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E0-6E4A-A369-8FDBB280F8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39848392"/>
        <c:axId val="-2139853896"/>
      </c:lineChart>
      <c:catAx>
        <c:axId val="-21398483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/>
                </a:pPr>
                <a:r>
                  <a:rPr lang="en-US"/>
                  <a:t>Year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txPr>
          <a:bodyPr/>
          <a:lstStyle/>
          <a:p>
            <a:pPr lvl="0">
              <a:defRPr b="0"/>
            </a:pPr>
            <a:endParaRPr lang="en-US"/>
          </a:p>
        </c:txPr>
        <c:crossAx val="-2139853896"/>
        <c:crosses val="autoZero"/>
        <c:auto val="1"/>
        <c:lblAlgn val="ctr"/>
        <c:lblOffset val="100"/>
        <c:noMultiLvlLbl val="1"/>
      </c:catAx>
      <c:valAx>
        <c:axId val="-21398538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/>
                </a:pPr>
                <a:r>
                  <a:rPr lang="en-US"/>
                  <a:t>$ billions (2012 dollars)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/>
            </a:pPr>
            <a:endParaRPr lang="en-US"/>
          </a:p>
        </c:txPr>
        <c:crossAx val="-2139848392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1"/>
  </c:char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8"/>
  <c:chart>
    <c:title>
      <c:tx>
        <c:rich>
          <a:bodyPr/>
          <a:lstStyle/>
          <a:p>
            <a:pPr lvl="0">
              <a:defRPr sz="1600" b="1">
                <a:solidFill>
                  <a:srgbClr val="000000"/>
                </a:solidFill>
              </a:defRPr>
            </a:pPr>
            <a:r>
              <a:rPr lang="en-US"/>
              <a:t>Economic Costs/capita (Indicators 4 to 7)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'Economic Indicators per capita'!$B$67</c:f>
              <c:strCache>
                <c:ptCount val="1"/>
                <c:pt idx="0">
                  <c:v>Services of Consumer Durables</c:v>
                </c:pt>
              </c:strCache>
            </c:strRef>
          </c:tx>
          <c:spPr>
            <a:ln w="19050" cmpd="sng">
              <a:solidFill>
                <a:srgbClr val="3366CC"/>
              </a:solidFill>
            </a:ln>
          </c:spPr>
          <c:marker>
            <c:symbol val="none"/>
          </c:marker>
          <c:val>
            <c:numRef>
              <c:f>'Economic Indicators per capita'!$C$67:$BB$67</c:f>
              <c:numCache>
                <c:formatCode>General</c:formatCode>
                <c:ptCount val="52"/>
                <c:pt idx="0">
                  <c:v>453.65853658536582</c:v>
                </c:pt>
                <c:pt idx="1">
                  <c:v>477.36986301369859</c:v>
                </c:pt>
                <c:pt idx="2">
                  <c:v>504.64762245903103</c:v>
                </c:pt>
                <c:pt idx="3">
                  <c:v>533.43870741131013</c:v>
                </c:pt>
                <c:pt idx="4">
                  <c:v>577.53254590913014</c:v>
                </c:pt>
                <c:pt idx="5">
                  <c:v>641.42723959657599</c:v>
                </c:pt>
                <c:pt idx="6">
                  <c:v>719.87675909734367</c:v>
                </c:pt>
                <c:pt idx="7">
                  <c:v>809.81815216504936</c:v>
                </c:pt>
                <c:pt idx="8">
                  <c:v>902.35867913968184</c:v>
                </c:pt>
                <c:pt idx="9">
                  <c:v>977.11793066503424</c:v>
                </c:pt>
                <c:pt idx="10">
                  <c:v>1077.0895971136499</c:v>
                </c:pt>
                <c:pt idx="11">
                  <c:v>1195.660866345798</c:v>
                </c:pt>
                <c:pt idx="12">
                  <c:v>1321.9558405596445</c:v>
                </c:pt>
                <c:pt idx="13">
                  <c:v>1452.5300511048729</c:v>
                </c:pt>
                <c:pt idx="14">
                  <c:v>1588.6125561177225</c:v>
                </c:pt>
                <c:pt idx="15">
                  <c:v>1730.9047350620069</c:v>
                </c:pt>
                <c:pt idx="16">
                  <c:v>1907.5562365067203</c:v>
                </c:pt>
                <c:pt idx="17">
                  <c:v>2084.9269771286858</c:v>
                </c:pt>
                <c:pt idx="18">
                  <c:v>2266.240217761143</c:v>
                </c:pt>
                <c:pt idx="19">
                  <c:v>2462.051866246733</c:v>
                </c:pt>
                <c:pt idx="20">
                  <c:v>2663.7381454162273</c:v>
                </c:pt>
                <c:pt idx="21">
                  <c:v>2877.6716689404275</c:v>
                </c:pt>
                <c:pt idx="22">
                  <c:v>3057.7058861287633</c:v>
                </c:pt>
                <c:pt idx="23">
                  <c:v>3229.0220420572587</c:v>
                </c:pt>
                <c:pt idx="24">
                  <c:v>3354.6635035584964</c:v>
                </c:pt>
                <c:pt idx="25">
                  <c:v>3479.3285784554846</c:v>
                </c:pt>
                <c:pt idx="26">
                  <c:v>3609.0733123639002</c:v>
                </c:pt>
                <c:pt idx="27">
                  <c:v>3699.1911502319495</c:v>
                </c:pt>
                <c:pt idx="28">
                  <c:v>3776.9000878992088</c:v>
                </c:pt>
                <c:pt idx="29">
                  <c:v>3859.6968294376302</c:v>
                </c:pt>
                <c:pt idx="30">
                  <c:v>3975.8567423765662</c:v>
                </c:pt>
                <c:pt idx="31">
                  <c:v>4109.2826764956053</c:v>
                </c:pt>
                <c:pt idx="32">
                  <c:v>4252.0415613591695</c:v>
                </c:pt>
                <c:pt idx="33">
                  <c:v>4421.2940849763954</c:v>
                </c:pt>
                <c:pt idx="34">
                  <c:v>4588.2798353909466</c:v>
                </c:pt>
                <c:pt idx="35">
                  <c:v>4774.2604353254083</c:v>
                </c:pt>
                <c:pt idx="36">
                  <c:v>4956.7820292347378</c:v>
                </c:pt>
                <c:pt idx="37">
                  <c:v>5128.8751860514558</c:v>
                </c:pt>
                <c:pt idx="38">
                  <c:v>5345.514740658994</c:v>
                </c:pt>
                <c:pt idx="39">
                  <c:v>5499.5382619974062</c:v>
                </c:pt>
                <c:pt idx="40">
                  <c:v>5635.4860220569371</c:v>
                </c:pt>
                <c:pt idx="41">
                  <c:v>5739.6480908676021</c:v>
                </c:pt>
                <c:pt idx="42">
                  <c:v>5814.1172929313198</c:v>
                </c:pt>
                <c:pt idx="43">
                  <c:v>5884.5715418545869</c:v>
                </c:pt>
                <c:pt idx="44">
                  <c:v>5946.7605496063761</c:v>
                </c:pt>
                <c:pt idx="45">
                  <c:v>5839.1204148261959</c:v>
                </c:pt>
                <c:pt idx="46">
                  <c:v>5723.4316909031013</c:v>
                </c:pt>
                <c:pt idx="47">
                  <c:v>5606.5461921445685</c:v>
                </c:pt>
                <c:pt idx="48">
                  <c:v>5520.0254175744376</c:v>
                </c:pt>
                <c:pt idx="49">
                  <c:v>5443.9212175470002</c:v>
                </c:pt>
                <c:pt idx="50">
                  <c:v>5352.3985564651002</c:v>
                </c:pt>
                <c:pt idx="51">
                  <c:v>5257.0761649520182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D44D-BD99-A26D8CF2ABBF}"/>
            </c:ext>
          </c:extLst>
        </c:ser>
        <c:ser>
          <c:idx val="1"/>
          <c:order val="1"/>
          <c:tx>
            <c:strRef>
              <c:f>'Economic Indicators per capita'!$B$68</c:f>
              <c:strCache>
                <c:ptCount val="1"/>
                <c:pt idx="0">
                  <c:v>Cost of Consumer Durables</c:v>
                </c:pt>
              </c:strCache>
            </c:strRef>
          </c:tx>
          <c:spPr>
            <a:ln w="19050" cmpd="sng">
              <a:solidFill>
                <a:srgbClr val="DC3912"/>
              </a:solidFill>
            </a:ln>
          </c:spPr>
          <c:marker>
            <c:symbol val="none"/>
          </c:marker>
          <c:val>
            <c:numRef>
              <c:f>'Economic Indicators per capita'!$C$68:$BB$68</c:f>
              <c:numCache>
                <c:formatCode>General</c:formatCode>
                <c:ptCount val="52"/>
                <c:pt idx="0">
                  <c:v>2865.5791547197919</c:v>
                </c:pt>
                <c:pt idx="1">
                  <c:v>3007.9186173515982</c:v>
                </c:pt>
                <c:pt idx="2">
                  <c:v>3091.6441515178653</c:v>
                </c:pt>
                <c:pt idx="3">
                  <c:v>3037.252835440815</c:v>
                </c:pt>
                <c:pt idx="4">
                  <c:v>2966.9620743167516</c:v>
                </c:pt>
                <c:pt idx="5">
                  <c:v>3053.931123824053</c:v>
                </c:pt>
                <c:pt idx="6">
                  <c:v>3157.9576184528273</c:v>
                </c:pt>
                <c:pt idx="7">
                  <c:v>3318.4976628883633</c:v>
                </c:pt>
                <c:pt idx="8">
                  <c:v>3334.9324378348128</c:v>
                </c:pt>
                <c:pt idx="9">
                  <c:v>3320.7716660289279</c:v>
                </c:pt>
                <c:pt idx="10">
                  <c:v>3374.3879389657241</c:v>
                </c:pt>
                <c:pt idx="11">
                  <c:v>3561.2912328767125</c:v>
                </c:pt>
                <c:pt idx="12">
                  <c:v>3639.0567303067842</c:v>
                </c:pt>
                <c:pt idx="13">
                  <c:v>3696.191641834017</c:v>
                </c:pt>
                <c:pt idx="14">
                  <c:v>3681.055369486211</c:v>
                </c:pt>
                <c:pt idx="15">
                  <c:v>3570.4219680101469</c:v>
                </c:pt>
                <c:pt idx="16">
                  <c:v>3569.0359781321818</c:v>
                </c:pt>
                <c:pt idx="17">
                  <c:v>3444.7517263709005</c:v>
                </c:pt>
                <c:pt idx="18">
                  <c:v>3531.8635787682888</c:v>
                </c:pt>
                <c:pt idx="19">
                  <c:v>3556.6681592173154</c:v>
                </c:pt>
                <c:pt idx="20">
                  <c:v>3437.0060590094836</c:v>
                </c:pt>
                <c:pt idx="21">
                  <c:v>3415.8917637887348</c:v>
                </c:pt>
                <c:pt idx="22">
                  <c:v>3651.9062924449581</c:v>
                </c:pt>
                <c:pt idx="23">
                  <c:v>3873.7031093235369</c:v>
                </c:pt>
                <c:pt idx="24">
                  <c:v>3649.1885815957048</c:v>
                </c:pt>
                <c:pt idx="25">
                  <c:v>3570.1626936792918</c:v>
                </c:pt>
                <c:pt idx="26">
                  <c:v>3699.146919912896</c:v>
                </c:pt>
                <c:pt idx="27">
                  <c:v>3722.9586112763172</c:v>
                </c:pt>
                <c:pt idx="28">
                  <c:v>3653.4288139466748</c:v>
                </c:pt>
                <c:pt idx="29">
                  <c:v>3466.782367507521</c:v>
                </c:pt>
                <c:pt idx="30">
                  <c:v>3617.0811676869389</c:v>
                </c:pt>
                <c:pt idx="31">
                  <c:v>3571.4219529345055</c:v>
                </c:pt>
                <c:pt idx="32">
                  <c:v>3596.7317562482449</c:v>
                </c:pt>
                <c:pt idx="33">
                  <c:v>3620.7114184948628</c:v>
                </c:pt>
                <c:pt idx="34">
                  <c:v>3601.416784636488</c:v>
                </c:pt>
                <c:pt idx="35">
                  <c:v>3723.7851278293442</c:v>
                </c:pt>
                <c:pt idx="36">
                  <c:v>3810.5696286543425</c:v>
                </c:pt>
                <c:pt idx="37">
                  <c:v>3831.5753130980224</c:v>
                </c:pt>
                <c:pt idx="38">
                  <c:v>3800.3050853959739</c:v>
                </c:pt>
                <c:pt idx="39">
                  <c:v>3766.9910931258109</c:v>
                </c:pt>
                <c:pt idx="40">
                  <c:v>3946.6900051295202</c:v>
                </c:pt>
                <c:pt idx="41">
                  <c:v>4025.0806931697171</c:v>
                </c:pt>
                <c:pt idx="42">
                  <c:v>4041.1451984146888</c:v>
                </c:pt>
                <c:pt idx="43">
                  <c:v>3975.8518967140803</c:v>
                </c:pt>
                <c:pt idx="44">
                  <c:v>3913.9347665150849</c:v>
                </c:pt>
                <c:pt idx="45">
                  <c:v>4094.4623237948922</c:v>
                </c:pt>
                <c:pt idx="46">
                  <c:v>3783.3203863711233</c:v>
                </c:pt>
                <c:pt idx="47">
                  <c:v>3619.9456029872763</c:v>
                </c:pt>
                <c:pt idx="48">
                  <c:v>3576.0443763616558</c:v>
                </c:pt>
                <c:pt idx="49">
                  <c:v>3436.2368424350939</c:v>
                </c:pt>
                <c:pt idx="50">
                  <c:v>3445.352263005017</c:v>
                </c:pt>
                <c:pt idx="51">
                  <c:v>3367.6185938445578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8E2-D44D-BD99-A26D8CF2ABBF}"/>
            </c:ext>
          </c:extLst>
        </c:ser>
        <c:ser>
          <c:idx val="2"/>
          <c:order val="2"/>
          <c:tx>
            <c:strRef>
              <c:f>'Economic Indicators per capita'!$B$69</c:f>
              <c:strCache>
                <c:ptCount val="1"/>
                <c:pt idx="0">
                  <c:v>Cost of Underemployment</c:v>
                </c:pt>
              </c:strCache>
            </c:strRef>
          </c:tx>
          <c:spPr>
            <a:ln w="19050" cmpd="sng">
              <a:solidFill>
                <a:srgbClr val="FF9900"/>
              </a:solidFill>
            </a:ln>
          </c:spPr>
          <c:marker>
            <c:symbol val="none"/>
          </c:marker>
          <c:val>
            <c:numRef>
              <c:f>'Economic Indicators per capita'!$C$69:$BB$69</c:f>
              <c:numCache>
                <c:formatCode>General</c:formatCode>
                <c:ptCount val="52"/>
                <c:pt idx="0">
                  <c:v>92.383341463414638</c:v>
                </c:pt>
                <c:pt idx="1">
                  <c:v>92.464997716894985</c:v>
                </c:pt>
                <c:pt idx="2">
                  <c:v>92.487180800573114</c:v>
                </c:pt>
                <c:pt idx="3">
                  <c:v>93.693951176677203</c:v>
                </c:pt>
                <c:pt idx="4">
                  <c:v>95.198147167859304</c:v>
                </c:pt>
                <c:pt idx="5">
                  <c:v>97.454650987371821</c:v>
                </c:pt>
                <c:pt idx="6">
                  <c:v>102.05847889083189</c:v>
                </c:pt>
                <c:pt idx="7">
                  <c:v>107.91027505504363</c:v>
                </c:pt>
                <c:pt idx="8">
                  <c:v>114.1061578316143</c:v>
                </c:pt>
                <c:pt idx="9">
                  <c:v>118.99529333435372</c:v>
                </c:pt>
                <c:pt idx="10">
                  <c:v>121.95741325917018</c:v>
                </c:pt>
                <c:pt idx="11">
                  <c:v>122.64376786375416</c:v>
                </c:pt>
                <c:pt idx="12">
                  <c:v>127.72895183268965</c:v>
                </c:pt>
                <c:pt idx="13">
                  <c:v>125.12346311091918</c:v>
                </c:pt>
                <c:pt idx="14">
                  <c:v>128.9753833820281</c:v>
                </c:pt>
                <c:pt idx="15">
                  <c:v>131.3846603720406</c:v>
                </c:pt>
                <c:pt idx="16">
                  <c:v>195.96014959259</c:v>
                </c:pt>
                <c:pt idx="17">
                  <c:v>193.32801866905481</c:v>
                </c:pt>
                <c:pt idx="18">
                  <c:v>217.34407015991835</c:v>
                </c:pt>
                <c:pt idx="19">
                  <c:v>215.13874556054412</c:v>
                </c:pt>
                <c:pt idx="20">
                  <c:v>230.40087822708117</c:v>
                </c:pt>
                <c:pt idx="21">
                  <c:v>290.59071545507697</c:v>
                </c:pt>
                <c:pt idx="22">
                  <c:v>281.99401765196745</c:v>
                </c:pt>
                <c:pt idx="23">
                  <c:v>257.29822789460349</c:v>
                </c:pt>
                <c:pt idx="24">
                  <c:v>275.34541540766634</c:v>
                </c:pt>
                <c:pt idx="25">
                  <c:v>309.88880847270042</c:v>
                </c:pt>
                <c:pt idx="26">
                  <c:v>278.4334770142753</c:v>
                </c:pt>
                <c:pt idx="27">
                  <c:v>309.23749851314381</c:v>
                </c:pt>
                <c:pt idx="28">
                  <c:v>341.0588597714621</c:v>
                </c:pt>
                <c:pt idx="29">
                  <c:v>458.4766102175422</c:v>
                </c:pt>
                <c:pt idx="30">
                  <c:v>580.28277304193603</c:v>
                </c:pt>
                <c:pt idx="31">
                  <c:v>597.84405387014465</c:v>
                </c:pt>
                <c:pt idx="32">
                  <c:v>584.51307947205839</c:v>
                </c:pt>
                <c:pt idx="33">
                  <c:v>575.63771730074973</c:v>
                </c:pt>
                <c:pt idx="34">
                  <c:v>671.52237860082312</c:v>
                </c:pt>
                <c:pt idx="35">
                  <c:v>719.86226510340339</c:v>
                </c:pt>
                <c:pt idx="36">
                  <c:v>725.57166971195181</c:v>
                </c:pt>
                <c:pt idx="37">
                  <c:v>708.28130289177113</c:v>
                </c:pt>
                <c:pt idx="38">
                  <c:v>686.4379594303432</c:v>
                </c:pt>
                <c:pt idx="39">
                  <c:v>725.02345006485086</c:v>
                </c:pt>
                <c:pt idx="40">
                  <c:v>749.05149320338546</c:v>
                </c:pt>
                <c:pt idx="41">
                  <c:v>847.8123365955073</c:v>
                </c:pt>
                <c:pt idx="42">
                  <c:v>818.20456830381784</c:v>
                </c:pt>
                <c:pt idx="43">
                  <c:v>823.91338206869204</c:v>
                </c:pt>
                <c:pt idx="44">
                  <c:v>826.06019950124698</c:v>
                </c:pt>
                <c:pt idx="45">
                  <c:v>832.07056366429811</c:v>
                </c:pt>
                <c:pt idx="46">
                  <c:v>794.76864887759427</c:v>
                </c:pt>
                <c:pt idx="47">
                  <c:v>1039.7725673059192</c:v>
                </c:pt>
                <c:pt idx="48">
                  <c:v>983.01849582425575</c:v>
                </c:pt>
                <c:pt idx="49">
                  <c:v>1029.5434198746643</c:v>
                </c:pt>
                <c:pt idx="50">
                  <c:v>1124.0764334125518</c:v>
                </c:pt>
                <c:pt idx="51">
                  <c:v>1182.1092072274573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D44D-BD99-A26D8CF2ABBF}"/>
            </c:ext>
          </c:extLst>
        </c:ser>
        <c:ser>
          <c:idx val="3"/>
          <c:order val="3"/>
          <c:tx>
            <c:strRef>
              <c:f>'Economic Indicators per capita'!$B$70</c:f>
              <c:strCache>
                <c:ptCount val="1"/>
                <c:pt idx="0">
                  <c:v>Net Capital Investment</c:v>
                </c:pt>
              </c:strCache>
            </c:strRef>
          </c:tx>
          <c:spPr>
            <a:ln w="19050" cmpd="sng">
              <a:solidFill>
                <a:srgbClr val="109618"/>
              </a:solidFill>
            </a:ln>
          </c:spPr>
          <c:marker>
            <c:symbol val="none"/>
          </c:marker>
          <c:val>
            <c:numRef>
              <c:f>'Economic Indicators per capita'!$C$70:$BB$70</c:f>
              <c:numCache>
                <c:formatCode>General</c:formatCode>
                <c:ptCount val="52"/>
                <c:pt idx="0">
                  <c:v>1232.5451498789796</c:v>
                </c:pt>
                <c:pt idx="1">
                  <c:v>1232.8767123287671</c:v>
                </c:pt>
                <c:pt idx="2">
                  <c:v>1232.2020238201844</c:v>
                </c:pt>
                <c:pt idx="3">
                  <c:v>1232.8767123287671</c:v>
                </c:pt>
                <c:pt idx="4">
                  <c:v>1232.8649021467368</c:v>
                </c:pt>
                <c:pt idx="5">
                  <c:v>1232.3078226968387</c:v>
                </c:pt>
                <c:pt idx="6">
                  <c:v>1232.4090265634109</c:v>
                </c:pt>
                <c:pt idx="7">
                  <c:v>1232.9772486341026</c:v>
                </c:pt>
                <c:pt idx="8">
                  <c:v>1232.9095706404412</c:v>
                </c:pt>
                <c:pt idx="9">
                  <c:v>1232.8767123287671</c:v>
                </c:pt>
                <c:pt idx="10">
                  <c:v>1232.7119663259168</c:v>
                </c:pt>
                <c:pt idx="11">
                  <c:v>1232.8767123287671</c:v>
                </c:pt>
                <c:pt idx="12">
                  <c:v>1232.9665525030971</c:v>
                </c:pt>
                <c:pt idx="13">
                  <c:v>1232.9950334700927</c:v>
                </c:pt>
                <c:pt idx="14">
                  <c:v>1232.8083802465617</c:v>
                </c:pt>
                <c:pt idx="15">
                  <c:v>1232.3844419391205</c:v>
                </c:pt>
                <c:pt idx="16">
                  <c:v>1232.6763702207675</c:v>
                </c:pt>
                <c:pt idx="17">
                  <c:v>1232.4331771837972</c:v>
                </c:pt>
                <c:pt idx="18">
                  <c:v>1232.3919700578429</c:v>
                </c:pt>
                <c:pt idx="19">
                  <c:v>1232.996046371373</c:v>
                </c:pt>
                <c:pt idx="20">
                  <c:v>1232.8767123287671</c:v>
                </c:pt>
                <c:pt idx="21">
                  <c:v>1232.3783537971806</c:v>
                </c:pt>
                <c:pt idx="22">
                  <c:v>1232.4282688234161</c:v>
                </c:pt>
                <c:pt idx="23">
                  <c:v>1232.5817076260453</c:v>
                </c:pt>
                <c:pt idx="24">
                  <c:v>1232.3635909601696</c:v>
                </c:pt>
                <c:pt idx="25">
                  <c:v>1232.7840629611412</c:v>
                </c:pt>
                <c:pt idx="26">
                  <c:v>1649.5281877570771</c:v>
                </c:pt>
                <c:pt idx="27">
                  <c:v>1672.4158439395742</c:v>
                </c:pt>
                <c:pt idx="28">
                  <c:v>1524.7582771755053</c:v>
                </c:pt>
                <c:pt idx="29">
                  <c:v>1243.3464475815783</c:v>
                </c:pt>
                <c:pt idx="30">
                  <c:v>1398.8214428743063</c:v>
                </c:pt>
                <c:pt idx="31">
                  <c:v>1483.9807201587753</c:v>
                </c:pt>
                <c:pt idx="32">
                  <c:v>1556.3044088739118</c:v>
                </c:pt>
                <c:pt idx="33">
                  <c:v>1635.6567620105527</c:v>
                </c:pt>
                <c:pt idx="34">
                  <c:v>1817.8326474622772</c:v>
                </c:pt>
                <c:pt idx="35">
                  <c:v>1768.9844216468548</c:v>
                </c:pt>
                <c:pt idx="36">
                  <c:v>1881.4488392089422</c:v>
                </c:pt>
                <c:pt idx="37">
                  <c:v>1952.4771422496276</c:v>
                </c:pt>
                <c:pt idx="38">
                  <c:v>2076.830101424142</c:v>
                </c:pt>
                <c:pt idx="39">
                  <c:v>2394.8119325551233</c:v>
                </c:pt>
                <c:pt idx="40">
                  <c:v>2360.0923313670169</c:v>
                </c:pt>
                <c:pt idx="41">
                  <c:v>2638.8114192992243</c:v>
                </c:pt>
                <c:pt idx="42">
                  <c:v>2624.7930567400795</c:v>
                </c:pt>
                <c:pt idx="43">
                  <c:v>3043.5644545769937</c:v>
                </c:pt>
                <c:pt idx="44">
                  <c:v>3138.7218228937459</c:v>
                </c:pt>
                <c:pt idx="45">
                  <c:v>3359.9001344344151</c:v>
                </c:pt>
                <c:pt idx="46">
                  <c:v>4074.5446844557387</c:v>
                </c:pt>
                <c:pt idx="47">
                  <c:v>3510.5107873870552</c:v>
                </c:pt>
                <c:pt idx="48">
                  <c:v>4154.411764705882</c:v>
                </c:pt>
                <c:pt idx="49">
                  <c:v>4576.5443151298123</c:v>
                </c:pt>
                <c:pt idx="50">
                  <c:v>4396.6200158436759</c:v>
                </c:pt>
                <c:pt idx="51">
                  <c:v>4546.987118526843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8E2-D44D-BD99-A26D8CF2AB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39906952"/>
        <c:axId val="-2139912520"/>
      </c:lineChart>
      <c:catAx>
        <c:axId val="-2139906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/>
                </a:pPr>
                <a:r>
                  <a:rPr lang="en-US"/>
                  <a:t>Year</a:t>
                </a:r>
              </a:p>
            </c:rich>
          </c:tx>
          <c:overlay val="0"/>
        </c:title>
        <c:majorTickMark val="cross"/>
        <c:minorTickMark val="cross"/>
        <c:tickLblPos val="nextTo"/>
        <c:txPr>
          <a:bodyPr/>
          <a:lstStyle/>
          <a:p>
            <a:pPr lvl="0">
              <a:defRPr b="0"/>
            </a:pPr>
            <a:endParaRPr lang="en-US"/>
          </a:p>
        </c:txPr>
        <c:crossAx val="-2139912520"/>
        <c:crosses val="autoZero"/>
        <c:auto val="1"/>
        <c:lblAlgn val="ctr"/>
        <c:lblOffset val="100"/>
        <c:noMultiLvlLbl val="1"/>
      </c:catAx>
      <c:valAx>
        <c:axId val="-21399125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numFmt formatCode="General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/>
            </a:pPr>
            <a:endParaRPr lang="en-US"/>
          </a:p>
        </c:txPr>
        <c:crossAx val="-2139906952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1"/>
  </c:chart>
  <c:printSettings>
    <c:headerFooter/>
    <c:pageMargins b="1" l="0.75" r="0.75" t="1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8"/>
  <c:chart>
    <c:title>
      <c:tx>
        <c:rich>
          <a:bodyPr/>
          <a:lstStyle/>
          <a:p>
            <a:pPr lvl="0">
              <a:defRPr sz="1600" b="1">
                <a:solidFill>
                  <a:srgbClr val="000000"/>
                </a:solidFill>
              </a:defRPr>
            </a:pPr>
            <a:r>
              <a:rPr lang="en-US"/>
              <a:t>Personal Consumption/capita (Indicators 1 and 3)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'Economic Indicators per capita'!$B$64</c:f>
              <c:strCache>
                <c:ptCount val="1"/>
                <c:pt idx="0">
                  <c:v>Personal Consumption Expenditures</c:v>
                </c:pt>
              </c:strCache>
            </c:strRef>
          </c:tx>
          <c:spPr>
            <a:ln w="19050" cmpd="sng">
              <a:solidFill>
                <a:srgbClr val="3366CC"/>
              </a:solidFill>
            </a:ln>
          </c:spPr>
          <c:marker>
            <c:symbol val="none"/>
          </c:marker>
          <c:val>
            <c:numRef>
              <c:f>'Economic Indicators per capita'!$C$64:$BB$64</c:f>
              <c:numCache>
                <c:formatCode>General</c:formatCode>
                <c:ptCount val="52"/>
                <c:pt idx="0">
                  <c:v>13009.681623533792</c:v>
                </c:pt>
                <c:pt idx="1">
                  <c:v>13636.529680365296</c:v>
                </c:pt>
                <c:pt idx="2">
                  <c:v>14113.907047550822</c:v>
                </c:pt>
                <c:pt idx="3">
                  <c:v>14377.414822620301</c:v>
                </c:pt>
                <c:pt idx="4">
                  <c:v>14602.120872489008</c:v>
                </c:pt>
                <c:pt idx="5">
                  <c:v>15091.109416052208</c:v>
                </c:pt>
                <c:pt idx="6">
                  <c:v>15720.709467899076</c:v>
                </c:pt>
                <c:pt idx="7">
                  <c:v>16406.262741580365</c:v>
                </c:pt>
                <c:pt idx="8">
                  <c:v>17151.195330614857</c:v>
                </c:pt>
                <c:pt idx="9">
                  <c:v>17124.052957832708</c:v>
                </c:pt>
                <c:pt idx="10">
                  <c:v>17446.632591701742</c:v>
                </c:pt>
                <c:pt idx="11">
                  <c:v>18227.323213624582</c:v>
                </c:pt>
                <c:pt idx="12">
                  <c:v>18944.837134737303</c:v>
                </c:pt>
                <c:pt idx="13">
                  <c:v>19486.072122651698</c:v>
                </c:pt>
                <c:pt idx="14">
                  <c:v>20028.504240005703</c:v>
                </c:pt>
                <c:pt idx="15">
                  <c:v>20073.985343855693</c:v>
                </c:pt>
                <c:pt idx="16">
                  <c:v>20350.302945887594</c:v>
                </c:pt>
                <c:pt idx="17">
                  <c:v>20460.870763295672</c:v>
                </c:pt>
                <c:pt idx="18">
                  <c:v>20798.91119428377</c:v>
                </c:pt>
                <c:pt idx="19">
                  <c:v>21397.172150371909</c:v>
                </c:pt>
                <c:pt idx="20">
                  <c:v>21751.844046364593</c:v>
                </c:pt>
                <c:pt idx="21">
                  <c:v>21568.894952251023</c:v>
                </c:pt>
                <c:pt idx="22">
                  <c:v>21944.925861736952</c:v>
                </c:pt>
                <c:pt idx="23">
                  <c:v>22577.907271345324</c:v>
                </c:pt>
                <c:pt idx="24">
                  <c:v>22700.711699338244</c:v>
                </c:pt>
                <c:pt idx="25">
                  <c:v>22779.144121987214</c:v>
                </c:pt>
                <c:pt idx="26">
                  <c:v>23216.186789257197</c:v>
                </c:pt>
                <c:pt idx="27">
                  <c:v>23818.841441655764</c:v>
                </c:pt>
                <c:pt idx="28">
                  <c:v>23866.979197187226</c:v>
                </c:pt>
                <c:pt idx="29">
                  <c:v>23959.15297384865</c:v>
                </c:pt>
                <c:pt idx="30">
                  <c:v>24561.473768522224</c:v>
                </c:pt>
                <c:pt idx="31">
                  <c:v>24835.83782251205</c:v>
                </c:pt>
                <c:pt idx="32">
                  <c:v>25390.058972198822</c:v>
                </c:pt>
                <c:pt idx="33">
                  <c:v>25703.971119133574</c:v>
                </c:pt>
                <c:pt idx="34">
                  <c:v>25976.406035665295</c:v>
                </c:pt>
                <c:pt idx="35">
                  <c:v>27100.90647560115</c:v>
                </c:pt>
                <c:pt idx="36">
                  <c:v>28214.746345657779</c:v>
                </c:pt>
                <c:pt idx="37">
                  <c:v>29289.815011694664</c:v>
                </c:pt>
                <c:pt idx="38">
                  <c:v>29622.155657154864</c:v>
                </c:pt>
                <c:pt idx="39">
                  <c:v>29859.403372243836</c:v>
                </c:pt>
                <c:pt idx="40">
                  <c:v>30726.340087201846</c:v>
                </c:pt>
                <c:pt idx="41">
                  <c:v>31442.117539678515</c:v>
                </c:pt>
                <c:pt idx="42">
                  <c:v>32597.702302714089</c:v>
                </c:pt>
                <c:pt idx="43">
                  <c:v>33068.840759280371</c:v>
                </c:pt>
                <c:pt idx="44">
                  <c:v>33875.605104884846</c:v>
                </c:pt>
                <c:pt idx="45">
                  <c:v>35426.829268292677</c:v>
                </c:pt>
                <c:pt idx="46">
                  <c:v>35005.882629770815</c:v>
                </c:pt>
                <c:pt idx="47">
                  <c:v>34853.402175917392</c:v>
                </c:pt>
                <c:pt idx="48">
                  <c:v>35202.886710239654</c:v>
                </c:pt>
                <c:pt idx="49">
                  <c:v>35547.896150402863</c:v>
                </c:pt>
                <c:pt idx="50">
                  <c:v>36091.89331925007</c:v>
                </c:pt>
                <c:pt idx="51">
                  <c:v>36104.867294890639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84-FB4C-9B5E-43FBC88613F2}"/>
            </c:ext>
          </c:extLst>
        </c:ser>
        <c:ser>
          <c:idx val="1"/>
          <c:order val="1"/>
          <c:tx>
            <c:strRef>
              <c:f>'Economic Indicators per capita'!$B$66</c:f>
              <c:strCache>
                <c:ptCount val="1"/>
                <c:pt idx="0">
                  <c:v>Adjusted Personal Consumption Expenditures</c:v>
                </c:pt>
              </c:strCache>
            </c:strRef>
          </c:tx>
          <c:spPr>
            <a:ln w="19050" cmpd="sng">
              <a:solidFill>
                <a:srgbClr val="DC3912"/>
              </a:solidFill>
            </a:ln>
          </c:spPr>
          <c:marker>
            <c:symbol val="none"/>
          </c:marker>
          <c:val>
            <c:numRef>
              <c:f>'Economic Indicators per capita'!$C$66:$BB$66</c:f>
              <c:numCache>
                <c:formatCode>General</c:formatCode>
                <c:ptCount val="52"/>
                <c:pt idx="0">
                  <c:v>11944.703034816606</c:v>
                </c:pt>
                <c:pt idx="1">
                  <c:v>12494.977168949772</c:v>
                </c:pt>
                <c:pt idx="2">
                  <c:v>13099.310468344229</c:v>
                </c:pt>
                <c:pt idx="3">
                  <c:v>13600.280997541271</c:v>
                </c:pt>
                <c:pt idx="4">
                  <c:v>14038.279161996727</c:v>
                </c:pt>
                <c:pt idx="5">
                  <c:v>14650.394101195017</c:v>
                </c:pt>
                <c:pt idx="6">
                  <c:v>15301.856940627862</c:v>
                </c:pt>
                <c:pt idx="7">
                  <c:v>16199.135611188129</c:v>
                </c:pt>
                <c:pt idx="8">
                  <c:v>17151.195330614857</c:v>
                </c:pt>
                <c:pt idx="9">
                  <c:v>17004.668248258971</c:v>
                </c:pt>
                <c:pt idx="10">
                  <c:v>17278.262176788936</c:v>
                </c:pt>
                <c:pt idx="11">
                  <c:v>18547.945205479453</c:v>
                </c:pt>
                <c:pt idx="12">
                  <c:v>19985.425927275377</c:v>
                </c:pt>
                <c:pt idx="13">
                  <c:v>21036.493198013388</c:v>
                </c:pt>
                <c:pt idx="14">
                  <c:v>21907.646262381528</c:v>
                </c:pt>
                <c:pt idx="15">
                  <c:v>22127.254791431791</c:v>
                </c:pt>
                <c:pt idx="16">
                  <c:v>22516.888362699352</c:v>
                </c:pt>
                <c:pt idx="17">
                  <c:v>22630.201157343621</c:v>
                </c:pt>
                <c:pt idx="18">
                  <c:v>22830.894862198027</c:v>
                </c:pt>
                <c:pt idx="19">
                  <c:v>23422.904241774442</c:v>
                </c:pt>
                <c:pt idx="20">
                  <c:v>23611.037934668071</c:v>
                </c:pt>
                <c:pt idx="21">
                  <c:v>22944.845059442603</c:v>
                </c:pt>
                <c:pt idx="22">
                  <c:v>22887.861865331535</c:v>
                </c:pt>
                <c:pt idx="23">
                  <c:v>23096.022295414237</c:v>
                </c:pt>
                <c:pt idx="24">
                  <c:v>22784.367586465229</c:v>
                </c:pt>
                <c:pt idx="25">
                  <c:v>23120.388588293165</c:v>
                </c:pt>
                <c:pt idx="26">
                  <c:v>23832.567142511492</c:v>
                </c:pt>
                <c:pt idx="27">
                  <c:v>24732.365885571548</c:v>
                </c:pt>
                <c:pt idx="28">
                  <c:v>25071.198359214766</c:v>
                </c:pt>
                <c:pt idx="29">
                  <c:v>24681.208053691273</c:v>
                </c:pt>
                <c:pt idx="30">
                  <c:v>24821.78614337205</c:v>
                </c:pt>
                <c:pt idx="31">
                  <c:v>24632.265381343917</c:v>
                </c:pt>
                <c:pt idx="32">
                  <c:v>24721.707385565853</c:v>
                </c:pt>
                <c:pt idx="33">
                  <c:v>24944.737572896414</c:v>
                </c:pt>
                <c:pt idx="34">
                  <c:v>25719.615912208505</c:v>
                </c:pt>
                <c:pt idx="35">
                  <c:v>27200.781631656082</c:v>
                </c:pt>
                <c:pt idx="36">
                  <c:v>27290.950128976783</c:v>
                </c:pt>
                <c:pt idx="37">
                  <c:v>28007.123112906655</c:v>
                </c:pt>
                <c:pt idx="38">
                  <c:v>28005.150034158389</c:v>
                </c:pt>
                <c:pt idx="39">
                  <c:v>28138.521400778209</c:v>
                </c:pt>
                <c:pt idx="40">
                  <c:v>29048.986919723</c:v>
                </c:pt>
                <c:pt idx="41">
                  <c:v>29822.017139090312</c:v>
                </c:pt>
                <c:pt idx="42">
                  <c:v>31221.090653689862</c:v>
                </c:pt>
                <c:pt idx="43">
                  <c:v>31263.319621351038</c:v>
                </c:pt>
                <c:pt idx="44">
                  <c:v>31618.50276270109</c:v>
                </c:pt>
                <c:pt idx="45">
                  <c:v>31946.898405991935</c:v>
                </c:pt>
                <c:pt idx="46">
                  <c:v>30534.142783189796</c:v>
                </c:pt>
                <c:pt idx="47">
                  <c:v>30721.003134796236</c:v>
                </c:pt>
                <c:pt idx="48">
                  <c:v>31358.932461873635</c:v>
                </c:pt>
                <c:pt idx="49">
                  <c:v>32105.64010743062</c:v>
                </c:pt>
                <c:pt idx="50">
                  <c:v>33055.188803802484</c:v>
                </c:pt>
                <c:pt idx="51">
                  <c:v>33000.345811359904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84-FB4C-9B5E-43FBC88613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39953368"/>
        <c:axId val="-2139958888"/>
      </c:lineChart>
      <c:catAx>
        <c:axId val="-21399533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/>
                </a:pPr>
                <a:r>
                  <a:rPr lang="en-US"/>
                  <a:t>Year</a:t>
                </a:r>
              </a:p>
            </c:rich>
          </c:tx>
          <c:overlay val="0"/>
        </c:title>
        <c:majorTickMark val="cross"/>
        <c:minorTickMark val="cross"/>
        <c:tickLblPos val="nextTo"/>
        <c:txPr>
          <a:bodyPr/>
          <a:lstStyle/>
          <a:p>
            <a:pPr lvl="0">
              <a:defRPr b="0"/>
            </a:pPr>
            <a:endParaRPr lang="en-US"/>
          </a:p>
        </c:txPr>
        <c:crossAx val="-2139958888"/>
        <c:crosses val="autoZero"/>
        <c:auto val="1"/>
        <c:lblAlgn val="ctr"/>
        <c:lblOffset val="100"/>
        <c:noMultiLvlLbl val="1"/>
      </c:catAx>
      <c:valAx>
        <c:axId val="-21399588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numFmt formatCode="General" sourceLinked="1"/>
        <c:majorTickMark val="cross"/>
        <c:minorTickMark val="cross"/>
        <c:tickLblPos val="nextTo"/>
        <c:spPr>
          <a:ln w="47625">
            <a:noFill/>
          </a:ln>
        </c:spPr>
        <c:txPr>
          <a:bodyPr/>
          <a:lstStyle/>
          <a:p>
            <a:pPr lvl="0">
              <a:defRPr b="0"/>
            </a:pPr>
            <a:endParaRPr lang="en-US"/>
          </a:p>
        </c:txPr>
        <c:crossAx val="-2139953368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1"/>
  </c:chart>
  <c:printSettings>
    <c:headerFooter/>
    <c:pageMargins b="1" l="0.75" r="0.75" t="1" header="0.5" footer="0.5"/>
    <c:pageSetup/>
  </c:printSettings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workbookViewId="0"/>
  </sheetViews>
  <pageMargins left="0.75" right="0.75" top="1" bottom="1" header="0.5" footer="0.5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workbookViewId="0"/>
  </sheetViews>
  <pageMargins left="0.75" right="0.75" top="1" bottom="1" header="0.5" footer="0.5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workbookViewId="0"/>
  </sheetViews>
  <pageMargins left="0.75" right="0.75" top="1" bottom="1" header="0.5" footer="0.5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workbookViewId="0"/>
  </sheetViews>
  <pageMargins left="0.75" right="0.75" top="1" bottom="1" header="0.5" footer="0.5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workbookViewId="0"/>
  </sheetViews>
  <pageMargins left="0.75" right="0.75" top="1" bottom="1" header="0.5" footer="0.5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/>
  <sheetViews>
    <sheetView workbookViewId="0"/>
  </sheetViews>
  <pageMargins left="0.75" right="0.75" top="1" bottom="1" header="0.5" footer="0.5"/>
  <drawing r:id="rId1"/>
</chartsheet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215900</xdr:colOff>
      <xdr:row>61</xdr:row>
      <xdr:rowOff>76200</xdr:rowOff>
    </xdr:to>
    <xdr:sp macro="" textlink="">
      <xdr:nvSpPr>
        <xdr:cNvPr id="1025" name="Rectangle 1" hidden="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rtlCol="0"/>
        <a:lstStyle/>
        <a:p>
          <a:pPr algn="ctr"/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673100</xdr:colOff>
      <xdr:row>75</xdr:row>
      <xdr:rowOff>120650</xdr:rowOff>
    </xdr:from>
    <xdr:to>
      <xdr:col>13</xdr:col>
      <xdr:colOff>381000</xdr:colOff>
      <xdr:row>99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10600" cy="6276975"/>
    <xdr:graphicFrame macro="">
      <xdr:nvGraphicFramePr>
        <xdr:cNvPr id="2" name="Chart 2" titl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3" name="Chart 3" title="Chart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4" name="Chart 4" title="Chart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5" name="Chart 5" title="Chart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300"/>
    <xdr:graphicFrame macro="">
      <xdr:nvGraphicFramePr>
        <xdr:cNvPr id="6" name="Chart 6" title="Chart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676275</xdr:colOff>
      <xdr:row>0</xdr:row>
      <xdr:rowOff>352425</xdr:rowOff>
    </xdr:from>
    <xdr:to>
      <xdr:col>11</xdr:col>
      <xdr:colOff>838200</xdr:colOff>
      <xdr:row>29</xdr:row>
      <xdr:rowOff>57150</xdr:rowOff>
    </xdr:to>
    <xdr:graphicFrame macro="">
      <xdr:nvGraphicFramePr>
        <xdr:cNvPr id="7" name="Chart 7" title="Chart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0</xdr:col>
      <xdr:colOff>542925</xdr:colOff>
      <xdr:row>30</xdr:row>
      <xdr:rowOff>466725</xdr:rowOff>
    </xdr:from>
    <xdr:to>
      <xdr:col>11</xdr:col>
      <xdr:colOff>838200</xdr:colOff>
      <xdr:row>59</xdr:row>
      <xdr:rowOff>133350</xdr:rowOff>
    </xdr:to>
    <xdr:graphicFrame macro="">
      <xdr:nvGraphicFramePr>
        <xdr:cNvPr id="8" name="Chart 8" title="Chart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Y978"/>
  <sheetViews>
    <sheetView tabSelected="1" workbookViewId="0">
      <pane xSplit="9" ySplit="28" topLeftCell="J29" activePane="bottomRight" state="frozen"/>
      <selection pane="topRight" activeCell="J1" sqref="J1"/>
      <selection pane="bottomLeft" activeCell="A29" sqref="A29"/>
      <selection pane="bottomRight" activeCell="G22" sqref="G22"/>
    </sheetView>
  </sheetViews>
  <sheetFormatPr baseColWidth="10" defaultColWidth="14.5" defaultRowHeight="15.75" customHeight="1" x14ac:dyDescent="0.15"/>
  <cols>
    <col min="1" max="1" width="7.83203125" customWidth="1" collapsed="1"/>
    <col min="2" max="2" width="41" customWidth="1" collapsed="1"/>
    <col min="3" max="5" width="7.6640625" customWidth="1" collapsed="1"/>
    <col min="6" max="6" width="8.33203125" customWidth="1" collapsed="1"/>
    <col min="7" max="7" width="12.33203125" customWidth="1" collapsed="1"/>
    <col min="8" max="8" width="8.5" customWidth="1" collapsed="1"/>
    <col min="9" max="9" width="12.1640625" bestFit="1" customWidth="1" collapsed="1"/>
    <col min="10" max="40" width="7.6640625" customWidth="1" collapsed="1"/>
    <col min="41" max="44" width="9.5" customWidth="1" collapsed="1"/>
    <col min="45" max="45" width="9.1640625" customWidth="1" collapsed="1"/>
    <col min="46" max="46" width="8.6640625" customWidth="1" collapsed="1"/>
    <col min="47" max="47" width="9.6640625" customWidth="1" collapsed="1"/>
    <col min="48" max="48" width="9.5" customWidth="1" collapsed="1"/>
    <col min="49" max="49" width="9.1640625" customWidth="1" collapsed="1"/>
    <col min="50" max="50" width="10.33203125" customWidth="1" collapsed="1"/>
    <col min="51" max="51" width="10.5" customWidth="1" collapsed="1"/>
    <col min="52" max="54" width="7.6640625" customWidth="1" collapsed="1"/>
  </cols>
  <sheetData>
    <row r="1" spans="1:155" ht="14" x14ac:dyDescent="0.15">
      <c r="A1" s="8" t="s">
        <v>43</v>
      </c>
      <c r="B1" s="9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1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</row>
    <row r="2" spans="1:155" ht="14" x14ac:dyDescent="0.15">
      <c r="A2" s="2"/>
      <c r="B2" s="3" t="s">
        <v>0</v>
      </c>
      <c r="C2" s="3">
        <v>1962</v>
      </c>
      <c r="D2" s="3">
        <v>1963</v>
      </c>
      <c r="E2" s="3">
        <v>1964</v>
      </c>
      <c r="F2" s="3">
        <v>1965</v>
      </c>
      <c r="G2" s="3">
        <v>1966</v>
      </c>
      <c r="H2" s="3">
        <v>1967</v>
      </c>
      <c r="I2" s="3">
        <v>1968</v>
      </c>
      <c r="J2" s="3">
        <v>1969</v>
      </c>
      <c r="K2" s="3">
        <v>1970</v>
      </c>
      <c r="L2" s="3">
        <v>1971</v>
      </c>
      <c r="M2" s="3">
        <v>1972</v>
      </c>
      <c r="N2" s="3">
        <v>1973</v>
      </c>
      <c r="O2" s="3">
        <v>1974</v>
      </c>
      <c r="P2" s="3">
        <v>1975</v>
      </c>
      <c r="Q2" s="3">
        <v>1976</v>
      </c>
      <c r="R2" s="3">
        <v>1977</v>
      </c>
      <c r="S2" s="3">
        <v>1978</v>
      </c>
      <c r="T2" s="3">
        <v>1979</v>
      </c>
      <c r="U2" s="3">
        <v>1980</v>
      </c>
      <c r="V2" s="3">
        <v>1981</v>
      </c>
      <c r="W2" s="3">
        <v>1982</v>
      </c>
      <c r="X2" s="3">
        <v>1983</v>
      </c>
      <c r="Y2" s="3">
        <v>1984</v>
      </c>
      <c r="Z2" s="3">
        <v>1985</v>
      </c>
      <c r="AA2" s="3">
        <v>1986</v>
      </c>
      <c r="AB2" s="3">
        <v>1987</v>
      </c>
      <c r="AC2" s="3">
        <v>1988</v>
      </c>
      <c r="AD2" s="3">
        <v>1989</v>
      </c>
      <c r="AE2" s="3">
        <v>1990</v>
      </c>
      <c r="AF2" s="3">
        <v>1991</v>
      </c>
      <c r="AG2" s="3">
        <v>1992</v>
      </c>
      <c r="AH2" s="3">
        <v>1993</v>
      </c>
      <c r="AI2" s="3">
        <v>1994</v>
      </c>
      <c r="AJ2" s="3">
        <v>1995</v>
      </c>
      <c r="AK2" s="3">
        <v>1996</v>
      </c>
      <c r="AL2" s="3">
        <v>1997</v>
      </c>
      <c r="AM2" s="3">
        <v>1998</v>
      </c>
      <c r="AN2" s="3">
        <v>1999</v>
      </c>
      <c r="AO2" s="3">
        <v>2000</v>
      </c>
      <c r="AP2" s="3">
        <v>2001</v>
      </c>
      <c r="AQ2" s="3">
        <v>2002</v>
      </c>
      <c r="AR2" s="3">
        <v>2003</v>
      </c>
      <c r="AS2" s="3">
        <v>2004</v>
      </c>
      <c r="AT2" s="3">
        <v>2005</v>
      </c>
      <c r="AU2" s="3">
        <v>2006</v>
      </c>
      <c r="AV2" s="3">
        <v>2007</v>
      </c>
      <c r="AW2" s="3">
        <v>2008</v>
      </c>
      <c r="AX2" s="3">
        <v>2009</v>
      </c>
      <c r="AY2" s="3">
        <v>2010</v>
      </c>
      <c r="AZ2" s="3">
        <v>2011</v>
      </c>
      <c r="BA2" s="3">
        <v>2012</v>
      </c>
      <c r="BB2" s="3">
        <v>2013</v>
      </c>
      <c r="BC2" s="3"/>
      <c r="BD2" s="3" t="s">
        <v>38</v>
      </c>
      <c r="BE2" s="4"/>
      <c r="BF2" s="4" t="s">
        <v>39</v>
      </c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</row>
    <row r="3" spans="1:155" ht="14" x14ac:dyDescent="0.15">
      <c r="A3" s="13" t="s">
        <v>44</v>
      </c>
      <c r="B3" s="80" t="s">
        <v>45</v>
      </c>
      <c r="C3" s="14">
        <f t="shared" ref="C3:J3" si="0">C6+C7-C8-C9+C10-C11-C12-C13-C14-C15-C16-C17-C18-C19+C20-C21-C22-C23+C24-C25+C26+C27-C28-C29</f>
        <v>182.13067118841971</v>
      </c>
      <c r="D3" s="14">
        <f t="shared" si="0"/>
        <v>179.37995731247059</v>
      </c>
      <c r="E3" s="14">
        <f t="shared" si="0"/>
        <v>183.64015291465907</v>
      </c>
      <c r="F3" s="14">
        <f t="shared" si="0"/>
        <v>190.51234251258111</v>
      </c>
      <c r="G3" s="14">
        <f t="shared" si="0"/>
        <v>198.41389867194599</v>
      </c>
      <c r="H3" s="14">
        <f t="shared" si="0"/>
        <v>208.19541341122434</v>
      </c>
      <c r="I3" s="14">
        <f t="shared" si="0"/>
        <v>216.58005580845136</v>
      </c>
      <c r="J3" s="14">
        <f t="shared" si="0"/>
        <v>229.45408552967046</v>
      </c>
      <c r="K3" s="14">
        <f>K6+K7-K8-K9+K10-K11-K12-K13-K14-K16-K16-K17-K18-K19+K20-K21-K22-K23+K24-K25+K26+K27-K28-K29</f>
        <v>243.3758923485708</v>
      </c>
      <c r="L3" s="14">
        <f t="shared" ref="L3:BB3" si="1">L6+L7-L8-L9+L10-L11-L12-L13-L14-L15-L16-L17-L18-L19+L20-L21-L22-L23+L24-L25+L26+L27-L28-L29</f>
        <v>249.27611335472722</v>
      </c>
      <c r="M3" s="14">
        <f t="shared" si="1"/>
        <v>252.62767175406017</v>
      </c>
      <c r="N3" s="14">
        <f t="shared" si="1"/>
        <v>266.39540757926414</v>
      </c>
      <c r="O3" s="14">
        <f t="shared" si="1"/>
        <v>286.70859041004667</v>
      </c>
      <c r="P3" s="14">
        <f t="shared" si="1"/>
        <v>304.8582870752503</v>
      </c>
      <c r="Q3" s="14">
        <f t="shared" si="1"/>
        <v>320.04533715936327</v>
      </c>
      <c r="R3" s="14">
        <f t="shared" si="1"/>
        <v>321.32309370720117</v>
      </c>
      <c r="S3" s="14">
        <f t="shared" si="1"/>
        <v>334.53221755247199</v>
      </c>
      <c r="T3" s="14">
        <f t="shared" si="1"/>
        <v>340.41992140627451</v>
      </c>
      <c r="U3" s="14">
        <f t="shared" si="1"/>
        <v>317.81829239189454</v>
      </c>
      <c r="V3" s="14">
        <f t="shared" si="1"/>
        <v>336.25375588098001</v>
      </c>
      <c r="W3" s="14">
        <f t="shared" si="1"/>
        <v>342.2387365161153</v>
      </c>
      <c r="X3" s="14">
        <f t="shared" si="1"/>
        <v>349.26834315342296</v>
      </c>
      <c r="Y3" s="14">
        <f t="shared" si="1"/>
        <v>346.35561031201939</v>
      </c>
      <c r="Z3" s="14">
        <f t="shared" si="1"/>
        <v>348.4286316814925</v>
      </c>
      <c r="AA3" s="14">
        <f t="shared" si="1"/>
        <v>353.0403176483394</v>
      </c>
      <c r="AB3" s="14">
        <f t="shared" si="1"/>
        <v>362.67732176000067</v>
      </c>
      <c r="AC3" s="14">
        <f t="shared" si="1"/>
        <v>378.54859289403248</v>
      </c>
      <c r="AD3" s="14">
        <f t="shared" si="1"/>
        <v>389.8557607863234</v>
      </c>
      <c r="AE3" s="14">
        <f t="shared" si="1"/>
        <v>407.02585999403749</v>
      </c>
      <c r="AF3" s="14">
        <f t="shared" si="1"/>
        <v>408.78891218223788</v>
      </c>
      <c r="AG3" s="14">
        <f t="shared" si="1"/>
        <v>408.08517954135323</v>
      </c>
      <c r="AH3" s="14">
        <f t="shared" si="1"/>
        <v>409.15749796140773</v>
      </c>
      <c r="AI3" s="14">
        <f t="shared" si="1"/>
        <v>411.53972096149704</v>
      </c>
      <c r="AJ3" s="14">
        <f t="shared" si="1"/>
        <v>414.61718607232274</v>
      </c>
      <c r="AK3" s="14">
        <f t="shared" si="1"/>
        <v>436.03037900227952</v>
      </c>
      <c r="AL3" s="14">
        <f t="shared" si="1"/>
        <v>462.38821834027561</v>
      </c>
      <c r="AM3" s="14">
        <f t="shared" si="1"/>
        <v>456.83032076898382</v>
      </c>
      <c r="AN3" s="14">
        <f t="shared" si="1"/>
        <v>476.86961654862245</v>
      </c>
      <c r="AO3" s="14">
        <f t="shared" si="1"/>
        <v>478.44539962194631</v>
      </c>
      <c r="AP3" s="14">
        <f t="shared" si="1"/>
        <v>505.75941284979257</v>
      </c>
      <c r="AQ3" s="14">
        <f t="shared" si="1"/>
        <v>525.97116718863208</v>
      </c>
      <c r="AR3" s="14">
        <f t="shared" si="1"/>
        <v>547.43078905850996</v>
      </c>
      <c r="AS3" s="14">
        <f t="shared" si="1"/>
        <v>574.41297030224496</v>
      </c>
      <c r="AT3" s="14">
        <f t="shared" si="1"/>
        <v>592.56341415851489</v>
      </c>
      <c r="AU3" s="14">
        <f t="shared" si="1"/>
        <v>614.04053691382353</v>
      </c>
      <c r="AV3" s="14">
        <f t="shared" si="1"/>
        <v>627.84204972816042</v>
      </c>
      <c r="AW3" s="14">
        <f t="shared" si="1"/>
        <v>637.60024875337331</v>
      </c>
      <c r="AX3" s="14">
        <f t="shared" si="1"/>
        <v>639.43151276902188</v>
      </c>
      <c r="AY3" s="14">
        <f t="shared" si="1"/>
        <v>694.49243025788894</v>
      </c>
      <c r="AZ3" s="14">
        <f t="shared" si="1"/>
        <v>738.21574402730494</v>
      </c>
      <c r="BA3" s="14">
        <f t="shared" si="1"/>
        <v>771.10608923237623</v>
      </c>
      <c r="BB3" s="14">
        <f t="shared" si="1"/>
        <v>798.44863000825433</v>
      </c>
      <c r="BC3" s="14"/>
      <c r="BD3" s="15" t="s">
        <v>46</v>
      </c>
      <c r="BE3" s="14" t="s">
        <v>45</v>
      </c>
      <c r="BF3" s="16">
        <f t="shared" ref="BF3:BF17" si="2">((BB3-C3)/C3)*100</f>
        <v>338.39328367830757</v>
      </c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</row>
    <row r="4" spans="1:155" ht="14" x14ac:dyDescent="0.15">
      <c r="A4" s="5">
        <v>1</v>
      </c>
      <c r="B4" s="6" t="s">
        <v>40</v>
      </c>
      <c r="C4" s="6">
        <v>139.75</v>
      </c>
      <c r="D4" s="6">
        <v>149.32</v>
      </c>
      <c r="E4" s="6">
        <v>157.61000000000001</v>
      </c>
      <c r="F4" s="6">
        <v>163.72999999999999</v>
      </c>
      <c r="G4" s="6">
        <v>169.37</v>
      </c>
      <c r="H4" s="6">
        <v>178.06</v>
      </c>
      <c r="I4" s="6">
        <v>188.79</v>
      </c>
      <c r="J4" s="6">
        <v>201.19</v>
      </c>
      <c r="K4" s="6">
        <v>214.51</v>
      </c>
      <c r="L4" s="6">
        <v>223.76</v>
      </c>
      <c r="M4" s="6">
        <v>232.11</v>
      </c>
      <c r="N4" s="6">
        <v>246.16</v>
      </c>
      <c r="O4" s="6">
        <v>259.98</v>
      </c>
      <c r="P4" s="6">
        <v>270.72000000000003</v>
      </c>
      <c r="Q4" s="6">
        <v>281.06</v>
      </c>
      <c r="R4" s="6">
        <v>284.89</v>
      </c>
      <c r="S4" s="6">
        <v>292.20999999999998</v>
      </c>
      <c r="T4" s="6">
        <v>297.01</v>
      </c>
      <c r="U4" s="6">
        <v>305.64</v>
      </c>
      <c r="V4" s="6">
        <v>319.31</v>
      </c>
      <c r="W4" s="6">
        <v>330.28</v>
      </c>
      <c r="X4" s="6">
        <v>332.01</v>
      </c>
      <c r="Y4" s="6">
        <v>341.88</v>
      </c>
      <c r="Z4" s="6">
        <v>356.46</v>
      </c>
      <c r="AA4" s="6">
        <v>363.62</v>
      </c>
      <c r="AB4" s="6">
        <v>370.48</v>
      </c>
      <c r="AC4" s="6">
        <v>383.81</v>
      </c>
      <c r="AD4" s="6">
        <v>400.49</v>
      </c>
      <c r="AE4" s="6">
        <v>407.29</v>
      </c>
      <c r="AF4" s="6">
        <v>414.11</v>
      </c>
      <c r="AG4" s="6">
        <v>429.31</v>
      </c>
      <c r="AH4" s="6">
        <v>437.98</v>
      </c>
      <c r="AI4" s="6">
        <v>452.07</v>
      </c>
      <c r="AJ4" s="6">
        <v>462.8</v>
      </c>
      <c r="AK4" s="6">
        <v>473.42</v>
      </c>
      <c r="AL4" s="6">
        <v>499.28</v>
      </c>
      <c r="AM4" s="6">
        <v>525.02</v>
      </c>
      <c r="AN4" s="6">
        <v>551</v>
      </c>
      <c r="AO4" s="6">
        <v>563.67999999999995</v>
      </c>
      <c r="AP4" s="6">
        <v>575.54</v>
      </c>
      <c r="AQ4" s="6">
        <v>599.01</v>
      </c>
      <c r="AR4" s="6">
        <v>620.07000000000005</v>
      </c>
      <c r="AS4" s="6">
        <v>649.77</v>
      </c>
      <c r="AT4" s="6">
        <v>667.23</v>
      </c>
      <c r="AU4" s="6">
        <v>692.79</v>
      </c>
      <c r="AV4" s="6">
        <v>737.87</v>
      </c>
      <c r="AW4" s="6">
        <v>743.84</v>
      </c>
      <c r="AX4" s="6">
        <v>756.04</v>
      </c>
      <c r="AY4" s="6">
        <v>775.59</v>
      </c>
      <c r="AZ4" s="6">
        <v>794.14</v>
      </c>
      <c r="BA4" s="6">
        <v>820.08</v>
      </c>
      <c r="BB4" s="6">
        <v>835.25</v>
      </c>
      <c r="BC4" s="6"/>
      <c r="BD4" s="6"/>
      <c r="BE4" s="6" t="s">
        <v>40</v>
      </c>
      <c r="BF4" s="17">
        <f t="shared" si="2"/>
        <v>497.67441860465118</v>
      </c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</row>
    <row r="5" spans="1:155" ht="14" x14ac:dyDescent="0.15">
      <c r="A5" s="5">
        <v>2</v>
      </c>
      <c r="B5" s="6" t="s">
        <v>41</v>
      </c>
      <c r="C5" s="6">
        <v>1.1819999999999999</v>
      </c>
      <c r="D5" s="6">
        <v>1.1850000000000001</v>
      </c>
      <c r="E5" s="6">
        <v>1.17</v>
      </c>
      <c r="F5" s="6">
        <v>1.147</v>
      </c>
      <c r="G5" s="6">
        <v>1.129</v>
      </c>
      <c r="H5" s="6">
        <v>1.1180000000000001</v>
      </c>
      <c r="I5" s="6">
        <v>1.115</v>
      </c>
      <c r="J5" s="6">
        <v>1.099</v>
      </c>
      <c r="K5" s="6">
        <v>1.085</v>
      </c>
      <c r="L5" s="6">
        <v>1.093</v>
      </c>
      <c r="M5" s="6">
        <v>1.0960000000000001</v>
      </c>
      <c r="N5" s="6">
        <v>1.0669999999999999</v>
      </c>
      <c r="O5" s="6">
        <v>1.0289999999999999</v>
      </c>
      <c r="P5" s="6">
        <v>1.0049999999999999</v>
      </c>
      <c r="Q5" s="6">
        <v>0.99199999999999999</v>
      </c>
      <c r="R5" s="6">
        <v>0.98499999999999999</v>
      </c>
      <c r="S5" s="6">
        <v>0.98099999999999998</v>
      </c>
      <c r="T5" s="6">
        <v>0.98099999999999998</v>
      </c>
      <c r="U5" s="6">
        <v>0.98899999999999999</v>
      </c>
      <c r="V5" s="6">
        <v>0.99199999999999999</v>
      </c>
      <c r="W5" s="6">
        <v>1</v>
      </c>
      <c r="X5" s="6">
        <v>1.02</v>
      </c>
      <c r="Y5" s="6">
        <v>1.0409999999999999</v>
      </c>
      <c r="Z5" s="6">
        <v>1.0609999999999999</v>
      </c>
      <c r="AA5" s="6">
        <v>1.081</v>
      </c>
      <c r="AB5" s="6">
        <v>1.069</v>
      </c>
      <c r="AC5" s="6">
        <v>1.0569999999999999</v>
      </c>
      <c r="AD5" s="6">
        <v>1.0449999999999999</v>
      </c>
      <c r="AE5" s="6">
        <v>1.0329999999999999</v>
      </c>
      <c r="AF5" s="6">
        <v>1.054</v>
      </c>
      <c r="AG5" s="6">
        <v>1.0740000000000001</v>
      </c>
      <c r="AH5" s="6">
        <v>1.0940000000000001</v>
      </c>
      <c r="AI5" s="6">
        <v>1.115</v>
      </c>
      <c r="AJ5" s="6">
        <v>1.119</v>
      </c>
      <c r="AK5" s="6">
        <v>1.0960000000000001</v>
      </c>
      <c r="AL5" s="6">
        <v>1.081</v>
      </c>
      <c r="AM5" s="6">
        <v>1.1220000000000001</v>
      </c>
      <c r="AN5" s="6">
        <v>1.135</v>
      </c>
      <c r="AO5" s="6">
        <v>1.1479999999999999</v>
      </c>
      <c r="AP5" s="6">
        <v>1.1519999999999999</v>
      </c>
      <c r="AQ5" s="6">
        <v>1.1479999999999999</v>
      </c>
      <c r="AR5" s="6">
        <v>1.1439999999999999</v>
      </c>
      <c r="AS5" s="6">
        <v>1.133</v>
      </c>
      <c r="AT5" s="6">
        <v>1.1479999999999999</v>
      </c>
      <c r="AU5" s="6">
        <v>1.163</v>
      </c>
      <c r="AV5" s="6">
        <v>1.204</v>
      </c>
      <c r="AW5" s="6">
        <v>1.244</v>
      </c>
      <c r="AX5" s="6">
        <v>1.2310000000000001</v>
      </c>
      <c r="AY5" s="6">
        <v>1.2190000000000001</v>
      </c>
      <c r="AZ5" s="6">
        <v>1.202</v>
      </c>
      <c r="BA5" s="6">
        <v>1.1850000000000001</v>
      </c>
      <c r="BB5" s="6">
        <v>1.19</v>
      </c>
      <c r="BC5" s="6"/>
      <c r="BD5" s="18"/>
      <c r="BE5" s="6" t="s">
        <v>41</v>
      </c>
      <c r="BF5" s="17">
        <f t="shared" si="2"/>
        <v>0.67681895093062672</v>
      </c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  <c r="EY5" s="17"/>
    </row>
    <row r="6" spans="1:155" ht="14" x14ac:dyDescent="0.15">
      <c r="A6" s="5">
        <v>3</v>
      </c>
      <c r="B6" s="6" t="s">
        <v>1</v>
      </c>
      <c r="C6" s="6">
        <v>128.31</v>
      </c>
      <c r="D6" s="6">
        <v>136.82</v>
      </c>
      <c r="E6" s="6">
        <v>146.28</v>
      </c>
      <c r="F6" s="6">
        <v>154.88</v>
      </c>
      <c r="G6" s="6">
        <v>162.83000000000001</v>
      </c>
      <c r="H6" s="6">
        <v>172.86</v>
      </c>
      <c r="I6" s="6">
        <v>183.76</v>
      </c>
      <c r="J6" s="6">
        <v>198.65</v>
      </c>
      <c r="K6" s="6">
        <v>214.51</v>
      </c>
      <c r="L6" s="6">
        <v>222.2</v>
      </c>
      <c r="M6" s="6">
        <v>229.87</v>
      </c>
      <c r="N6" s="6">
        <v>250.49</v>
      </c>
      <c r="O6" s="6">
        <v>274.26</v>
      </c>
      <c r="P6" s="6">
        <v>292.26</v>
      </c>
      <c r="Q6" s="6">
        <v>307.43</v>
      </c>
      <c r="R6" s="6">
        <v>314.02999999999997</v>
      </c>
      <c r="S6" s="6">
        <v>323.32</v>
      </c>
      <c r="T6" s="6">
        <v>328.5</v>
      </c>
      <c r="U6" s="6">
        <v>335.5</v>
      </c>
      <c r="V6" s="6">
        <v>349.54</v>
      </c>
      <c r="W6" s="6">
        <v>358.51</v>
      </c>
      <c r="X6" s="6">
        <v>353.19</v>
      </c>
      <c r="Y6" s="6">
        <v>356.57</v>
      </c>
      <c r="Z6" s="6">
        <v>364.64</v>
      </c>
      <c r="AA6" s="6">
        <v>364.96</v>
      </c>
      <c r="AB6" s="6">
        <v>376.03</v>
      </c>
      <c r="AC6" s="6">
        <v>394</v>
      </c>
      <c r="AD6" s="6">
        <v>415.85</v>
      </c>
      <c r="AE6" s="6">
        <v>427.84</v>
      </c>
      <c r="AF6" s="6">
        <v>426.59</v>
      </c>
      <c r="AG6" s="6">
        <v>433.86</v>
      </c>
      <c r="AH6" s="6">
        <v>434.39</v>
      </c>
      <c r="AI6" s="6">
        <v>440.17</v>
      </c>
      <c r="AJ6" s="6">
        <v>449.13</v>
      </c>
      <c r="AK6" s="6">
        <v>468.74</v>
      </c>
      <c r="AL6" s="6">
        <v>501.12</v>
      </c>
      <c r="AM6" s="6">
        <v>507.83</v>
      </c>
      <c r="AN6" s="6">
        <v>526.87</v>
      </c>
      <c r="AO6" s="6">
        <v>532.91</v>
      </c>
      <c r="AP6" s="6">
        <v>542.37</v>
      </c>
      <c r="AQ6" s="6">
        <v>566.30999999999995</v>
      </c>
      <c r="AR6" s="6">
        <v>588.12</v>
      </c>
      <c r="AS6" s="6">
        <v>622.33000000000004</v>
      </c>
      <c r="AT6" s="6">
        <v>630.79999999999995</v>
      </c>
      <c r="AU6" s="6">
        <v>646.63</v>
      </c>
      <c r="AV6" s="6">
        <v>665.39</v>
      </c>
      <c r="AW6" s="6">
        <v>648.82000000000005</v>
      </c>
      <c r="AX6" s="6">
        <v>666.4</v>
      </c>
      <c r="AY6" s="6">
        <v>690.9</v>
      </c>
      <c r="AZ6" s="6">
        <v>717.24</v>
      </c>
      <c r="BA6" s="6">
        <v>751.08</v>
      </c>
      <c r="BB6" s="6">
        <v>763.43</v>
      </c>
      <c r="BC6" s="6"/>
      <c r="BD6" s="18" t="s">
        <v>47</v>
      </c>
      <c r="BE6" s="6" t="s">
        <v>1</v>
      </c>
      <c r="BF6" s="17">
        <f t="shared" si="2"/>
        <v>494.98869924401828</v>
      </c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7"/>
      <c r="EL6" s="17"/>
      <c r="EM6" s="17"/>
      <c r="EN6" s="17"/>
      <c r="EO6" s="17"/>
      <c r="EP6" s="17"/>
      <c r="EQ6" s="17"/>
      <c r="ER6" s="17"/>
      <c r="ES6" s="17"/>
      <c r="ET6" s="17"/>
      <c r="EU6" s="17"/>
      <c r="EV6" s="17"/>
      <c r="EW6" s="17"/>
      <c r="EX6" s="17"/>
      <c r="EY6" s="17"/>
    </row>
    <row r="7" spans="1:155" ht="14" x14ac:dyDescent="0.15">
      <c r="A7" s="5">
        <v>4</v>
      </c>
      <c r="B7" s="6" t="s">
        <v>2</v>
      </c>
      <c r="C7" s="6">
        <v>4.8731999999999998</v>
      </c>
      <c r="D7" s="6">
        <v>5.2271999999999998</v>
      </c>
      <c r="E7" s="6">
        <v>5.6353999999999997</v>
      </c>
      <c r="F7" s="6">
        <v>6.0747999999999998</v>
      </c>
      <c r="G7" s="6">
        <v>6.6988000000000003</v>
      </c>
      <c r="H7" s="6">
        <v>7.5682</v>
      </c>
      <c r="I7" s="6">
        <v>8.6449999999999996</v>
      </c>
      <c r="J7" s="6">
        <v>9.9307999999999996</v>
      </c>
      <c r="K7" s="6">
        <v>11.2858</v>
      </c>
      <c r="L7" s="6">
        <v>12.768000000000001</v>
      </c>
      <c r="M7" s="6">
        <v>14.329599999999999</v>
      </c>
      <c r="N7" s="6">
        <v>16.147400000000001</v>
      </c>
      <c r="O7" s="6">
        <v>18.141200000000001</v>
      </c>
      <c r="P7" s="6">
        <v>20.18</v>
      </c>
      <c r="Q7" s="6">
        <v>22.292999999999999</v>
      </c>
      <c r="R7" s="6">
        <v>24.565000000000001</v>
      </c>
      <c r="S7" s="6">
        <v>27.390599999999999</v>
      </c>
      <c r="T7" s="6">
        <v>30.264800000000001</v>
      </c>
      <c r="U7" s="6">
        <v>33.302399999999999</v>
      </c>
      <c r="V7" s="6">
        <v>36.741199999999999</v>
      </c>
      <c r="W7" s="6">
        <v>40.446199999999997</v>
      </c>
      <c r="X7" s="6">
        <v>44.295999999999999</v>
      </c>
      <c r="Y7" s="6">
        <v>47.636000000000003</v>
      </c>
      <c r="Z7" s="6">
        <v>50.979799999999997</v>
      </c>
      <c r="AA7" s="6">
        <v>53.734999999999999</v>
      </c>
      <c r="AB7" s="6">
        <v>56.587800000000001</v>
      </c>
      <c r="AC7" s="6">
        <v>59.665199999999999</v>
      </c>
      <c r="AD7" s="6">
        <v>62.1982</v>
      </c>
      <c r="AE7" s="6">
        <v>64.452799999999996</v>
      </c>
      <c r="AF7" s="6">
        <v>66.710999999999999</v>
      </c>
      <c r="AG7" s="6">
        <v>69.494</v>
      </c>
      <c r="AH7" s="6">
        <v>72.467200000000005</v>
      </c>
      <c r="AI7" s="6">
        <v>75.707599999999999</v>
      </c>
      <c r="AJ7" s="6">
        <v>79.605400000000003</v>
      </c>
      <c r="AK7" s="6">
        <v>83.621399999999994</v>
      </c>
      <c r="AL7" s="6">
        <v>87.956199999999995</v>
      </c>
      <c r="AM7" s="6">
        <v>92.235799999999998</v>
      </c>
      <c r="AN7" s="6">
        <v>96.484399999999994</v>
      </c>
      <c r="AO7" s="6">
        <v>101.71980000000001</v>
      </c>
      <c r="AP7" s="6">
        <v>106.00360000000001</v>
      </c>
      <c r="AQ7" s="6">
        <v>109.8638</v>
      </c>
      <c r="AR7" s="6">
        <v>113.19159999999999</v>
      </c>
      <c r="AS7" s="6">
        <v>115.89279999999999</v>
      </c>
      <c r="AT7" s="6">
        <v>118.733</v>
      </c>
      <c r="AU7" s="6">
        <v>121.6172</v>
      </c>
      <c r="AV7" s="6">
        <v>121.6172</v>
      </c>
      <c r="AW7" s="6">
        <v>121.6172</v>
      </c>
      <c r="AX7" s="6">
        <v>121.6172</v>
      </c>
      <c r="AY7" s="6">
        <v>121.6172</v>
      </c>
      <c r="AZ7" s="6">
        <v>121.6172</v>
      </c>
      <c r="BA7" s="6">
        <v>121.6172</v>
      </c>
      <c r="BB7" s="6">
        <v>121.6172</v>
      </c>
      <c r="BC7" s="6"/>
      <c r="BD7" s="18" t="s">
        <v>48</v>
      </c>
      <c r="BE7" s="6" t="s">
        <v>2</v>
      </c>
      <c r="BF7" s="17">
        <f t="shared" si="2"/>
        <v>2395.6332594599035</v>
      </c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/>
      <c r="DK7" s="17"/>
      <c r="DL7" s="17"/>
      <c r="DM7" s="17"/>
      <c r="DN7" s="17"/>
      <c r="DO7" s="17"/>
      <c r="DP7" s="17"/>
      <c r="DQ7" s="17"/>
      <c r="DR7" s="17"/>
      <c r="DS7" s="17"/>
      <c r="DT7" s="17"/>
      <c r="DU7" s="17"/>
      <c r="DV7" s="17"/>
      <c r="DW7" s="17"/>
      <c r="DX7" s="17"/>
      <c r="DY7" s="17"/>
      <c r="DZ7" s="17"/>
      <c r="EA7" s="17"/>
      <c r="EB7" s="17"/>
      <c r="EC7" s="17"/>
      <c r="ED7" s="17"/>
      <c r="EE7" s="17"/>
      <c r="EF7" s="17"/>
      <c r="EG7" s="17"/>
      <c r="EH7" s="17"/>
      <c r="EI7" s="17"/>
      <c r="EJ7" s="17"/>
      <c r="EK7" s="17"/>
      <c r="EL7" s="17"/>
      <c r="EM7" s="17"/>
      <c r="EN7" s="17"/>
      <c r="EO7" s="17"/>
      <c r="EP7" s="17"/>
      <c r="EQ7" s="17"/>
      <c r="ER7" s="17"/>
      <c r="ES7" s="17"/>
      <c r="ET7" s="17"/>
      <c r="EU7" s="17"/>
      <c r="EV7" s="17"/>
      <c r="EW7" s="17"/>
      <c r="EX7" s="17"/>
      <c r="EY7" s="17"/>
    </row>
    <row r="8" spans="1:155" ht="14" x14ac:dyDescent="0.15">
      <c r="A8" s="5">
        <v>5</v>
      </c>
      <c r="B8" s="6" t="s">
        <v>3</v>
      </c>
      <c r="C8" s="6">
        <v>30.782051280000001</v>
      </c>
      <c r="D8" s="6">
        <v>32.936708860000003</v>
      </c>
      <c r="E8" s="6">
        <v>34.524390240000002</v>
      </c>
      <c r="F8" s="6">
        <v>34.58823529</v>
      </c>
      <c r="G8" s="6">
        <v>34.413793099999999</v>
      </c>
      <c r="H8" s="6">
        <v>36.033333329999998</v>
      </c>
      <c r="I8" s="6">
        <v>37.923913040000002</v>
      </c>
      <c r="J8" s="6">
        <v>40.694736839999997</v>
      </c>
      <c r="K8" s="6">
        <v>41.71</v>
      </c>
      <c r="L8" s="6">
        <v>43.392523359999998</v>
      </c>
      <c r="M8" s="6">
        <v>44.892857139999997</v>
      </c>
      <c r="N8" s="6">
        <v>48.095238100000003</v>
      </c>
      <c r="O8" s="6">
        <v>49.938775509999999</v>
      </c>
      <c r="P8" s="6">
        <v>51.35119048</v>
      </c>
      <c r="Q8" s="6">
        <v>51.65625</v>
      </c>
      <c r="R8" s="6">
        <v>50.671428570000003</v>
      </c>
      <c r="S8" s="6">
        <v>51.247787610000003</v>
      </c>
      <c r="T8" s="6">
        <v>50.004016059999998</v>
      </c>
      <c r="U8" s="6">
        <v>51.90073529</v>
      </c>
      <c r="V8" s="6">
        <v>53.076158939999999</v>
      </c>
      <c r="W8" s="6">
        <v>52.1875</v>
      </c>
      <c r="X8" s="6">
        <v>52.580821919999998</v>
      </c>
      <c r="Y8" s="6">
        <v>56.893048129999997</v>
      </c>
      <c r="Z8" s="6">
        <v>61.158024689999998</v>
      </c>
      <c r="AA8" s="6">
        <v>58.452702700000003</v>
      </c>
      <c r="AB8" s="6">
        <v>58.065126050000003</v>
      </c>
      <c r="AC8" s="6">
        <v>61.154296879999997</v>
      </c>
      <c r="AD8" s="6">
        <v>62.597826089999998</v>
      </c>
      <c r="AE8" s="6">
        <v>62.345762710000002</v>
      </c>
      <c r="AF8" s="6">
        <v>59.91986644</v>
      </c>
      <c r="AG8" s="6">
        <v>63.222961730000002</v>
      </c>
      <c r="AH8" s="6">
        <v>62.982026140000002</v>
      </c>
      <c r="AI8" s="6">
        <v>64.039808919999999</v>
      </c>
      <c r="AJ8" s="6">
        <v>65.190909090000005</v>
      </c>
      <c r="AK8" s="6">
        <v>65.635820899999999</v>
      </c>
      <c r="AL8" s="6">
        <v>68.603293410000006</v>
      </c>
      <c r="AM8" s="6">
        <v>70.90707965</v>
      </c>
      <c r="AN8" s="6">
        <v>72.079594790000002</v>
      </c>
      <c r="AO8" s="6">
        <v>72.316005469999993</v>
      </c>
      <c r="AP8" s="6">
        <v>72.608753320000005</v>
      </c>
      <c r="AQ8" s="6">
        <v>76.94072165</v>
      </c>
      <c r="AR8" s="6">
        <v>79.378616350000001</v>
      </c>
      <c r="AS8" s="6">
        <v>80.552147239999996</v>
      </c>
      <c r="AT8" s="6">
        <v>80.220763719999994</v>
      </c>
      <c r="AU8" s="6">
        <v>80.043879910000001</v>
      </c>
      <c r="AV8" s="6">
        <v>85.279461280000007</v>
      </c>
      <c r="AW8" s="6">
        <v>80.391774889999994</v>
      </c>
      <c r="AX8" s="6">
        <v>78.523860020000001</v>
      </c>
      <c r="AY8" s="6">
        <v>78.787409699999998</v>
      </c>
      <c r="AZ8" s="6">
        <v>76.765531060000001</v>
      </c>
      <c r="BA8" s="6">
        <v>78.285294120000003</v>
      </c>
      <c r="BB8" s="6">
        <v>77.906488550000006</v>
      </c>
      <c r="BC8" s="6"/>
      <c r="BD8" s="18" t="s">
        <v>49</v>
      </c>
      <c r="BE8" s="6" t="s">
        <v>3</v>
      </c>
      <c r="BF8" s="17">
        <f t="shared" si="2"/>
        <v>153.0906333738003</v>
      </c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7"/>
      <c r="DP8" s="17"/>
      <c r="DQ8" s="17"/>
      <c r="DR8" s="17"/>
      <c r="DS8" s="17"/>
      <c r="DT8" s="17"/>
      <c r="DU8" s="17"/>
      <c r="DV8" s="17"/>
      <c r="DW8" s="17"/>
      <c r="DX8" s="17"/>
      <c r="DY8" s="17"/>
      <c r="DZ8" s="17"/>
      <c r="EA8" s="17"/>
      <c r="EB8" s="17"/>
      <c r="EC8" s="17"/>
      <c r="ED8" s="17"/>
      <c r="EE8" s="17"/>
      <c r="EF8" s="17"/>
      <c r="EG8" s="17"/>
      <c r="EH8" s="17"/>
      <c r="EI8" s="17"/>
      <c r="EJ8" s="17"/>
      <c r="EK8" s="17"/>
      <c r="EL8" s="17"/>
      <c r="EM8" s="17"/>
      <c r="EN8" s="17"/>
      <c r="EO8" s="17"/>
      <c r="EP8" s="17"/>
      <c r="EQ8" s="17"/>
      <c r="ER8" s="17"/>
      <c r="ES8" s="17"/>
      <c r="ET8" s="17"/>
      <c r="EU8" s="17"/>
      <c r="EV8" s="17"/>
      <c r="EW8" s="17"/>
      <c r="EX8" s="17"/>
      <c r="EY8" s="17"/>
    </row>
    <row r="9" spans="1:155" ht="14" x14ac:dyDescent="0.15">
      <c r="A9" s="5">
        <v>6</v>
      </c>
      <c r="B9" s="6" t="s">
        <v>4</v>
      </c>
      <c r="C9" s="6">
        <v>0.99238185400000001</v>
      </c>
      <c r="D9" s="6">
        <v>1.0124917250000001</v>
      </c>
      <c r="E9" s="6">
        <v>1.032804348</v>
      </c>
      <c r="F9" s="6">
        <v>1.0669867159999999</v>
      </c>
      <c r="G9" s="6">
        <v>1.1042033090000001</v>
      </c>
      <c r="H9" s="6">
        <v>1.149867427</v>
      </c>
      <c r="I9" s="6">
        <v>1.2256202730000001</v>
      </c>
      <c r="J9" s="6">
        <v>1.3233037030000001</v>
      </c>
      <c r="K9" s="6">
        <v>1.4271257159999999</v>
      </c>
      <c r="L9" s="6">
        <v>1.5549114980000001</v>
      </c>
      <c r="M9" s="6">
        <v>1.622521426</v>
      </c>
      <c r="N9" s="6">
        <v>1.6563040849999999</v>
      </c>
      <c r="O9" s="6">
        <v>1.752824406</v>
      </c>
      <c r="P9" s="6">
        <v>1.7383402729999999</v>
      </c>
      <c r="Q9" s="6">
        <v>1.809911555</v>
      </c>
      <c r="R9" s="6">
        <v>1.8646111000000001</v>
      </c>
      <c r="S9" s="6">
        <v>2.8137917880000001</v>
      </c>
      <c r="T9" s="6">
        <v>2.8063495189999998</v>
      </c>
      <c r="U9" s="6">
        <v>3.193871111</v>
      </c>
      <c r="V9" s="6">
        <v>3.2105155000000001</v>
      </c>
      <c r="W9" s="6">
        <v>3.4984069350000002</v>
      </c>
      <c r="X9" s="6">
        <v>4.4730628829999999</v>
      </c>
      <c r="Y9" s="6">
        <v>4.3931848010000003</v>
      </c>
      <c r="Z9" s="6">
        <v>4.0622244219999999</v>
      </c>
      <c r="AA9" s="6">
        <v>4.4104828639999996</v>
      </c>
      <c r="AB9" s="6">
        <v>5.040031581</v>
      </c>
      <c r="AC9" s="6">
        <v>4.603062242</v>
      </c>
      <c r="AD9" s="6">
        <v>5.1995193000000004</v>
      </c>
      <c r="AE9" s="6">
        <v>5.8201694420000001</v>
      </c>
      <c r="AF9" s="6">
        <v>7.9243097310000001</v>
      </c>
      <c r="AG9" s="6">
        <v>10.14276259</v>
      </c>
      <c r="AH9" s="6">
        <v>10.54297989</v>
      </c>
      <c r="AI9" s="6">
        <v>10.40725538</v>
      </c>
      <c r="AJ9" s="6">
        <v>10.364357099999999</v>
      </c>
      <c r="AK9" s="6">
        <v>12.238495350000001</v>
      </c>
      <c r="AL9" s="6">
        <v>13.26202251</v>
      </c>
      <c r="AM9" s="6">
        <v>13.50143763</v>
      </c>
      <c r="AN9" s="6">
        <v>13.324187869999999</v>
      </c>
      <c r="AO9" s="6">
        <v>13.062227930000001</v>
      </c>
      <c r="AP9" s="6">
        <v>13.974826999999999</v>
      </c>
      <c r="AQ9" s="6">
        <v>14.60275886</v>
      </c>
      <c r="AR9" s="6">
        <v>16.71970709</v>
      </c>
      <c r="AS9" s="6">
        <v>16.30927166</v>
      </c>
      <c r="AT9" s="6">
        <v>16.624100309999999</v>
      </c>
      <c r="AU9" s="6">
        <v>16.893757140000002</v>
      </c>
      <c r="AV9" s="6">
        <v>17.330365700000002</v>
      </c>
      <c r="AW9" s="6">
        <v>16.888039020000001</v>
      </c>
      <c r="AX9" s="6">
        <v>22.554746529999999</v>
      </c>
      <c r="AY9" s="6">
        <v>21.657863500000001</v>
      </c>
      <c r="AZ9" s="6">
        <v>23</v>
      </c>
      <c r="BA9" s="6">
        <v>25.541264720000001</v>
      </c>
      <c r="BB9" s="6">
        <v>27.346914399999999</v>
      </c>
      <c r="BC9" s="6"/>
      <c r="BD9" s="18" t="s">
        <v>49</v>
      </c>
      <c r="BE9" s="6" t="s">
        <v>4</v>
      </c>
      <c r="BF9" s="17">
        <f t="shared" si="2"/>
        <v>2655.6846479782566</v>
      </c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7"/>
      <c r="DP9" s="17"/>
      <c r="DQ9" s="17"/>
      <c r="DR9" s="17"/>
      <c r="DS9" s="17"/>
      <c r="DT9" s="17"/>
      <c r="DU9" s="17"/>
      <c r="DV9" s="17"/>
      <c r="DW9" s="17"/>
      <c r="DX9" s="17"/>
      <c r="DY9" s="17"/>
      <c r="DZ9" s="17"/>
      <c r="EA9" s="17"/>
      <c r="EB9" s="17"/>
      <c r="EC9" s="17"/>
      <c r="ED9" s="17"/>
      <c r="EE9" s="17"/>
      <c r="EF9" s="17"/>
      <c r="EG9" s="17"/>
      <c r="EH9" s="17"/>
      <c r="EI9" s="17"/>
      <c r="EJ9" s="17"/>
      <c r="EK9" s="17"/>
      <c r="EL9" s="17"/>
      <c r="EM9" s="17"/>
      <c r="EN9" s="17"/>
      <c r="EO9" s="17"/>
      <c r="EP9" s="17"/>
      <c r="EQ9" s="17"/>
      <c r="ER9" s="17"/>
      <c r="ES9" s="17"/>
      <c r="ET9" s="17"/>
      <c r="EU9" s="17"/>
      <c r="EV9" s="17"/>
      <c r="EW9" s="17"/>
      <c r="EX9" s="17"/>
      <c r="EY9" s="17"/>
    </row>
    <row r="10" spans="1:155" ht="14" x14ac:dyDescent="0.15">
      <c r="A10" s="5">
        <v>7</v>
      </c>
      <c r="B10" s="6" t="s">
        <v>5</v>
      </c>
      <c r="C10" s="6">
        <v>13.24</v>
      </c>
      <c r="D10" s="6">
        <v>13.5</v>
      </c>
      <c r="E10" s="6">
        <v>13.76</v>
      </c>
      <c r="F10" s="6">
        <v>14.04</v>
      </c>
      <c r="G10" s="6">
        <v>14.3</v>
      </c>
      <c r="H10" s="6">
        <v>14.54</v>
      </c>
      <c r="I10" s="6">
        <v>14.8</v>
      </c>
      <c r="J10" s="6">
        <v>15.12</v>
      </c>
      <c r="K10" s="6">
        <v>15.42</v>
      </c>
      <c r="L10" s="6">
        <v>16.11</v>
      </c>
      <c r="M10" s="6">
        <v>16.399999999999999</v>
      </c>
      <c r="N10" s="6">
        <v>16.649999999999999</v>
      </c>
      <c r="O10" s="6">
        <v>16.920000000000002</v>
      </c>
      <c r="P10" s="6">
        <v>17.13</v>
      </c>
      <c r="Q10" s="6">
        <v>17.3</v>
      </c>
      <c r="R10" s="6">
        <v>17.489999999999998</v>
      </c>
      <c r="S10" s="6">
        <v>17.7</v>
      </c>
      <c r="T10" s="6">
        <v>17.89</v>
      </c>
      <c r="U10" s="6">
        <v>18.11</v>
      </c>
      <c r="V10" s="6">
        <v>18.399999999999999</v>
      </c>
      <c r="W10" s="6">
        <v>18.72</v>
      </c>
      <c r="X10" s="6">
        <v>18.97</v>
      </c>
      <c r="Y10" s="6">
        <v>19.2</v>
      </c>
      <c r="Z10" s="6">
        <v>19.46</v>
      </c>
      <c r="AA10" s="6">
        <v>19.739999999999998</v>
      </c>
      <c r="AB10" s="6">
        <v>20.05</v>
      </c>
      <c r="AC10" s="6">
        <v>27.27</v>
      </c>
      <c r="AD10" s="6">
        <v>28.12</v>
      </c>
      <c r="AE10" s="6">
        <v>26.02</v>
      </c>
      <c r="AF10" s="6">
        <v>21.49</v>
      </c>
      <c r="AG10" s="6">
        <v>24.45</v>
      </c>
      <c r="AH10" s="6">
        <v>26.17</v>
      </c>
      <c r="AI10" s="6">
        <v>27.71</v>
      </c>
      <c r="AJ10" s="6">
        <v>29.45</v>
      </c>
      <c r="AK10" s="6">
        <v>33.130000000000003</v>
      </c>
      <c r="AL10" s="6">
        <v>32.590000000000003</v>
      </c>
      <c r="AM10" s="6">
        <v>35.01</v>
      </c>
      <c r="AN10" s="6">
        <v>36.729999999999997</v>
      </c>
      <c r="AO10" s="6">
        <v>39.520000000000003</v>
      </c>
      <c r="AP10" s="6">
        <v>46.16</v>
      </c>
      <c r="AQ10" s="6">
        <v>46.01</v>
      </c>
      <c r="AR10" s="6">
        <v>52.04</v>
      </c>
      <c r="AS10" s="6">
        <v>52.32</v>
      </c>
      <c r="AT10" s="6">
        <v>61.41</v>
      </c>
      <c r="AU10" s="6">
        <v>64.19</v>
      </c>
      <c r="AV10" s="6">
        <v>69.98</v>
      </c>
      <c r="AW10" s="6">
        <v>86.58</v>
      </c>
      <c r="AX10" s="6">
        <v>76.150000000000006</v>
      </c>
      <c r="AY10" s="6">
        <v>91.53</v>
      </c>
      <c r="AZ10" s="6">
        <v>102.24</v>
      </c>
      <c r="BA10" s="6">
        <v>99.9</v>
      </c>
      <c r="BB10" s="6">
        <v>105.19</v>
      </c>
      <c r="BC10" s="6"/>
      <c r="BD10" s="18" t="s">
        <v>48</v>
      </c>
      <c r="BE10" s="6" t="s">
        <v>5</v>
      </c>
      <c r="BF10" s="17">
        <f t="shared" si="2"/>
        <v>694.4864048338369</v>
      </c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7"/>
      <c r="DP10" s="17"/>
      <c r="DQ10" s="17"/>
      <c r="DR10" s="17"/>
      <c r="DS10" s="17"/>
      <c r="DT10" s="17"/>
      <c r="DU10" s="17"/>
      <c r="DV10" s="17"/>
      <c r="DW10" s="17"/>
      <c r="DX10" s="17"/>
      <c r="DY10" s="17"/>
      <c r="DZ10" s="17"/>
      <c r="EA10" s="17"/>
      <c r="EB10" s="17"/>
      <c r="EC10" s="17"/>
      <c r="ED10" s="17"/>
      <c r="EE10" s="17"/>
      <c r="EF10" s="17"/>
      <c r="EG10" s="17"/>
      <c r="EH10" s="17"/>
      <c r="EI10" s="17"/>
      <c r="EJ10" s="17"/>
      <c r="EK10" s="17"/>
      <c r="EL10" s="17"/>
      <c r="EM10" s="17"/>
      <c r="EN10" s="17"/>
      <c r="EO10" s="17"/>
      <c r="EP10" s="17"/>
      <c r="EQ10" s="17"/>
      <c r="ER10" s="17"/>
      <c r="ES10" s="17"/>
      <c r="ET10" s="17"/>
      <c r="EU10" s="17"/>
      <c r="EV10" s="17"/>
      <c r="EW10" s="17"/>
      <c r="EX10" s="17"/>
      <c r="EY10" s="17"/>
    </row>
    <row r="11" spans="1:155" ht="14" x14ac:dyDescent="0.15">
      <c r="A11" s="19">
        <v>8</v>
      </c>
      <c r="B11" s="20" t="s">
        <v>6</v>
      </c>
      <c r="C11" s="21">
        <v>0.32600000000000001</v>
      </c>
      <c r="D11" s="21">
        <v>0.34300000000000003</v>
      </c>
      <c r="E11" s="21">
        <v>0.36099999999999999</v>
      </c>
      <c r="F11" s="21">
        <v>0.379</v>
      </c>
      <c r="G11" s="21">
        <v>0.39800000000000002</v>
      </c>
      <c r="H11" s="21">
        <v>0.41899999999999998</v>
      </c>
      <c r="I11" s="21">
        <v>0.44</v>
      </c>
      <c r="J11" s="21">
        <v>0.46200000000000002</v>
      </c>
      <c r="K11" s="21">
        <v>0.48599999999999999</v>
      </c>
      <c r="L11" s="21">
        <v>0.51100000000000001</v>
      </c>
      <c r="M11" s="21">
        <v>0.53700000000000003</v>
      </c>
      <c r="N11" s="21">
        <v>0.56399999999999995</v>
      </c>
      <c r="O11" s="21">
        <v>0.59299999999999997</v>
      </c>
      <c r="P11" s="21">
        <v>0.623</v>
      </c>
      <c r="Q11" s="21">
        <v>0.65500000000000003</v>
      </c>
      <c r="R11" s="21">
        <v>0.68899999999999995</v>
      </c>
      <c r="S11" s="21">
        <v>0.72399999999999998</v>
      </c>
      <c r="T11" s="21">
        <v>0.76100000000000001</v>
      </c>
      <c r="U11" s="21">
        <v>0.8</v>
      </c>
      <c r="V11" s="21">
        <v>0.84</v>
      </c>
      <c r="W11" s="21">
        <v>0.88300000000000001</v>
      </c>
      <c r="X11" s="21">
        <v>0.92800000000000005</v>
      </c>
      <c r="Y11" s="21">
        <v>0.97599999999999998</v>
      </c>
      <c r="Z11" s="21">
        <v>1.0249999999999999</v>
      </c>
      <c r="AA11" s="21">
        <v>1.0780000000000001</v>
      </c>
      <c r="AB11" s="21">
        <v>1.133</v>
      </c>
      <c r="AC11" s="21">
        <v>1.19</v>
      </c>
      <c r="AD11" s="21">
        <v>1.2509999999999999</v>
      </c>
      <c r="AE11" s="21">
        <v>1.3149999999999999</v>
      </c>
      <c r="AF11" s="21">
        <v>1.3819999999999999</v>
      </c>
      <c r="AG11" s="21">
        <v>1.4530000000000001</v>
      </c>
      <c r="AH11" s="21">
        <v>1.5269999999999999</v>
      </c>
      <c r="AI11" s="21">
        <v>1.605</v>
      </c>
      <c r="AJ11" s="21">
        <v>1.6870000000000001</v>
      </c>
      <c r="AK11" s="21">
        <v>1.7729999999999999</v>
      </c>
      <c r="AL11" s="21">
        <v>1.863</v>
      </c>
      <c r="AM11" s="21">
        <v>1.958</v>
      </c>
      <c r="AN11" s="21">
        <v>2.0579999999999998</v>
      </c>
      <c r="AO11" s="21">
        <v>2.1629999999999998</v>
      </c>
      <c r="AP11" s="21">
        <v>2.2730000000000001</v>
      </c>
      <c r="AQ11" s="21">
        <v>2.3879999999999999</v>
      </c>
      <c r="AR11" s="21">
        <v>2.5089999999999999</v>
      </c>
      <c r="AS11" s="21">
        <v>2.6360000000000001</v>
      </c>
      <c r="AT11" s="22">
        <v>2.8140000000000001</v>
      </c>
      <c r="AU11" s="22">
        <v>2.8330000000000002</v>
      </c>
      <c r="AV11" s="21">
        <v>2.976</v>
      </c>
      <c r="AW11" s="21">
        <v>3.1269999999999998</v>
      </c>
      <c r="AX11" s="21">
        <v>3.2850000000000001</v>
      </c>
      <c r="AY11" s="21">
        <v>3.746</v>
      </c>
      <c r="AZ11" s="21">
        <v>3.9359999999999999</v>
      </c>
      <c r="BA11" s="21">
        <v>4.1319999999999997</v>
      </c>
      <c r="BB11" s="23">
        <v>4.3440000000000003</v>
      </c>
      <c r="BC11" s="20"/>
      <c r="BD11" s="24" t="s">
        <v>49</v>
      </c>
      <c r="BE11" s="20" t="s">
        <v>6</v>
      </c>
      <c r="BF11" s="25">
        <f t="shared" si="2"/>
        <v>1232.515337423313</v>
      </c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5"/>
      <c r="CC11" s="25"/>
      <c r="CD11" s="25"/>
      <c r="CE11" s="25"/>
      <c r="CF11" s="25"/>
      <c r="CG11" s="25"/>
      <c r="CH11" s="25"/>
      <c r="CI11" s="25"/>
      <c r="CJ11" s="25"/>
      <c r="CK11" s="25"/>
      <c r="CL11" s="25"/>
      <c r="CM11" s="25"/>
      <c r="CN11" s="25"/>
      <c r="CO11" s="25"/>
      <c r="CP11" s="25"/>
      <c r="CQ11" s="25"/>
      <c r="CR11" s="25"/>
      <c r="CS11" s="25"/>
      <c r="CT11" s="25"/>
      <c r="CU11" s="25"/>
      <c r="CV11" s="25"/>
      <c r="CW11" s="25"/>
      <c r="CX11" s="25"/>
      <c r="CY11" s="25"/>
      <c r="CZ11" s="25"/>
      <c r="DA11" s="25"/>
      <c r="DB11" s="25"/>
      <c r="DC11" s="25"/>
      <c r="DD11" s="25"/>
      <c r="DE11" s="25"/>
      <c r="DF11" s="25"/>
      <c r="DG11" s="25"/>
      <c r="DH11" s="25"/>
      <c r="DI11" s="25"/>
      <c r="DJ11" s="25"/>
      <c r="DK11" s="25"/>
      <c r="DL11" s="25"/>
      <c r="DM11" s="25"/>
      <c r="DN11" s="25"/>
      <c r="DO11" s="25"/>
      <c r="DP11" s="25"/>
      <c r="DQ11" s="25"/>
      <c r="DR11" s="25"/>
      <c r="DS11" s="25"/>
      <c r="DT11" s="25"/>
      <c r="DU11" s="25"/>
      <c r="DV11" s="25"/>
      <c r="DW11" s="25"/>
      <c r="DX11" s="25"/>
      <c r="DY11" s="25"/>
      <c r="DZ11" s="25"/>
      <c r="EA11" s="25"/>
      <c r="EB11" s="25"/>
      <c r="EC11" s="25"/>
      <c r="ED11" s="25"/>
      <c r="EE11" s="25"/>
      <c r="EF11" s="25"/>
      <c r="EG11" s="25"/>
      <c r="EH11" s="25"/>
      <c r="EI11" s="25"/>
      <c r="EJ11" s="25"/>
      <c r="EK11" s="25"/>
      <c r="EL11" s="25"/>
      <c r="EM11" s="25"/>
      <c r="EN11" s="25"/>
      <c r="EO11" s="25"/>
      <c r="EP11" s="25"/>
      <c r="EQ11" s="25"/>
      <c r="ER11" s="25"/>
      <c r="ES11" s="25"/>
      <c r="ET11" s="25"/>
      <c r="EU11" s="25"/>
      <c r="EV11" s="25"/>
      <c r="EW11" s="25"/>
      <c r="EX11" s="25"/>
      <c r="EY11" s="25"/>
    </row>
    <row r="12" spans="1:155" ht="14" x14ac:dyDescent="0.15">
      <c r="A12" s="19">
        <v>9</v>
      </c>
      <c r="B12" s="20" t="s">
        <v>7</v>
      </c>
      <c r="C12" s="20">
        <v>3.92</v>
      </c>
      <c r="D12" s="20">
        <v>3.95</v>
      </c>
      <c r="E12" s="20">
        <v>3.97</v>
      </c>
      <c r="F12" s="20">
        <v>3.99</v>
      </c>
      <c r="G12" s="20">
        <v>4.01</v>
      </c>
      <c r="H12" s="20">
        <v>4.03</v>
      </c>
      <c r="I12" s="20">
        <v>4.05</v>
      </c>
      <c r="J12" s="20">
        <v>4.08</v>
      </c>
      <c r="K12" s="20">
        <v>4.1100000000000003</v>
      </c>
      <c r="L12" s="20">
        <v>4.13</v>
      </c>
      <c r="M12" s="20">
        <v>4.1500000000000004</v>
      </c>
      <c r="N12" s="20">
        <v>4.17</v>
      </c>
      <c r="O12" s="20">
        <v>4.1900000000000004</v>
      </c>
      <c r="P12" s="20">
        <v>4.21</v>
      </c>
      <c r="Q12" s="20">
        <v>4.2300000000000004</v>
      </c>
      <c r="R12" s="20">
        <v>4.26</v>
      </c>
      <c r="S12" s="20">
        <v>4.28</v>
      </c>
      <c r="T12" s="20">
        <v>4.3</v>
      </c>
      <c r="U12" s="20">
        <v>4.32</v>
      </c>
      <c r="V12" s="20">
        <v>4.3499999999999996</v>
      </c>
      <c r="W12" s="20">
        <v>4.37</v>
      </c>
      <c r="X12" s="20">
        <v>4.3899999999999997</v>
      </c>
      <c r="Y12" s="20">
        <v>4.41</v>
      </c>
      <c r="Z12" s="20">
        <v>4.4400000000000004</v>
      </c>
      <c r="AA12" s="20">
        <v>4.46</v>
      </c>
      <c r="AB12" s="20">
        <v>4.4800000000000004</v>
      </c>
      <c r="AC12" s="20">
        <v>4.5</v>
      </c>
      <c r="AD12" s="20">
        <v>4.53</v>
      </c>
      <c r="AE12" s="20">
        <v>4.55</v>
      </c>
      <c r="AF12" s="20">
        <v>4.58</v>
      </c>
      <c r="AG12" s="20">
        <v>4.5999999999999996</v>
      </c>
      <c r="AH12" s="20">
        <v>4.62</v>
      </c>
      <c r="AI12" s="20">
        <v>4.6500000000000004</v>
      </c>
      <c r="AJ12" s="20">
        <v>4.67</v>
      </c>
      <c r="AK12" s="20">
        <v>4.6900000000000004</v>
      </c>
      <c r="AL12" s="20">
        <v>4.72</v>
      </c>
      <c r="AM12" s="20">
        <v>4.74</v>
      </c>
      <c r="AN12" s="20">
        <v>4.7699999999999996</v>
      </c>
      <c r="AO12" s="20">
        <v>4.79</v>
      </c>
      <c r="AP12" s="20">
        <v>4.82</v>
      </c>
      <c r="AQ12" s="20">
        <v>4.84</v>
      </c>
      <c r="AR12" s="20">
        <v>4.87</v>
      </c>
      <c r="AS12" s="20">
        <v>4.8899999999999997</v>
      </c>
      <c r="AT12" s="20">
        <v>4.92</v>
      </c>
      <c r="AU12" s="20">
        <v>4.9400000000000004</v>
      </c>
      <c r="AV12" s="20">
        <v>4.97</v>
      </c>
      <c r="AW12" s="20">
        <v>5.19</v>
      </c>
      <c r="AX12" s="20">
        <v>4.5199999999999996</v>
      </c>
      <c r="AY12" s="20">
        <v>5.0599999999999996</v>
      </c>
      <c r="AZ12" s="20">
        <v>5.51</v>
      </c>
      <c r="BA12" s="20">
        <v>5.31</v>
      </c>
      <c r="BB12" s="20">
        <v>5.38</v>
      </c>
      <c r="BC12" s="20"/>
      <c r="BD12" s="24" t="s">
        <v>49</v>
      </c>
      <c r="BE12" s="20" t="s">
        <v>7</v>
      </c>
      <c r="BF12" s="25">
        <f t="shared" si="2"/>
        <v>37.244897959183675</v>
      </c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  <c r="CK12" s="25"/>
      <c r="CL12" s="25"/>
      <c r="CM12" s="25"/>
      <c r="CN12" s="25"/>
      <c r="CO12" s="25"/>
      <c r="CP12" s="25"/>
      <c r="CQ12" s="25"/>
      <c r="CR12" s="25"/>
      <c r="CS12" s="25"/>
      <c r="CT12" s="25"/>
      <c r="CU12" s="25"/>
      <c r="CV12" s="25"/>
      <c r="CW12" s="25"/>
      <c r="CX12" s="25"/>
      <c r="CY12" s="25"/>
      <c r="CZ12" s="25"/>
      <c r="DA12" s="25"/>
      <c r="DB12" s="25"/>
      <c r="DC12" s="25"/>
      <c r="DD12" s="25"/>
      <c r="DE12" s="25"/>
      <c r="DF12" s="25"/>
      <c r="DG12" s="25"/>
      <c r="DH12" s="25"/>
      <c r="DI12" s="25"/>
      <c r="DJ12" s="25"/>
      <c r="DK12" s="25"/>
      <c r="DL12" s="25"/>
      <c r="DM12" s="25"/>
      <c r="DN12" s="25"/>
      <c r="DO12" s="25"/>
      <c r="DP12" s="25"/>
      <c r="DQ12" s="25"/>
      <c r="DR12" s="25"/>
      <c r="DS12" s="25"/>
      <c r="DT12" s="25"/>
      <c r="DU12" s="25"/>
      <c r="DV12" s="25"/>
      <c r="DW12" s="25"/>
      <c r="DX12" s="25"/>
      <c r="DY12" s="25"/>
      <c r="DZ12" s="25"/>
      <c r="EA12" s="25"/>
      <c r="EB12" s="25"/>
      <c r="EC12" s="25"/>
      <c r="ED12" s="25"/>
      <c r="EE12" s="25"/>
      <c r="EF12" s="25"/>
      <c r="EG12" s="25"/>
      <c r="EH12" s="25"/>
      <c r="EI12" s="25"/>
      <c r="EJ12" s="25"/>
      <c r="EK12" s="25"/>
      <c r="EL12" s="25"/>
      <c r="EM12" s="25"/>
      <c r="EN12" s="25"/>
      <c r="EO12" s="25"/>
      <c r="EP12" s="25"/>
      <c r="EQ12" s="25"/>
      <c r="ER12" s="25"/>
      <c r="ES12" s="25"/>
      <c r="ET12" s="25"/>
      <c r="EU12" s="25"/>
      <c r="EV12" s="25"/>
      <c r="EW12" s="25"/>
      <c r="EX12" s="25"/>
      <c r="EY12" s="25"/>
    </row>
    <row r="13" spans="1:155" ht="14" hidden="1" x14ac:dyDescent="0.15">
      <c r="A13" s="19">
        <v>10</v>
      </c>
      <c r="B13" s="20" t="s">
        <v>8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4" t="s">
        <v>49</v>
      </c>
      <c r="BE13" s="20" t="s">
        <v>8</v>
      </c>
      <c r="BF13" s="25" t="e">
        <f t="shared" si="2"/>
        <v>#DIV/0!</v>
      </c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5"/>
      <c r="CJ13" s="25"/>
      <c r="CK13" s="25"/>
      <c r="CL13" s="25"/>
      <c r="CM13" s="25"/>
      <c r="CN13" s="25"/>
      <c r="CO13" s="25"/>
      <c r="CP13" s="25"/>
      <c r="CQ13" s="25"/>
      <c r="CR13" s="25"/>
      <c r="CS13" s="25"/>
      <c r="CT13" s="25"/>
      <c r="CU13" s="25"/>
      <c r="CV13" s="25"/>
      <c r="CW13" s="25"/>
      <c r="CX13" s="25"/>
      <c r="CY13" s="25"/>
      <c r="CZ13" s="25"/>
      <c r="DA13" s="25"/>
      <c r="DB13" s="25"/>
      <c r="DC13" s="25"/>
      <c r="DD13" s="25"/>
      <c r="DE13" s="25"/>
      <c r="DF13" s="25"/>
      <c r="DG13" s="25"/>
      <c r="DH13" s="25"/>
      <c r="DI13" s="25"/>
      <c r="DJ13" s="25"/>
      <c r="DK13" s="25"/>
      <c r="DL13" s="25"/>
      <c r="DM13" s="25"/>
      <c r="DN13" s="25"/>
      <c r="DO13" s="25"/>
      <c r="DP13" s="25"/>
      <c r="DQ13" s="25"/>
      <c r="DR13" s="25"/>
      <c r="DS13" s="25"/>
      <c r="DT13" s="25"/>
      <c r="DU13" s="25"/>
      <c r="DV13" s="25"/>
      <c r="DW13" s="25"/>
      <c r="DX13" s="25"/>
      <c r="DY13" s="25"/>
      <c r="DZ13" s="25"/>
      <c r="EA13" s="25"/>
      <c r="EB13" s="25"/>
      <c r="EC13" s="25"/>
      <c r="ED13" s="25"/>
      <c r="EE13" s="25"/>
      <c r="EF13" s="25"/>
      <c r="EG13" s="25"/>
      <c r="EH13" s="25"/>
      <c r="EI13" s="25"/>
      <c r="EJ13" s="25"/>
      <c r="EK13" s="25"/>
      <c r="EL13" s="25"/>
      <c r="EM13" s="25"/>
      <c r="EN13" s="25"/>
      <c r="EO13" s="25"/>
      <c r="EP13" s="25"/>
      <c r="EQ13" s="25"/>
      <c r="ER13" s="25"/>
      <c r="ES13" s="25"/>
      <c r="ET13" s="25"/>
      <c r="EU13" s="25"/>
      <c r="EV13" s="25"/>
      <c r="EW13" s="25"/>
      <c r="EX13" s="25"/>
      <c r="EY13" s="25"/>
    </row>
    <row r="14" spans="1:155" ht="14" hidden="1" x14ac:dyDescent="0.15">
      <c r="A14" s="19">
        <v>11</v>
      </c>
      <c r="B14" s="20" t="s">
        <v>9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4" t="s">
        <v>49</v>
      </c>
      <c r="BE14" s="20" t="s">
        <v>9</v>
      </c>
      <c r="BF14" s="25" t="e">
        <f t="shared" si="2"/>
        <v>#DIV/0!</v>
      </c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  <c r="CK14" s="25"/>
      <c r="CL14" s="25"/>
      <c r="CM14" s="25"/>
      <c r="CN14" s="25"/>
      <c r="CO14" s="25"/>
      <c r="CP14" s="25"/>
      <c r="CQ14" s="25"/>
      <c r="CR14" s="25"/>
      <c r="CS14" s="25"/>
      <c r="CT14" s="25"/>
      <c r="CU14" s="25"/>
      <c r="CV14" s="25"/>
      <c r="CW14" s="25"/>
      <c r="CX14" s="25"/>
      <c r="CY14" s="25"/>
      <c r="CZ14" s="25"/>
      <c r="DA14" s="25"/>
      <c r="DB14" s="25"/>
      <c r="DC14" s="25"/>
      <c r="DD14" s="25"/>
      <c r="DE14" s="25"/>
      <c r="DF14" s="25"/>
      <c r="DG14" s="25"/>
      <c r="DH14" s="25"/>
      <c r="DI14" s="25"/>
      <c r="DJ14" s="25"/>
      <c r="DK14" s="25"/>
      <c r="DL14" s="25"/>
      <c r="DM14" s="25"/>
      <c r="DN14" s="25"/>
      <c r="DO14" s="25"/>
      <c r="DP14" s="25"/>
      <c r="DQ14" s="25"/>
      <c r="DR14" s="25"/>
      <c r="DS14" s="25"/>
      <c r="DT14" s="25"/>
      <c r="DU14" s="25"/>
      <c r="DV14" s="25"/>
      <c r="DW14" s="25"/>
      <c r="DX14" s="25"/>
      <c r="DY14" s="25"/>
      <c r="DZ14" s="25"/>
      <c r="EA14" s="25"/>
      <c r="EB14" s="25"/>
      <c r="EC14" s="25"/>
      <c r="ED14" s="25"/>
      <c r="EE14" s="25"/>
      <c r="EF14" s="25"/>
      <c r="EG14" s="25"/>
      <c r="EH14" s="25"/>
      <c r="EI14" s="25"/>
      <c r="EJ14" s="25"/>
      <c r="EK14" s="25"/>
      <c r="EL14" s="25"/>
      <c r="EM14" s="25"/>
      <c r="EN14" s="25"/>
      <c r="EO14" s="25"/>
      <c r="EP14" s="25"/>
      <c r="EQ14" s="25"/>
      <c r="ER14" s="25"/>
      <c r="ES14" s="25"/>
      <c r="ET14" s="25"/>
      <c r="EU14" s="25"/>
      <c r="EV14" s="25"/>
      <c r="EW14" s="25"/>
      <c r="EX14" s="25"/>
      <c r="EY14" s="25"/>
    </row>
    <row r="15" spans="1:155" ht="14" x14ac:dyDescent="0.15">
      <c r="A15" s="19">
        <v>12</v>
      </c>
      <c r="B15" s="20" t="s">
        <v>10</v>
      </c>
      <c r="C15" s="24">
        <v>0.28000000000000003</v>
      </c>
      <c r="D15" s="24">
        <v>0.28000000000000003</v>
      </c>
      <c r="E15" s="24">
        <v>0.28000000000000003</v>
      </c>
      <c r="F15" s="24">
        <v>0.28000000000000003</v>
      </c>
      <c r="G15" s="24">
        <v>0.28999999999999998</v>
      </c>
      <c r="H15" s="24">
        <v>0.28999999999999998</v>
      </c>
      <c r="I15" s="24">
        <v>0.28999999999999998</v>
      </c>
      <c r="J15" s="24">
        <v>0.28999999999999998</v>
      </c>
      <c r="K15" s="24">
        <v>0.28999999999999998</v>
      </c>
      <c r="L15" s="24">
        <v>0.28999999999999998</v>
      </c>
      <c r="M15" s="24">
        <v>0.28999999999999998</v>
      </c>
      <c r="N15" s="24">
        <v>0.28999999999999998</v>
      </c>
      <c r="O15" s="24">
        <v>0.28999999999999998</v>
      </c>
      <c r="P15" s="24">
        <v>0.28999999999999998</v>
      </c>
      <c r="Q15" s="24">
        <v>0.28999999999999998</v>
      </c>
      <c r="R15" s="24">
        <v>0.28999999999999998</v>
      </c>
      <c r="S15" s="24">
        <v>0.28999999999999998</v>
      </c>
      <c r="T15" s="24">
        <v>0.28999999999999998</v>
      </c>
      <c r="U15" s="24">
        <v>0.28999999999999998</v>
      </c>
      <c r="V15" s="24">
        <v>0.28999999999999998</v>
      </c>
      <c r="W15" s="24">
        <v>0.28999999999999998</v>
      </c>
      <c r="X15" s="24">
        <v>0.28999999999999998</v>
      </c>
      <c r="Y15" s="24">
        <v>0.28999999999999998</v>
      </c>
      <c r="Z15" s="24">
        <v>0.28999999999999998</v>
      </c>
      <c r="AA15" s="24">
        <v>0.28999999999999998</v>
      </c>
      <c r="AB15" s="24">
        <v>0.28000000000000003</v>
      </c>
      <c r="AC15" s="24">
        <v>0.28000000000000003</v>
      </c>
      <c r="AD15" s="24">
        <v>0.27</v>
      </c>
      <c r="AE15" s="24">
        <v>0.27</v>
      </c>
      <c r="AF15" s="24">
        <v>0.27</v>
      </c>
      <c r="AG15" s="24">
        <v>0.27</v>
      </c>
      <c r="AH15" s="24">
        <v>0.27</v>
      </c>
      <c r="AI15" s="24">
        <v>0.28000000000000003</v>
      </c>
      <c r="AJ15" s="24">
        <v>0.27</v>
      </c>
      <c r="AK15" s="24">
        <v>0.27</v>
      </c>
      <c r="AL15" s="24">
        <v>0.27</v>
      </c>
      <c r="AM15" s="24">
        <v>0.27</v>
      </c>
      <c r="AN15" s="24">
        <v>0.27</v>
      </c>
      <c r="AO15" s="24">
        <v>0.27</v>
      </c>
      <c r="AP15" s="24">
        <v>0.27</v>
      </c>
      <c r="AQ15" s="24">
        <v>0.26</v>
      </c>
      <c r="AR15" s="24">
        <v>0.26</v>
      </c>
      <c r="AS15" s="24">
        <v>0.26</v>
      </c>
      <c r="AT15" s="24">
        <v>0.26</v>
      </c>
      <c r="AU15" s="24">
        <v>0.26</v>
      </c>
      <c r="AV15" s="24">
        <v>0.25</v>
      </c>
      <c r="AW15" s="24">
        <v>0.24</v>
      </c>
      <c r="AX15" s="24">
        <v>0.24</v>
      </c>
      <c r="AY15" s="24">
        <v>0.23</v>
      </c>
      <c r="AZ15" s="24">
        <v>0.24</v>
      </c>
      <c r="BA15" s="24">
        <v>0.24</v>
      </c>
      <c r="BB15" s="24">
        <v>0.23</v>
      </c>
      <c r="BC15" s="20"/>
      <c r="BD15" s="24" t="s">
        <v>49</v>
      </c>
      <c r="BE15" s="20" t="s">
        <v>10</v>
      </c>
      <c r="BF15" s="25">
        <f t="shared" si="2"/>
        <v>-17.857142857142861</v>
      </c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s="25"/>
      <c r="BY15" s="25"/>
      <c r="BZ15" s="25"/>
      <c r="CA15" s="25"/>
      <c r="CB15" s="25"/>
      <c r="CC15" s="25"/>
      <c r="CD15" s="25"/>
      <c r="CE15" s="25"/>
      <c r="CF15" s="25"/>
      <c r="CG15" s="25"/>
      <c r="CH15" s="25"/>
      <c r="CI15" s="25"/>
      <c r="CJ15" s="25"/>
      <c r="CK15" s="25"/>
      <c r="CL15" s="25"/>
      <c r="CM15" s="25"/>
      <c r="CN15" s="25"/>
      <c r="CO15" s="25"/>
      <c r="CP15" s="25"/>
      <c r="CQ15" s="25"/>
      <c r="CR15" s="25"/>
      <c r="CS15" s="25"/>
      <c r="CT15" s="25"/>
      <c r="CU15" s="25"/>
      <c r="CV15" s="25"/>
      <c r="CW15" s="25"/>
      <c r="CX15" s="25"/>
      <c r="CY15" s="25"/>
      <c r="CZ15" s="25"/>
      <c r="DA15" s="25"/>
      <c r="DB15" s="25"/>
      <c r="DC15" s="25"/>
      <c r="DD15" s="25"/>
      <c r="DE15" s="25"/>
      <c r="DF15" s="25"/>
      <c r="DG15" s="25"/>
      <c r="DH15" s="25"/>
      <c r="DI15" s="25"/>
      <c r="DJ15" s="25"/>
      <c r="DK15" s="25"/>
      <c r="DL15" s="25"/>
      <c r="DM15" s="25"/>
      <c r="DN15" s="25"/>
      <c r="DO15" s="25"/>
      <c r="DP15" s="25"/>
      <c r="DQ15" s="25"/>
      <c r="DR15" s="25"/>
      <c r="DS15" s="25"/>
      <c r="DT15" s="25"/>
      <c r="DU15" s="25"/>
      <c r="DV15" s="25"/>
      <c r="DW15" s="25"/>
      <c r="DX15" s="25"/>
      <c r="DY15" s="25"/>
      <c r="DZ15" s="25"/>
      <c r="EA15" s="25"/>
      <c r="EB15" s="25"/>
      <c r="EC15" s="25"/>
      <c r="ED15" s="25"/>
      <c r="EE15" s="25"/>
      <c r="EF15" s="25"/>
      <c r="EG15" s="25"/>
      <c r="EH15" s="25"/>
      <c r="EI15" s="25"/>
      <c r="EJ15" s="25"/>
      <c r="EK15" s="25"/>
      <c r="EL15" s="25"/>
      <c r="EM15" s="25"/>
      <c r="EN15" s="25"/>
      <c r="EO15" s="25"/>
      <c r="EP15" s="25"/>
      <c r="EQ15" s="25"/>
      <c r="ER15" s="25"/>
      <c r="ES15" s="25"/>
      <c r="ET15" s="25"/>
      <c r="EU15" s="25"/>
      <c r="EV15" s="25"/>
      <c r="EW15" s="25"/>
      <c r="EX15" s="25"/>
      <c r="EY15" s="25"/>
    </row>
    <row r="16" spans="1:155" ht="14" hidden="1" x14ac:dyDescent="0.15">
      <c r="A16" s="19">
        <v>13</v>
      </c>
      <c r="B16" s="20" t="s">
        <v>11</v>
      </c>
      <c r="C16" s="20"/>
      <c r="D16" s="20"/>
      <c r="E16" s="20"/>
      <c r="F16" s="20"/>
      <c r="G16" s="20"/>
      <c r="H16" s="20"/>
      <c r="I16" s="20"/>
      <c r="J16" s="20"/>
      <c r="K16" s="24"/>
      <c r="L16" s="20"/>
      <c r="M16" s="20"/>
      <c r="N16" s="20">
        <v>2.4300000000000002</v>
      </c>
      <c r="O16" s="20">
        <v>4.09</v>
      </c>
      <c r="P16" s="20">
        <v>3.87</v>
      </c>
      <c r="Q16" s="20">
        <v>2.66</v>
      </c>
      <c r="R16" s="20">
        <v>2.29</v>
      </c>
      <c r="S16" s="20">
        <v>2.4300000000000002</v>
      </c>
      <c r="T16" s="20">
        <v>2.4700000000000002</v>
      </c>
      <c r="U16" s="20">
        <v>3.44</v>
      </c>
      <c r="V16" s="20">
        <v>3.65</v>
      </c>
      <c r="W16" s="20">
        <v>3.64</v>
      </c>
      <c r="X16" s="20">
        <v>3.64</v>
      </c>
      <c r="Y16" s="20">
        <v>3.35</v>
      </c>
      <c r="Z16" s="20">
        <v>2.0499999999999998</v>
      </c>
      <c r="AA16" s="20">
        <v>2</v>
      </c>
      <c r="AB16" s="20">
        <v>2.0499999999999998</v>
      </c>
      <c r="AC16" s="20">
        <v>1.67</v>
      </c>
      <c r="AD16" s="20">
        <v>1.46</v>
      </c>
      <c r="AE16" s="20">
        <v>1.28</v>
      </c>
      <c r="AF16" s="20">
        <v>0.7</v>
      </c>
      <c r="AG16" s="20">
        <v>0.94</v>
      </c>
      <c r="AH16" s="20">
        <v>1.1000000000000001</v>
      </c>
      <c r="AI16" s="20">
        <v>1.02</v>
      </c>
      <c r="AJ16" s="20">
        <v>1.17</v>
      </c>
      <c r="AK16" s="20">
        <v>1.23</v>
      </c>
      <c r="AL16" s="20">
        <v>1.21</v>
      </c>
      <c r="AM16" s="20">
        <v>1.32</v>
      </c>
      <c r="AN16" s="20">
        <v>1.32</v>
      </c>
      <c r="AO16" s="20">
        <v>1</v>
      </c>
      <c r="AP16" s="20">
        <v>0.94</v>
      </c>
      <c r="AQ16" s="20">
        <v>0.24</v>
      </c>
      <c r="AR16" s="20">
        <v>0.13</v>
      </c>
      <c r="AS16" s="20">
        <v>0.43</v>
      </c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4" t="s">
        <v>49</v>
      </c>
      <c r="BE16" s="20" t="s">
        <v>11</v>
      </c>
      <c r="BF16" s="25" t="e">
        <f t="shared" si="2"/>
        <v>#DIV/0!</v>
      </c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5"/>
      <c r="CK16" s="25"/>
      <c r="CL16" s="25"/>
      <c r="CM16" s="25"/>
      <c r="CN16" s="25"/>
      <c r="CO16" s="25"/>
      <c r="CP16" s="25"/>
      <c r="CQ16" s="25"/>
      <c r="CR16" s="25"/>
      <c r="CS16" s="25"/>
      <c r="CT16" s="25"/>
      <c r="CU16" s="25"/>
      <c r="CV16" s="25"/>
      <c r="CW16" s="25"/>
      <c r="CX16" s="25"/>
      <c r="CY16" s="25"/>
      <c r="CZ16" s="25"/>
      <c r="DA16" s="25"/>
      <c r="DB16" s="25"/>
      <c r="DC16" s="25"/>
      <c r="DD16" s="25"/>
      <c r="DE16" s="25"/>
      <c r="DF16" s="25"/>
      <c r="DG16" s="25"/>
      <c r="DH16" s="25"/>
      <c r="DI16" s="25"/>
      <c r="DJ16" s="25"/>
      <c r="DK16" s="25"/>
      <c r="DL16" s="25"/>
      <c r="DM16" s="25"/>
      <c r="DN16" s="25"/>
      <c r="DO16" s="25"/>
      <c r="DP16" s="25"/>
      <c r="DQ16" s="25"/>
      <c r="DR16" s="25"/>
      <c r="DS16" s="25"/>
      <c r="DT16" s="25"/>
      <c r="DU16" s="25"/>
      <c r="DV16" s="25"/>
      <c r="DW16" s="25"/>
      <c r="DX16" s="25"/>
      <c r="DY16" s="25"/>
      <c r="DZ16" s="25"/>
      <c r="EA16" s="25"/>
      <c r="EB16" s="25"/>
      <c r="EC16" s="25"/>
      <c r="ED16" s="25"/>
      <c r="EE16" s="25"/>
      <c r="EF16" s="25"/>
      <c r="EG16" s="25"/>
      <c r="EH16" s="25"/>
      <c r="EI16" s="25"/>
      <c r="EJ16" s="25"/>
      <c r="EK16" s="25"/>
      <c r="EL16" s="25"/>
      <c r="EM16" s="25"/>
      <c r="EN16" s="25"/>
      <c r="EO16" s="25"/>
      <c r="EP16" s="25"/>
      <c r="EQ16" s="25"/>
      <c r="ER16" s="25"/>
      <c r="ES16" s="25"/>
      <c r="ET16" s="25"/>
      <c r="EU16" s="25"/>
      <c r="EV16" s="25"/>
      <c r="EW16" s="25"/>
      <c r="EX16" s="25"/>
      <c r="EY16" s="25"/>
    </row>
    <row r="17" spans="1:155" ht="14" x14ac:dyDescent="0.15">
      <c r="A17" s="19">
        <v>14</v>
      </c>
      <c r="B17" s="20" t="s">
        <v>12</v>
      </c>
      <c r="C17" s="20">
        <v>34.51</v>
      </c>
      <c r="D17" s="20">
        <v>37.11</v>
      </c>
      <c r="E17" s="20">
        <v>39.72</v>
      </c>
      <c r="F17" s="20">
        <v>42.32</v>
      </c>
      <c r="G17" s="20">
        <v>44.93</v>
      </c>
      <c r="H17" s="20">
        <v>47.53</v>
      </c>
      <c r="I17" s="20">
        <v>50.14</v>
      </c>
      <c r="J17" s="20">
        <v>52.74</v>
      </c>
      <c r="K17" s="20">
        <v>55.35</v>
      </c>
      <c r="L17" s="20">
        <v>58.66</v>
      </c>
      <c r="M17" s="20">
        <v>60.62</v>
      </c>
      <c r="N17" s="20">
        <v>64.53</v>
      </c>
      <c r="O17" s="20">
        <v>70.53</v>
      </c>
      <c r="P17" s="20">
        <v>73.27</v>
      </c>
      <c r="Q17" s="20">
        <v>74.25</v>
      </c>
      <c r="R17" s="20">
        <v>80.069999999999993</v>
      </c>
      <c r="S17" s="20">
        <v>78.25</v>
      </c>
      <c r="T17" s="20">
        <v>80.7</v>
      </c>
      <c r="U17" s="20">
        <v>84.66</v>
      </c>
      <c r="V17" s="20">
        <v>84.79</v>
      </c>
      <c r="W17" s="20">
        <v>87.31</v>
      </c>
      <c r="X17" s="20">
        <v>82.42</v>
      </c>
      <c r="Y17" s="20">
        <v>85.05</v>
      </c>
      <c r="Z17" s="20">
        <v>89.95</v>
      </c>
      <c r="AA17" s="20">
        <v>90.4</v>
      </c>
      <c r="AB17" s="20">
        <v>94.42</v>
      </c>
      <c r="AC17" s="20">
        <v>98.53</v>
      </c>
      <c r="AD17" s="20">
        <v>103.92</v>
      </c>
      <c r="AE17" s="20">
        <v>106.01</v>
      </c>
      <c r="AF17" s="20">
        <v>106.57</v>
      </c>
      <c r="AG17" s="20">
        <v>108.08</v>
      </c>
      <c r="AH17" s="20">
        <v>109.71</v>
      </c>
      <c r="AI17" s="20">
        <v>112.2</v>
      </c>
      <c r="AJ17" s="20">
        <v>116.39</v>
      </c>
      <c r="AK17" s="20">
        <v>120.56</v>
      </c>
      <c r="AL17" s="20">
        <v>123.61</v>
      </c>
      <c r="AM17" s="20">
        <v>131.51</v>
      </c>
      <c r="AN17" s="20">
        <v>134.04</v>
      </c>
      <c r="AO17" s="20">
        <v>136.49</v>
      </c>
      <c r="AP17" s="20">
        <v>139.16</v>
      </c>
      <c r="AQ17" s="20">
        <v>141.04</v>
      </c>
      <c r="AR17" s="20">
        <v>143.96</v>
      </c>
      <c r="AS17" s="20">
        <v>149.84</v>
      </c>
      <c r="AT17" s="20">
        <v>151.37</v>
      </c>
      <c r="AU17" s="20">
        <v>153.13999999999999</v>
      </c>
      <c r="AV17" s="20">
        <v>157.22</v>
      </c>
      <c r="AW17" s="20">
        <v>158.27000000000001</v>
      </c>
      <c r="AX17" s="20">
        <v>160.84</v>
      </c>
      <c r="AY17" s="20">
        <v>157.63</v>
      </c>
      <c r="AZ17" s="20">
        <v>158.05000000000001</v>
      </c>
      <c r="BA17" s="20">
        <v>157.21</v>
      </c>
      <c r="BB17" s="20">
        <v>175.15</v>
      </c>
      <c r="BC17" s="20"/>
      <c r="BD17" s="24" t="s">
        <v>49</v>
      </c>
      <c r="BE17" s="20" t="s">
        <v>12</v>
      </c>
      <c r="BF17" s="25">
        <f t="shared" si="2"/>
        <v>407.53404810199953</v>
      </c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25"/>
      <c r="EH17" s="25"/>
      <c r="EI17" s="25"/>
      <c r="EJ17" s="25"/>
      <c r="EK17" s="25"/>
      <c r="EL17" s="25"/>
      <c r="EM17" s="25"/>
      <c r="EN17" s="25"/>
      <c r="EO17" s="25"/>
      <c r="EP17" s="25"/>
      <c r="EQ17" s="25"/>
      <c r="ER17" s="25"/>
      <c r="ES17" s="25"/>
      <c r="ET17" s="25"/>
      <c r="EU17" s="25"/>
      <c r="EV17" s="25"/>
      <c r="EW17" s="25"/>
      <c r="EX17" s="25"/>
      <c r="EY17" s="25"/>
    </row>
    <row r="18" spans="1:155" ht="14" x14ac:dyDescent="0.15">
      <c r="A18" s="19">
        <v>15</v>
      </c>
      <c r="B18" s="20" t="s">
        <v>13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>
        <v>19.12</v>
      </c>
      <c r="V18" s="20">
        <v>19.78</v>
      </c>
      <c r="W18" s="20">
        <v>20.420000000000002</v>
      </c>
      <c r="X18" s="20">
        <v>21.03</v>
      </c>
      <c r="Y18" s="20">
        <v>21.63</v>
      </c>
      <c r="Z18" s="20">
        <v>22.2</v>
      </c>
      <c r="AA18" s="20">
        <v>22.74</v>
      </c>
      <c r="AB18" s="20">
        <v>23.27</v>
      </c>
      <c r="AC18" s="20">
        <v>23.77</v>
      </c>
      <c r="AD18" s="20">
        <v>24.25</v>
      </c>
      <c r="AE18" s="20">
        <v>24.7</v>
      </c>
      <c r="AF18" s="20">
        <v>25.14</v>
      </c>
      <c r="AG18" s="20">
        <v>25.55</v>
      </c>
      <c r="AH18" s="20">
        <v>25.94</v>
      </c>
      <c r="AI18" s="20">
        <v>26.3</v>
      </c>
      <c r="AJ18" s="20">
        <v>26.82</v>
      </c>
      <c r="AK18" s="20">
        <v>27.14</v>
      </c>
      <c r="AL18" s="20">
        <v>27.39</v>
      </c>
      <c r="AM18" s="20">
        <v>27.63</v>
      </c>
      <c r="AN18" s="20">
        <v>27.83</v>
      </c>
      <c r="AO18" s="20">
        <v>28.01</v>
      </c>
      <c r="AP18" s="20">
        <v>28.15</v>
      </c>
      <c r="AQ18" s="20">
        <v>28.3</v>
      </c>
      <c r="AR18" s="20">
        <v>28.43</v>
      </c>
      <c r="AS18" s="20">
        <v>28.56</v>
      </c>
      <c r="AT18" s="20">
        <v>28.69</v>
      </c>
      <c r="AU18" s="20">
        <v>28.82</v>
      </c>
      <c r="AV18" s="20">
        <v>28.97</v>
      </c>
      <c r="AW18" s="20">
        <v>29.1</v>
      </c>
      <c r="AX18" s="20">
        <v>29.21</v>
      </c>
      <c r="AY18" s="20">
        <v>29.29</v>
      </c>
      <c r="AZ18" s="20">
        <v>29.38</v>
      </c>
      <c r="BA18" s="20">
        <v>29.46</v>
      </c>
      <c r="BB18" s="20">
        <v>29.53</v>
      </c>
      <c r="BC18" s="20"/>
      <c r="BD18" s="24" t="s">
        <v>49</v>
      </c>
      <c r="BE18" s="20" t="s">
        <v>13</v>
      </c>
      <c r="BF18" s="26">
        <f>((BB18-U18)/U18)*100</f>
        <v>54.445606694560666</v>
      </c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5"/>
      <c r="CK18" s="25"/>
      <c r="CL18" s="25"/>
      <c r="CM18" s="25"/>
      <c r="CN18" s="25"/>
      <c r="CO18" s="25"/>
      <c r="CP18" s="25"/>
      <c r="CQ18" s="25"/>
      <c r="CR18" s="25"/>
      <c r="CS18" s="25"/>
      <c r="CT18" s="25"/>
      <c r="CU18" s="25"/>
      <c r="CV18" s="25"/>
      <c r="CW18" s="25"/>
      <c r="CX18" s="25"/>
      <c r="CY18" s="25"/>
      <c r="CZ18" s="25"/>
      <c r="DA18" s="25"/>
      <c r="DB18" s="25"/>
      <c r="DC18" s="25"/>
      <c r="DD18" s="25"/>
      <c r="DE18" s="25"/>
      <c r="DF18" s="25"/>
      <c r="DG18" s="25"/>
      <c r="DH18" s="25"/>
      <c r="DI18" s="25"/>
      <c r="DJ18" s="25"/>
      <c r="DK18" s="25"/>
      <c r="DL18" s="25"/>
      <c r="DM18" s="25"/>
      <c r="DN18" s="25"/>
      <c r="DO18" s="25"/>
      <c r="DP18" s="25"/>
      <c r="DQ18" s="25"/>
      <c r="DR18" s="25"/>
      <c r="DS18" s="25"/>
      <c r="DT18" s="25"/>
      <c r="DU18" s="25"/>
      <c r="DV18" s="25"/>
      <c r="DW18" s="25"/>
      <c r="DX18" s="25"/>
      <c r="DY18" s="25"/>
      <c r="DZ18" s="25"/>
      <c r="EA18" s="25"/>
      <c r="EB18" s="25"/>
      <c r="EC18" s="25"/>
      <c r="ED18" s="25"/>
      <c r="EE18" s="25"/>
      <c r="EF18" s="25"/>
      <c r="EG18" s="25"/>
      <c r="EH18" s="25"/>
      <c r="EI18" s="25"/>
      <c r="EJ18" s="25"/>
      <c r="EK18" s="25"/>
      <c r="EL18" s="25"/>
      <c r="EM18" s="25"/>
      <c r="EN18" s="25"/>
      <c r="EO18" s="25"/>
      <c r="EP18" s="25"/>
      <c r="EQ18" s="25"/>
      <c r="ER18" s="25"/>
      <c r="ES18" s="25"/>
      <c r="ET18" s="25"/>
      <c r="EU18" s="25"/>
      <c r="EV18" s="25"/>
      <c r="EW18" s="25"/>
      <c r="EX18" s="25"/>
      <c r="EY18" s="25"/>
    </row>
    <row r="19" spans="1:155" ht="14" x14ac:dyDescent="0.15">
      <c r="A19" s="19">
        <v>16</v>
      </c>
      <c r="B19" s="20" t="s">
        <v>14</v>
      </c>
      <c r="C19" s="20">
        <v>4.9000000000000004</v>
      </c>
      <c r="D19" s="20">
        <v>6.79</v>
      </c>
      <c r="E19" s="20">
        <v>8.68</v>
      </c>
      <c r="F19" s="20">
        <v>10.57</v>
      </c>
      <c r="G19" s="20">
        <v>12.47</v>
      </c>
      <c r="H19" s="20">
        <v>14.36</v>
      </c>
      <c r="I19" s="20">
        <v>16.25</v>
      </c>
      <c r="J19" s="20">
        <v>18.14</v>
      </c>
      <c r="K19" s="20">
        <v>20.03</v>
      </c>
      <c r="L19" s="20">
        <v>21.93</v>
      </c>
      <c r="M19" s="20">
        <v>23.82</v>
      </c>
      <c r="N19" s="20">
        <v>25.71</v>
      </c>
      <c r="O19" s="20">
        <v>27.6</v>
      </c>
      <c r="P19" s="20">
        <v>29.5</v>
      </c>
      <c r="Q19" s="20">
        <v>31.39</v>
      </c>
      <c r="R19" s="20">
        <v>35.090000000000003</v>
      </c>
      <c r="S19" s="20">
        <v>36.67</v>
      </c>
      <c r="T19" s="20">
        <v>38.340000000000003</v>
      </c>
      <c r="U19" s="20">
        <v>41.26</v>
      </c>
      <c r="V19" s="20">
        <v>42.23</v>
      </c>
      <c r="W19" s="20">
        <v>45.34</v>
      </c>
      <c r="X19" s="20">
        <v>44.3</v>
      </c>
      <c r="Y19" s="20">
        <v>45.76</v>
      </c>
      <c r="Z19" s="20">
        <v>48.38</v>
      </c>
      <c r="AA19" s="20">
        <v>48.29</v>
      </c>
      <c r="AB19" s="20">
        <v>50.79</v>
      </c>
      <c r="AC19" s="20">
        <v>52.28</v>
      </c>
      <c r="AD19" s="20">
        <v>56.6</v>
      </c>
      <c r="AE19" s="20">
        <v>57.87</v>
      </c>
      <c r="AF19" s="20">
        <v>57.71</v>
      </c>
      <c r="AG19" s="20">
        <v>59.72</v>
      </c>
      <c r="AH19" s="20">
        <v>59.42</v>
      </c>
      <c r="AI19" s="20">
        <v>60.2</v>
      </c>
      <c r="AJ19" s="20">
        <v>63.2</v>
      </c>
      <c r="AK19" s="20">
        <v>65.73</v>
      </c>
      <c r="AL19" s="20">
        <v>67.09</v>
      </c>
      <c r="AM19" s="20">
        <v>72.5</v>
      </c>
      <c r="AN19" s="20">
        <v>75.98</v>
      </c>
      <c r="AO19" s="20">
        <v>77.180000000000007</v>
      </c>
      <c r="AP19" s="20">
        <v>81.16</v>
      </c>
      <c r="AQ19" s="20">
        <v>84.29</v>
      </c>
      <c r="AR19" s="20">
        <v>84.03</v>
      </c>
      <c r="AS19" s="20">
        <v>88.98</v>
      </c>
      <c r="AT19" s="20">
        <v>91.17</v>
      </c>
      <c r="AU19" s="20">
        <v>92.76</v>
      </c>
      <c r="AV19" s="20">
        <v>96.93</v>
      </c>
      <c r="AW19" s="20">
        <v>97.77</v>
      </c>
      <c r="AX19" s="20">
        <v>103.55</v>
      </c>
      <c r="AY19" s="20">
        <v>95.39</v>
      </c>
      <c r="AZ19" s="20">
        <v>92.74</v>
      </c>
      <c r="BA19" s="20">
        <v>94.69</v>
      </c>
      <c r="BB19" s="20">
        <v>88.64</v>
      </c>
      <c r="BC19" s="20"/>
      <c r="BD19" s="24" t="s">
        <v>49</v>
      </c>
      <c r="BE19" s="20" t="s">
        <v>14</v>
      </c>
      <c r="BF19" s="25">
        <f t="shared" ref="BF19:BF24" si="3">((BB19-C19)/C19)*100</f>
        <v>1708.9795918367345</v>
      </c>
      <c r="BG19" s="25"/>
      <c r="BH19" s="25"/>
      <c r="BI19" s="25"/>
      <c r="BJ19" s="25"/>
      <c r="BK19" s="25"/>
      <c r="BL19" s="25"/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25"/>
      <c r="BZ19" s="25"/>
      <c r="CA19" s="25"/>
      <c r="CB19" s="25"/>
      <c r="CC19" s="25"/>
      <c r="CD19" s="25"/>
      <c r="CE19" s="25"/>
      <c r="CF19" s="25"/>
      <c r="CG19" s="25"/>
      <c r="CH19" s="25"/>
      <c r="CI19" s="25"/>
      <c r="CJ19" s="25"/>
      <c r="CK19" s="25"/>
      <c r="CL19" s="25"/>
      <c r="CM19" s="25"/>
      <c r="CN19" s="25"/>
      <c r="CO19" s="25"/>
      <c r="CP19" s="25"/>
      <c r="CQ19" s="25"/>
      <c r="CR19" s="25"/>
      <c r="CS19" s="25"/>
      <c r="CT19" s="25"/>
      <c r="CU19" s="25"/>
      <c r="CV19" s="25"/>
      <c r="CW19" s="25"/>
      <c r="CX19" s="25"/>
      <c r="CY19" s="25"/>
      <c r="CZ19" s="25"/>
      <c r="DA19" s="25"/>
      <c r="DB19" s="25"/>
      <c r="DC19" s="25"/>
      <c r="DD19" s="25"/>
      <c r="DE19" s="25"/>
      <c r="DF19" s="25"/>
      <c r="DG19" s="25"/>
      <c r="DH19" s="25"/>
      <c r="DI19" s="25"/>
      <c r="DJ19" s="25"/>
      <c r="DK19" s="25"/>
      <c r="DL19" s="25"/>
      <c r="DM19" s="25"/>
      <c r="DN19" s="25"/>
      <c r="DO19" s="25"/>
      <c r="DP19" s="25"/>
      <c r="DQ19" s="25"/>
      <c r="DR19" s="25"/>
      <c r="DS19" s="25"/>
      <c r="DT19" s="25"/>
      <c r="DU19" s="25"/>
      <c r="DV19" s="25"/>
      <c r="DW19" s="25"/>
      <c r="DX19" s="25"/>
      <c r="DY19" s="25"/>
      <c r="DZ19" s="25"/>
      <c r="EA19" s="25"/>
      <c r="EB19" s="25"/>
      <c r="EC19" s="25"/>
      <c r="ED19" s="25"/>
      <c r="EE19" s="25"/>
      <c r="EF19" s="25"/>
      <c r="EG19" s="25"/>
      <c r="EH19" s="25"/>
      <c r="EI19" s="25"/>
      <c r="EJ19" s="25"/>
      <c r="EK19" s="25"/>
      <c r="EL19" s="25"/>
      <c r="EM19" s="25"/>
      <c r="EN19" s="25"/>
      <c r="EO19" s="25"/>
      <c r="EP19" s="25"/>
      <c r="EQ19" s="25"/>
      <c r="ER19" s="25"/>
      <c r="ES19" s="25"/>
      <c r="ET19" s="25"/>
      <c r="EU19" s="25"/>
      <c r="EV19" s="25"/>
      <c r="EW19" s="25"/>
      <c r="EX19" s="25"/>
      <c r="EY19" s="25"/>
    </row>
    <row r="20" spans="1:155" ht="14" x14ac:dyDescent="0.15">
      <c r="A20" s="27">
        <v>17</v>
      </c>
      <c r="B20" s="28" t="s">
        <v>15</v>
      </c>
      <c r="C20" s="29">
        <v>175.54499821900001</v>
      </c>
      <c r="D20" s="30">
        <v>178.37521330210001</v>
      </c>
      <c r="E20" s="29">
        <v>181.40621303180001</v>
      </c>
      <c r="F20" s="29">
        <v>184.75457372739999</v>
      </c>
      <c r="G20" s="29">
        <v>188.75817644579999</v>
      </c>
      <c r="H20" s="29">
        <v>192.9282565682</v>
      </c>
      <c r="I20" s="29">
        <v>197.2106840582</v>
      </c>
      <c r="J20" s="29">
        <v>201.76634211460001</v>
      </c>
      <c r="K20" s="29">
        <v>205.96288969930001</v>
      </c>
      <c r="L20" s="29">
        <v>215.2736813537</v>
      </c>
      <c r="M20" s="29">
        <v>219.4097946592</v>
      </c>
      <c r="N20" s="29">
        <v>223.44436224169999</v>
      </c>
      <c r="O20" s="29">
        <v>228.3862934039</v>
      </c>
      <c r="P20" s="29">
        <v>232.95282654959999</v>
      </c>
      <c r="Q20" s="29">
        <v>237.8633194759</v>
      </c>
      <c r="R20" s="29">
        <v>241.51170135949999</v>
      </c>
      <c r="S20" s="29">
        <v>244.85580504320001</v>
      </c>
      <c r="T20" s="29">
        <v>247.5509074126</v>
      </c>
      <c r="U20" s="29">
        <v>250.18593040050001</v>
      </c>
      <c r="V20" s="29">
        <v>252.9375779776</v>
      </c>
      <c r="W20" s="29">
        <v>256.30547308950003</v>
      </c>
      <c r="X20" s="29">
        <v>259.05607941739999</v>
      </c>
      <c r="Y20" s="29">
        <v>261.81563019079999</v>
      </c>
      <c r="Z20" s="29">
        <v>265.1636088843</v>
      </c>
      <c r="AA20" s="29">
        <v>269.54914513670002</v>
      </c>
      <c r="AB20" s="29">
        <v>274.19558282849999</v>
      </c>
      <c r="AC20" s="29">
        <v>278.91359312409998</v>
      </c>
      <c r="AD20" s="29">
        <v>283.61686900960001</v>
      </c>
      <c r="AE20" s="29">
        <v>287.57676259060003</v>
      </c>
      <c r="AF20" s="29">
        <v>290.66505757009998</v>
      </c>
      <c r="AG20" s="29">
        <v>292.26825846209999</v>
      </c>
      <c r="AH20" s="29">
        <v>293.12067101359997</v>
      </c>
      <c r="AI20" s="29">
        <v>294.27077105540002</v>
      </c>
      <c r="AJ20" s="29">
        <v>296.00657332660001</v>
      </c>
      <c r="AK20" s="29">
        <v>298.26512027159998</v>
      </c>
      <c r="AL20" s="29">
        <v>300.165948802</v>
      </c>
      <c r="AM20" s="29">
        <v>301.88959831450001</v>
      </c>
      <c r="AN20" s="29">
        <v>303.83801390479999</v>
      </c>
      <c r="AO20" s="29">
        <v>305.9155963238</v>
      </c>
      <c r="AP20" s="29">
        <v>308.33002735280002</v>
      </c>
      <c r="AQ20" s="29">
        <v>310.3574500199</v>
      </c>
      <c r="AR20" s="29">
        <v>312.38466612830001</v>
      </c>
      <c r="AS20" s="29">
        <v>314.19118736630003</v>
      </c>
      <c r="AT20" s="29">
        <v>316.4978722367</v>
      </c>
      <c r="AU20" s="29">
        <v>319.25420406320001</v>
      </c>
      <c r="AV20" s="29">
        <v>323.34731924340002</v>
      </c>
      <c r="AW20" s="29">
        <v>328.08200218410002</v>
      </c>
      <c r="AX20" s="29">
        <v>333.14396681400001</v>
      </c>
      <c r="AY20" s="29">
        <v>336.68058765199999</v>
      </c>
      <c r="AZ20" s="29">
        <v>339.94789397020003</v>
      </c>
      <c r="BA20" s="29">
        <v>343.59232858569999</v>
      </c>
      <c r="BB20" s="29">
        <v>351.80430409899998</v>
      </c>
      <c r="BC20" s="28"/>
      <c r="BD20" s="31" t="s">
        <v>48</v>
      </c>
      <c r="BE20" s="28" t="s">
        <v>15</v>
      </c>
      <c r="BF20" s="32">
        <f t="shared" si="3"/>
        <v>100.4069085808465</v>
      </c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2"/>
      <c r="EG20" s="32"/>
      <c r="EH20" s="32"/>
      <c r="EI20" s="32"/>
      <c r="EJ20" s="32"/>
      <c r="EK20" s="32"/>
      <c r="EL20" s="32"/>
      <c r="EM20" s="32"/>
      <c r="EN20" s="32"/>
      <c r="EO20" s="32"/>
      <c r="EP20" s="32"/>
      <c r="EQ20" s="32"/>
      <c r="ER20" s="32"/>
      <c r="ES20" s="32"/>
      <c r="ET20" s="32"/>
      <c r="EU20" s="32"/>
      <c r="EV20" s="32"/>
      <c r="EW20" s="32"/>
      <c r="EX20" s="32"/>
      <c r="EY20" s="32"/>
    </row>
    <row r="21" spans="1:155" ht="14" x14ac:dyDescent="0.15">
      <c r="A21" s="27">
        <v>18</v>
      </c>
      <c r="B21" s="28" t="s">
        <v>16</v>
      </c>
      <c r="C21" s="33">
        <v>3.5637938965802101</v>
      </c>
      <c r="D21" s="33">
        <v>3.65655540462939</v>
      </c>
      <c r="E21" s="33">
        <v>3.75536552914091</v>
      </c>
      <c r="F21" s="33">
        <v>3.8676092088188199</v>
      </c>
      <c r="G21" s="33">
        <v>4.0027813648539903</v>
      </c>
      <c r="H21" s="33">
        <v>4.1915423999756598</v>
      </c>
      <c r="I21" s="33">
        <v>4.33089493674865</v>
      </c>
      <c r="J21" s="33">
        <v>4.47681604192955</v>
      </c>
      <c r="K21" s="33">
        <v>4.6274716347291198</v>
      </c>
      <c r="L21" s="33">
        <v>4.7888331409727396</v>
      </c>
      <c r="M21" s="33">
        <v>4.97144433913983</v>
      </c>
      <c r="N21" s="33">
        <v>5.1511124774358397</v>
      </c>
      <c r="O21" s="33">
        <v>5.3022030778533198</v>
      </c>
      <c r="P21" s="33">
        <v>5.5815087213497003</v>
      </c>
      <c r="Q21" s="33">
        <v>6.0577207615367499</v>
      </c>
      <c r="R21" s="33">
        <v>6.5517679822987702</v>
      </c>
      <c r="S21" s="33">
        <v>6.5571080927280398</v>
      </c>
      <c r="T21" s="33">
        <v>6.5555204273254297</v>
      </c>
      <c r="U21" s="33">
        <v>6.6584823941469997</v>
      </c>
      <c r="V21" s="33">
        <v>6.8477426446813503</v>
      </c>
      <c r="W21" s="33">
        <v>7.0482506749323299</v>
      </c>
      <c r="X21" s="33">
        <v>7.2010027682305999</v>
      </c>
      <c r="Y21" s="33">
        <v>7.2996338107407697</v>
      </c>
      <c r="Z21" s="33">
        <v>7.3502275852999901</v>
      </c>
      <c r="AA21" s="33">
        <v>7.3933660884056103</v>
      </c>
      <c r="AB21" s="33">
        <v>7.5607663960221503</v>
      </c>
      <c r="AC21" s="33">
        <v>7.7281667036387001</v>
      </c>
      <c r="AD21" s="33">
        <v>7.8955670112552401</v>
      </c>
      <c r="AE21" s="33">
        <v>8.0629673188717899</v>
      </c>
      <c r="AF21" s="33">
        <v>8.2303676264883308</v>
      </c>
      <c r="AG21" s="33">
        <v>8.4227835120541794</v>
      </c>
      <c r="AH21" s="33">
        <v>8.6708326025236993</v>
      </c>
      <c r="AI21" s="33">
        <v>8.8244599767060095</v>
      </c>
      <c r="AJ21" s="33">
        <v>9.0291137606956795</v>
      </c>
      <c r="AK21" s="33">
        <v>9.2813828161389402</v>
      </c>
      <c r="AL21" s="33">
        <v>9.3907451715079109</v>
      </c>
      <c r="AM21" s="33">
        <v>9.5444171591010498</v>
      </c>
      <c r="AN21" s="33">
        <v>9.7372644882003208</v>
      </c>
      <c r="AO21" s="33">
        <v>9.7945102761437202</v>
      </c>
      <c r="AP21" s="33">
        <v>10.1360410378174</v>
      </c>
      <c r="AQ21" s="33">
        <v>10.210782303056201</v>
      </c>
      <c r="AR21" s="33">
        <v>10.301946265317699</v>
      </c>
      <c r="AS21" s="33">
        <v>10.4093219263533</v>
      </c>
      <c r="AT21" s="33">
        <v>10.518455906128001</v>
      </c>
      <c r="AU21" s="33">
        <v>10.6275195531531</v>
      </c>
      <c r="AV21" s="33">
        <v>10.771095432719401</v>
      </c>
      <c r="AW21" s="33">
        <v>10.818419947804101</v>
      </c>
      <c r="AX21" s="33">
        <v>11.0140114891844</v>
      </c>
      <c r="AY21" s="33">
        <v>11.2080547133687</v>
      </c>
      <c r="AZ21" s="33">
        <v>11.330217663869099</v>
      </c>
      <c r="BA21" s="33">
        <v>11.5357974937326</v>
      </c>
      <c r="BB21" s="33">
        <v>11.629744402241901</v>
      </c>
      <c r="BC21" s="28"/>
      <c r="BD21" s="31" t="s">
        <v>49</v>
      </c>
      <c r="BE21" s="28" t="s">
        <v>16</v>
      </c>
      <c r="BF21" s="32">
        <f t="shared" si="3"/>
        <v>226.33044277340835</v>
      </c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32"/>
      <c r="DK21" s="32"/>
      <c r="DL21" s="32"/>
      <c r="DM21" s="32"/>
      <c r="DN21" s="32"/>
      <c r="DO21" s="32"/>
      <c r="DP21" s="32"/>
      <c r="DQ21" s="32"/>
      <c r="DR21" s="32"/>
      <c r="DS21" s="32"/>
      <c r="DT21" s="32"/>
      <c r="DU21" s="32"/>
      <c r="DV21" s="32"/>
      <c r="DW21" s="32"/>
      <c r="DX21" s="32"/>
      <c r="DY21" s="32"/>
      <c r="DZ21" s="32"/>
      <c r="EA21" s="32"/>
      <c r="EB21" s="32"/>
      <c r="EC21" s="32"/>
      <c r="ED21" s="32"/>
      <c r="EE21" s="32"/>
      <c r="EF21" s="32"/>
      <c r="EG21" s="32"/>
      <c r="EH21" s="32"/>
      <c r="EI21" s="32"/>
      <c r="EJ21" s="32"/>
      <c r="EK21" s="32"/>
      <c r="EL21" s="32"/>
      <c r="EM21" s="32"/>
      <c r="EN21" s="32"/>
      <c r="EO21" s="32"/>
      <c r="EP21" s="32"/>
      <c r="EQ21" s="32"/>
      <c r="ER21" s="32"/>
      <c r="ES21" s="32"/>
      <c r="ET21" s="32"/>
      <c r="EU21" s="32"/>
      <c r="EV21" s="32"/>
      <c r="EW21" s="32"/>
      <c r="EX21" s="32"/>
      <c r="EY21" s="32"/>
    </row>
    <row r="22" spans="1:155" ht="14" x14ac:dyDescent="0.15">
      <c r="A22" s="27">
        <v>19</v>
      </c>
      <c r="B22" s="28" t="s">
        <v>17</v>
      </c>
      <c r="C22" s="28">
        <v>1.3</v>
      </c>
      <c r="D22" s="28">
        <v>1.59</v>
      </c>
      <c r="E22" s="28">
        <v>1.88</v>
      </c>
      <c r="F22" s="28">
        <v>2.0299999999999998</v>
      </c>
      <c r="G22" s="28">
        <v>2.35</v>
      </c>
      <c r="H22" s="28">
        <v>2.52</v>
      </c>
      <c r="I22" s="28">
        <v>2.82</v>
      </c>
      <c r="J22" s="28">
        <v>3</v>
      </c>
      <c r="K22" s="28">
        <v>3.59</v>
      </c>
      <c r="L22" s="28">
        <v>4.0599999999999996</v>
      </c>
      <c r="M22" s="28">
        <v>4.26</v>
      </c>
      <c r="N22" s="28">
        <v>4.08</v>
      </c>
      <c r="O22" s="28">
        <v>4.37</v>
      </c>
      <c r="P22" s="28">
        <v>4.67</v>
      </c>
      <c r="Q22" s="28">
        <v>4.58</v>
      </c>
      <c r="R22" s="28">
        <v>4.8099999999999996</v>
      </c>
      <c r="S22" s="28">
        <v>5.38</v>
      </c>
      <c r="T22" s="28">
        <v>5.88</v>
      </c>
      <c r="U22" s="28">
        <v>6.18</v>
      </c>
      <c r="V22" s="28">
        <v>6.27</v>
      </c>
      <c r="W22" s="28">
        <v>6.9</v>
      </c>
      <c r="X22" s="28">
        <v>7.88</v>
      </c>
      <c r="Y22" s="28">
        <v>7.7</v>
      </c>
      <c r="Z22" s="28">
        <v>7.51</v>
      </c>
      <c r="AA22" s="28">
        <v>7.27</v>
      </c>
      <c r="AB22" s="28">
        <v>8.06</v>
      </c>
      <c r="AC22" s="28">
        <v>7.92</v>
      </c>
      <c r="AD22" s="28">
        <v>8.25</v>
      </c>
      <c r="AE22" s="28">
        <v>8.59</v>
      </c>
      <c r="AF22" s="28">
        <v>8.85</v>
      </c>
      <c r="AG22" s="28">
        <v>9.0299999999999994</v>
      </c>
      <c r="AH22" s="28">
        <v>9.1999999999999993</v>
      </c>
      <c r="AI22" s="28">
        <v>8.98</v>
      </c>
      <c r="AJ22" s="28">
        <v>8.9</v>
      </c>
      <c r="AK22" s="28">
        <v>9.02</v>
      </c>
      <c r="AL22" s="28">
        <v>10.1</v>
      </c>
      <c r="AM22" s="28">
        <v>10.76</v>
      </c>
      <c r="AN22" s="28">
        <v>11.1</v>
      </c>
      <c r="AO22" s="28">
        <v>10.98</v>
      </c>
      <c r="AP22" s="28">
        <v>11.3</v>
      </c>
      <c r="AQ22" s="28">
        <v>10.45</v>
      </c>
      <c r="AR22" s="28">
        <v>10.23</v>
      </c>
      <c r="AS22" s="28">
        <v>8.7200000000000006</v>
      </c>
      <c r="AT22" s="28">
        <v>8.43</v>
      </c>
      <c r="AU22" s="28">
        <v>8.2100000000000009</v>
      </c>
      <c r="AV22" s="28">
        <v>7.85</v>
      </c>
      <c r="AW22" s="28">
        <v>7.64</v>
      </c>
      <c r="AX22" s="28">
        <v>7.53</v>
      </c>
      <c r="AY22" s="28">
        <v>7.09</v>
      </c>
      <c r="AZ22" s="28">
        <v>6.19</v>
      </c>
      <c r="BA22" s="28">
        <v>6.05</v>
      </c>
      <c r="BB22" s="28"/>
      <c r="BC22" s="28"/>
      <c r="BD22" s="31" t="s">
        <v>49</v>
      </c>
      <c r="BE22" s="28" t="s">
        <v>17</v>
      </c>
      <c r="BF22" s="32">
        <f t="shared" si="3"/>
        <v>-100</v>
      </c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  <c r="EW22" s="32"/>
      <c r="EX22" s="32"/>
      <c r="EY22" s="32"/>
    </row>
    <row r="23" spans="1:155" ht="14" hidden="1" x14ac:dyDescent="0.15">
      <c r="A23" s="27">
        <v>20</v>
      </c>
      <c r="B23" s="28" t="s">
        <v>18</v>
      </c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31" t="s">
        <v>49</v>
      </c>
      <c r="BE23" s="28" t="s">
        <v>18</v>
      </c>
      <c r="BF23" s="32" t="e">
        <f t="shared" si="3"/>
        <v>#DIV/0!</v>
      </c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  <c r="CL23" s="32"/>
      <c r="CM23" s="32"/>
      <c r="CN23" s="32"/>
      <c r="CO23" s="32"/>
      <c r="CP23" s="32"/>
      <c r="CQ23" s="32"/>
      <c r="CR23" s="32"/>
      <c r="CS23" s="32"/>
      <c r="CT23" s="32"/>
      <c r="CU23" s="32"/>
      <c r="CV23" s="32"/>
      <c r="CW23" s="32"/>
      <c r="CX23" s="32"/>
      <c r="CY23" s="32"/>
      <c r="CZ23" s="32"/>
      <c r="DA23" s="32"/>
      <c r="DB23" s="32"/>
      <c r="DC23" s="32"/>
      <c r="DD23" s="32"/>
      <c r="DE23" s="32"/>
      <c r="DF23" s="32"/>
      <c r="DG23" s="32"/>
      <c r="DH23" s="32"/>
      <c r="DI23" s="32"/>
      <c r="DJ23" s="32"/>
      <c r="DK23" s="32"/>
      <c r="DL23" s="32"/>
      <c r="DM23" s="32"/>
      <c r="DN23" s="32"/>
      <c r="DO23" s="32"/>
      <c r="DP23" s="32"/>
      <c r="DQ23" s="32"/>
      <c r="DR23" s="32"/>
      <c r="DS23" s="32"/>
      <c r="DT23" s="32"/>
      <c r="DU23" s="32"/>
      <c r="DV23" s="32"/>
      <c r="DW23" s="32"/>
      <c r="DX23" s="32"/>
      <c r="DY23" s="32"/>
      <c r="DZ23" s="32"/>
      <c r="EA23" s="32"/>
      <c r="EB23" s="32"/>
      <c r="EC23" s="32"/>
      <c r="ED23" s="32"/>
      <c r="EE23" s="32"/>
      <c r="EF23" s="32"/>
      <c r="EG23" s="32"/>
      <c r="EH23" s="32"/>
      <c r="EI23" s="32"/>
      <c r="EJ23" s="32"/>
      <c r="EK23" s="32"/>
      <c r="EL23" s="32"/>
      <c r="EM23" s="32"/>
      <c r="EN23" s="32"/>
      <c r="EO23" s="32"/>
      <c r="EP23" s="32"/>
      <c r="EQ23" s="32"/>
      <c r="ER23" s="32"/>
      <c r="ES23" s="32"/>
      <c r="ET23" s="32"/>
      <c r="EU23" s="32"/>
      <c r="EV23" s="32"/>
      <c r="EW23" s="32"/>
      <c r="EX23" s="32"/>
      <c r="EY23" s="32"/>
    </row>
    <row r="24" spans="1:155" ht="14" x14ac:dyDescent="0.15">
      <c r="A24" s="27">
        <v>21</v>
      </c>
      <c r="B24" s="28" t="s">
        <v>19</v>
      </c>
      <c r="C24" s="28">
        <v>20.3642</v>
      </c>
      <c r="D24" s="28">
        <v>20.7714</v>
      </c>
      <c r="E24" s="28">
        <v>21.186900000000001</v>
      </c>
      <c r="F24" s="28">
        <v>21.610600000000002</v>
      </c>
      <c r="G24" s="28">
        <v>22.0428</v>
      </c>
      <c r="H24" s="28">
        <v>22.483699999999999</v>
      </c>
      <c r="I24" s="28">
        <v>22.933299999999999</v>
      </c>
      <c r="J24" s="28">
        <v>23.391999999999999</v>
      </c>
      <c r="K24" s="28">
        <v>23.8599</v>
      </c>
      <c r="L24" s="28">
        <v>24.337</v>
      </c>
      <c r="M24" s="28">
        <v>24.823799999999999</v>
      </c>
      <c r="N24" s="28">
        <v>25.3203</v>
      </c>
      <c r="O24" s="28">
        <v>25.826699999999999</v>
      </c>
      <c r="P24" s="28">
        <v>26.3432</v>
      </c>
      <c r="Q24" s="28">
        <v>26.870100000000001</v>
      </c>
      <c r="R24" s="28">
        <v>27.407499999999999</v>
      </c>
      <c r="S24" s="28">
        <v>27.9556</v>
      </c>
      <c r="T24" s="28">
        <v>28.514700000000001</v>
      </c>
      <c r="U24" s="28">
        <v>29.085000000000001</v>
      </c>
      <c r="V24" s="28">
        <v>29.666699999999999</v>
      </c>
      <c r="W24" s="28">
        <v>30.260100000000001</v>
      </c>
      <c r="X24" s="28">
        <v>30.865300000000001</v>
      </c>
      <c r="Y24" s="28">
        <v>31.482600000000001</v>
      </c>
      <c r="Z24" s="28">
        <v>32.112200000000001</v>
      </c>
      <c r="AA24" s="28">
        <v>32.7545</v>
      </c>
      <c r="AB24" s="28">
        <v>33.409599999999998</v>
      </c>
      <c r="AC24" s="28">
        <v>34.0777</v>
      </c>
      <c r="AD24" s="28">
        <v>34.759300000000003</v>
      </c>
      <c r="AE24" s="28">
        <v>35.454500000000003</v>
      </c>
      <c r="AF24" s="28">
        <v>36.163600000000002</v>
      </c>
      <c r="AG24" s="28">
        <v>36.886800000000001</v>
      </c>
      <c r="AH24" s="28">
        <v>38.439500000000002</v>
      </c>
      <c r="AI24" s="28">
        <v>39.992199999999997</v>
      </c>
      <c r="AJ24" s="28">
        <v>41.544899999999998</v>
      </c>
      <c r="AK24" s="28">
        <v>43.0976</v>
      </c>
      <c r="AL24" s="28">
        <v>44.650300000000001</v>
      </c>
      <c r="AM24" s="28">
        <v>45.543300000000002</v>
      </c>
      <c r="AN24" s="28">
        <v>46.4542</v>
      </c>
      <c r="AO24" s="28">
        <v>47.383299999999998</v>
      </c>
      <c r="AP24" s="28">
        <v>48.331000000000003</v>
      </c>
      <c r="AQ24" s="28">
        <v>49.297600000000003</v>
      </c>
      <c r="AR24" s="28">
        <v>50.283499999999997</v>
      </c>
      <c r="AS24" s="28">
        <v>51.289200000000001</v>
      </c>
      <c r="AT24" s="28">
        <v>52.314999999999998</v>
      </c>
      <c r="AU24" s="28">
        <v>53.3613</v>
      </c>
      <c r="AV24" s="28">
        <v>54.4285</v>
      </c>
      <c r="AW24" s="28">
        <v>55.517099999999999</v>
      </c>
      <c r="AX24" s="28">
        <v>56.627400000000002</v>
      </c>
      <c r="AY24" s="28">
        <v>57.76</v>
      </c>
      <c r="AZ24" s="28">
        <v>58.915199999999999</v>
      </c>
      <c r="BA24" s="28">
        <v>60.093499999999999</v>
      </c>
      <c r="BB24" s="28">
        <v>61.295299999999997</v>
      </c>
      <c r="BC24" s="28"/>
      <c r="BD24" s="31" t="s">
        <v>48</v>
      </c>
      <c r="BE24" s="28" t="s">
        <v>19</v>
      </c>
      <c r="BF24" s="32">
        <f t="shared" si="3"/>
        <v>200.99537423517742</v>
      </c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32"/>
      <c r="CT24" s="32"/>
      <c r="CU24" s="32"/>
      <c r="CV24" s="32"/>
      <c r="CW24" s="32"/>
      <c r="CX24" s="32"/>
      <c r="CY24" s="32"/>
      <c r="CZ24" s="32"/>
      <c r="DA24" s="32"/>
      <c r="DB24" s="32"/>
      <c r="DC24" s="32"/>
      <c r="DD24" s="32"/>
      <c r="DE24" s="32"/>
      <c r="DF24" s="32"/>
      <c r="DG24" s="32"/>
      <c r="DH24" s="32"/>
      <c r="DI24" s="32"/>
      <c r="DJ24" s="32"/>
      <c r="DK24" s="32"/>
      <c r="DL24" s="32"/>
      <c r="DM24" s="32"/>
      <c r="DN24" s="32"/>
      <c r="DO24" s="32"/>
      <c r="DP24" s="32"/>
      <c r="DQ24" s="32"/>
      <c r="DR24" s="32"/>
      <c r="DS24" s="32"/>
      <c r="DT24" s="32"/>
      <c r="DU24" s="32"/>
      <c r="DV24" s="32"/>
      <c r="DW24" s="32"/>
      <c r="DX24" s="32"/>
      <c r="DY24" s="32"/>
      <c r="DZ24" s="32"/>
      <c r="EA24" s="32"/>
      <c r="EB24" s="32"/>
      <c r="EC24" s="32"/>
      <c r="ED24" s="32"/>
      <c r="EE24" s="32"/>
      <c r="EF24" s="32"/>
      <c r="EG24" s="32"/>
      <c r="EH24" s="32"/>
      <c r="EI24" s="32"/>
      <c r="EJ24" s="32"/>
      <c r="EK24" s="32"/>
      <c r="EL24" s="32"/>
      <c r="EM24" s="32"/>
      <c r="EN24" s="32"/>
      <c r="EO24" s="32"/>
      <c r="EP24" s="32"/>
      <c r="EQ24" s="32"/>
      <c r="ER24" s="32"/>
      <c r="ES24" s="32"/>
      <c r="ET24" s="32"/>
      <c r="EU24" s="32"/>
      <c r="EV24" s="32"/>
      <c r="EW24" s="32"/>
      <c r="EX24" s="32"/>
      <c r="EY24" s="32"/>
    </row>
    <row r="25" spans="1:155" ht="14" x14ac:dyDescent="0.15">
      <c r="A25" s="27">
        <v>22</v>
      </c>
      <c r="B25" s="28" t="s">
        <v>20</v>
      </c>
      <c r="C25" s="28">
        <v>9.9999999999999998E-20</v>
      </c>
      <c r="D25" s="28">
        <v>0</v>
      </c>
      <c r="E25" s="28">
        <v>0</v>
      </c>
      <c r="F25" s="28">
        <v>0</v>
      </c>
      <c r="G25" s="28">
        <v>0</v>
      </c>
      <c r="H25" s="28">
        <v>0</v>
      </c>
      <c r="I25" s="28">
        <v>0</v>
      </c>
      <c r="J25" s="28">
        <v>0</v>
      </c>
      <c r="K25" s="28">
        <v>0</v>
      </c>
      <c r="L25" s="28">
        <v>0</v>
      </c>
      <c r="M25" s="28">
        <v>0</v>
      </c>
      <c r="N25" s="28">
        <v>0</v>
      </c>
      <c r="O25" s="28">
        <v>0</v>
      </c>
      <c r="P25" s="28">
        <v>0</v>
      </c>
      <c r="Q25" s="28">
        <v>0</v>
      </c>
      <c r="R25" s="28">
        <v>0</v>
      </c>
      <c r="S25" s="28">
        <v>0</v>
      </c>
      <c r="T25" s="34">
        <v>0</v>
      </c>
      <c r="U25" s="28">
        <v>2.8140492134584298</v>
      </c>
      <c r="V25" s="28">
        <v>1.37870501193859</v>
      </c>
      <c r="W25" s="28">
        <v>-1.8615210365475601</v>
      </c>
      <c r="X25" s="28">
        <v>-5.1372513072536101</v>
      </c>
      <c r="Y25" s="28">
        <v>-1.82034686296024</v>
      </c>
      <c r="Z25" s="28">
        <v>-3.4205994944924698</v>
      </c>
      <c r="AA25" s="28">
        <v>-1.5673241640450299</v>
      </c>
      <c r="AB25" s="28">
        <v>-0.79586295852280198</v>
      </c>
      <c r="AC25" s="28">
        <v>4.1367744044289303</v>
      </c>
      <c r="AD25" s="28">
        <v>5.76409582202146</v>
      </c>
      <c r="AE25" s="28">
        <v>3.7064031256907199</v>
      </c>
      <c r="AF25" s="28">
        <v>-2.8998409626298599E-2</v>
      </c>
      <c r="AG25" s="28">
        <v>4.2328710886927396</v>
      </c>
      <c r="AH25" s="28">
        <v>4.8694344196685204</v>
      </c>
      <c r="AI25" s="28">
        <v>7.51502581719717</v>
      </c>
      <c r="AJ25" s="28">
        <v>9.6263073035815196</v>
      </c>
      <c r="AK25" s="28">
        <v>6.7789422031814501</v>
      </c>
      <c r="AL25" s="28">
        <v>5.0597693702162401</v>
      </c>
      <c r="AM25" s="28">
        <v>5.05304310641508</v>
      </c>
      <c r="AN25" s="28">
        <v>2.16535020797726</v>
      </c>
      <c r="AO25" s="28">
        <v>7.1761530257101001</v>
      </c>
      <c r="AP25" s="28">
        <v>-2.6266068548099502</v>
      </c>
      <c r="AQ25" s="28">
        <v>-5.3895799817885699</v>
      </c>
      <c r="AR25" s="28">
        <v>-4.70299263552785</v>
      </c>
      <c r="AS25" s="28">
        <v>-6.30822376229795</v>
      </c>
      <c r="AT25" s="28">
        <v>-10.0406618579431</v>
      </c>
      <c r="AU25" s="28">
        <v>-14.015389453776701</v>
      </c>
      <c r="AV25" s="28">
        <v>-18.3035528974799</v>
      </c>
      <c r="AW25" s="28">
        <v>-21.779980427077099</v>
      </c>
      <c r="AX25" s="28">
        <v>-23.8624639942065</v>
      </c>
      <c r="AY25" s="28">
        <v>-27.496970519257601</v>
      </c>
      <c r="AZ25" s="28">
        <v>-28.410498780974098</v>
      </c>
      <c r="BA25" s="28">
        <v>-28.952516980408699</v>
      </c>
      <c r="BB25" s="28">
        <v>-38.917473261496198</v>
      </c>
      <c r="BC25" s="28"/>
      <c r="BD25" s="31" t="s">
        <v>49</v>
      </c>
      <c r="BE25" s="28" t="s">
        <v>20</v>
      </c>
      <c r="BF25" s="32">
        <f>((BB25-U25)/U25)*100</f>
        <v>-1482.9705989280526</v>
      </c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2"/>
      <c r="CO25" s="32"/>
      <c r="CP25" s="32"/>
      <c r="CQ25" s="32"/>
      <c r="CR25" s="32"/>
      <c r="CS25" s="32"/>
      <c r="CT25" s="32"/>
      <c r="CU25" s="32"/>
      <c r="CV25" s="32"/>
      <c r="CW25" s="32"/>
      <c r="CX25" s="32"/>
      <c r="CY25" s="32"/>
      <c r="CZ25" s="32"/>
      <c r="DA25" s="32"/>
      <c r="DB25" s="32"/>
      <c r="DC25" s="32"/>
      <c r="DD25" s="32"/>
      <c r="DE25" s="32"/>
      <c r="DF25" s="32"/>
      <c r="DG25" s="32"/>
      <c r="DH25" s="32"/>
      <c r="DI25" s="32"/>
      <c r="DJ25" s="32"/>
      <c r="DK25" s="32"/>
      <c r="DL25" s="32"/>
      <c r="DM25" s="32"/>
      <c r="DN25" s="32"/>
      <c r="DO25" s="32"/>
      <c r="DP25" s="32"/>
      <c r="DQ25" s="32"/>
      <c r="DR25" s="32"/>
      <c r="DS25" s="32"/>
      <c r="DT25" s="32"/>
      <c r="DU25" s="32"/>
      <c r="DV25" s="32"/>
      <c r="DW25" s="32"/>
      <c r="DX25" s="32"/>
      <c r="DY25" s="32"/>
      <c r="DZ25" s="32"/>
      <c r="EA25" s="32"/>
      <c r="EB25" s="32"/>
      <c r="EC25" s="32"/>
      <c r="ED25" s="32"/>
      <c r="EE25" s="32"/>
      <c r="EF25" s="32"/>
      <c r="EG25" s="32"/>
      <c r="EH25" s="32"/>
      <c r="EI25" s="32"/>
      <c r="EJ25" s="32"/>
      <c r="EK25" s="32"/>
      <c r="EL25" s="32"/>
      <c r="EM25" s="32"/>
      <c r="EN25" s="32"/>
      <c r="EO25" s="32"/>
      <c r="EP25" s="32"/>
      <c r="EQ25" s="32"/>
      <c r="ER25" s="32"/>
      <c r="ES25" s="32"/>
      <c r="ET25" s="32"/>
      <c r="EU25" s="32"/>
      <c r="EV25" s="32"/>
      <c r="EW25" s="32"/>
      <c r="EX25" s="32"/>
      <c r="EY25" s="32"/>
    </row>
    <row r="26" spans="1:155" ht="14" x14ac:dyDescent="0.15">
      <c r="A26" s="27">
        <v>23</v>
      </c>
      <c r="B26" s="28" t="s">
        <v>21</v>
      </c>
      <c r="C26" s="28">
        <v>0.02</v>
      </c>
      <c r="D26" s="28">
        <v>0.02</v>
      </c>
      <c r="E26" s="28">
        <v>0.03</v>
      </c>
      <c r="F26" s="28">
        <v>0.03</v>
      </c>
      <c r="G26" s="28">
        <v>0.03</v>
      </c>
      <c r="H26" s="28">
        <v>0.04</v>
      </c>
      <c r="I26" s="28">
        <v>0.04</v>
      </c>
      <c r="J26" s="28">
        <v>0.05</v>
      </c>
      <c r="K26" s="28">
        <v>0.05</v>
      </c>
      <c r="L26" s="28">
        <v>0.06</v>
      </c>
      <c r="M26" s="28">
        <v>7.0000000000000007E-2</v>
      </c>
      <c r="N26" s="28">
        <v>0.08</v>
      </c>
      <c r="O26" s="28">
        <v>0.08</v>
      </c>
      <c r="P26" s="28">
        <v>0.09</v>
      </c>
      <c r="Q26" s="28">
        <v>0.11</v>
      </c>
      <c r="R26" s="28">
        <v>0.12</v>
      </c>
      <c r="S26" s="28">
        <v>0.13</v>
      </c>
      <c r="T26" s="28">
        <v>0.15</v>
      </c>
      <c r="U26" s="28">
        <v>0.17</v>
      </c>
      <c r="V26" s="28">
        <v>0.18</v>
      </c>
      <c r="W26" s="28">
        <v>0.32</v>
      </c>
      <c r="X26" s="28">
        <v>0.32</v>
      </c>
      <c r="Y26" s="28">
        <v>0.32</v>
      </c>
      <c r="Z26" s="28">
        <v>0.85</v>
      </c>
      <c r="AA26" s="28">
        <v>0.89</v>
      </c>
      <c r="AB26" s="28">
        <v>1.07</v>
      </c>
      <c r="AC26" s="28">
        <v>1.23</v>
      </c>
      <c r="AD26" s="28">
        <v>1.43</v>
      </c>
      <c r="AE26" s="28">
        <v>1.56</v>
      </c>
      <c r="AF26" s="28">
        <v>1.71</v>
      </c>
      <c r="AG26" s="28">
        <v>1.87</v>
      </c>
      <c r="AH26" s="28">
        <v>1.7</v>
      </c>
      <c r="AI26" s="28">
        <v>1.73</v>
      </c>
      <c r="AJ26" s="28">
        <v>2.15</v>
      </c>
      <c r="AK26" s="28">
        <v>2.38</v>
      </c>
      <c r="AL26" s="28">
        <v>2.56</v>
      </c>
      <c r="AM26" s="28">
        <v>2.78</v>
      </c>
      <c r="AN26" s="28">
        <v>3</v>
      </c>
      <c r="AO26" s="28">
        <v>3.14</v>
      </c>
      <c r="AP26" s="28">
        <v>3.46</v>
      </c>
      <c r="AQ26" s="28">
        <v>3.63</v>
      </c>
      <c r="AR26" s="28">
        <v>3.75</v>
      </c>
      <c r="AS26" s="28">
        <v>3.98</v>
      </c>
      <c r="AT26" s="28">
        <v>4.1500000000000004</v>
      </c>
      <c r="AU26" s="28">
        <v>4.3899999999999997</v>
      </c>
      <c r="AV26" s="28">
        <v>4.53</v>
      </c>
      <c r="AW26" s="28">
        <v>4.88</v>
      </c>
      <c r="AX26" s="28">
        <v>5.23</v>
      </c>
      <c r="AY26" s="28">
        <v>5.38</v>
      </c>
      <c r="AZ26" s="28">
        <v>5.69</v>
      </c>
      <c r="BA26" s="28">
        <v>6.1</v>
      </c>
      <c r="BB26" s="28">
        <v>6.16</v>
      </c>
      <c r="BC26" s="28"/>
      <c r="BD26" s="31" t="s">
        <v>48</v>
      </c>
      <c r="BE26" s="28" t="s">
        <v>21</v>
      </c>
      <c r="BF26" s="32">
        <f t="shared" ref="BF26:BF29" si="4">((BB26-C26)/C26)*100</f>
        <v>30700</v>
      </c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  <c r="DF26" s="32"/>
      <c r="DG26" s="32"/>
      <c r="DH26" s="32"/>
      <c r="DI26" s="32"/>
      <c r="DJ26" s="32"/>
      <c r="DK26" s="32"/>
      <c r="DL26" s="32"/>
      <c r="DM26" s="32"/>
      <c r="DN26" s="32"/>
      <c r="DO26" s="32"/>
      <c r="DP26" s="32"/>
      <c r="DQ26" s="32"/>
      <c r="DR26" s="32"/>
      <c r="DS26" s="32"/>
      <c r="DT26" s="32"/>
      <c r="DU26" s="32"/>
      <c r="DV26" s="32"/>
      <c r="DW26" s="32"/>
      <c r="DX26" s="32"/>
      <c r="DY26" s="32"/>
      <c r="DZ26" s="32"/>
      <c r="EA26" s="32"/>
      <c r="EB26" s="32"/>
      <c r="EC26" s="32"/>
      <c r="ED26" s="32"/>
      <c r="EE26" s="32"/>
      <c r="EF26" s="32"/>
      <c r="EG26" s="32"/>
      <c r="EH26" s="32"/>
      <c r="EI26" s="32"/>
      <c r="EJ26" s="32"/>
      <c r="EK26" s="32"/>
      <c r="EL26" s="32"/>
      <c r="EM26" s="32"/>
      <c r="EN26" s="32"/>
      <c r="EO26" s="32"/>
      <c r="EP26" s="32"/>
      <c r="EQ26" s="32"/>
      <c r="ER26" s="32"/>
      <c r="ES26" s="32"/>
      <c r="ET26" s="32"/>
      <c r="EU26" s="32"/>
      <c r="EV26" s="32"/>
      <c r="EW26" s="32"/>
      <c r="EX26" s="32"/>
      <c r="EY26" s="32"/>
    </row>
    <row r="27" spans="1:155" ht="14" hidden="1" x14ac:dyDescent="0.15">
      <c r="A27" s="27">
        <v>24</v>
      </c>
      <c r="B27" s="28" t="s">
        <v>22</v>
      </c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31" t="s">
        <v>48</v>
      </c>
      <c r="BE27" s="28" t="s">
        <v>22</v>
      </c>
      <c r="BF27" s="32" t="e">
        <f t="shared" si="4"/>
        <v>#DIV/0!</v>
      </c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  <c r="CU27" s="32"/>
      <c r="CV27" s="32"/>
      <c r="CW27" s="32"/>
      <c r="CX27" s="32"/>
      <c r="CY27" s="32"/>
      <c r="CZ27" s="32"/>
      <c r="DA27" s="32"/>
      <c r="DB27" s="32"/>
      <c r="DC27" s="32"/>
      <c r="DD27" s="32"/>
      <c r="DE27" s="32"/>
      <c r="DF27" s="32"/>
      <c r="DG27" s="32"/>
      <c r="DH27" s="32"/>
      <c r="DI27" s="32"/>
      <c r="DJ27" s="32"/>
      <c r="DK27" s="32"/>
      <c r="DL27" s="32"/>
      <c r="DM27" s="32"/>
      <c r="DN27" s="32"/>
      <c r="DO27" s="32"/>
      <c r="DP27" s="32"/>
      <c r="DQ27" s="32"/>
      <c r="DR27" s="32"/>
      <c r="DS27" s="32"/>
      <c r="DT27" s="32"/>
      <c r="DU27" s="32"/>
      <c r="DV27" s="32"/>
      <c r="DW27" s="32"/>
      <c r="DX27" s="32"/>
      <c r="DY27" s="32"/>
      <c r="DZ27" s="32"/>
      <c r="EA27" s="32"/>
      <c r="EB27" s="32"/>
      <c r="EC27" s="32"/>
      <c r="ED27" s="32"/>
      <c r="EE27" s="32"/>
      <c r="EF27" s="32"/>
      <c r="EG27" s="32"/>
      <c r="EH27" s="32"/>
      <c r="EI27" s="32"/>
      <c r="EJ27" s="32"/>
      <c r="EK27" s="32"/>
      <c r="EL27" s="32"/>
      <c r="EM27" s="32"/>
      <c r="EN27" s="32"/>
      <c r="EO27" s="32"/>
      <c r="EP27" s="32"/>
      <c r="EQ27" s="32"/>
      <c r="ER27" s="32"/>
      <c r="ES27" s="32"/>
      <c r="ET27" s="32"/>
      <c r="EU27" s="32"/>
      <c r="EV27" s="32"/>
      <c r="EW27" s="32"/>
      <c r="EX27" s="32"/>
      <c r="EY27" s="32"/>
    </row>
    <row r="28" spans="1:155" ht="14" x14ac:dyDescent="0.15">
      <c r="A28" s="27">
        <v>25</v>
      </c>
      <c r="B28" s="28" t="s">
        <v>23</v>
      </c>
      <c r="C28" s="28">
        <v>60.43</v>
      </c>
      <c r="D28" s="28">
        <v>67.97</v>
      </c>
      <c r="E28" s="28">
        <v>67.97</v>
      </c>
      <c r="F28" s="28">
        <v>67.8</v>
      </c>
      <c r="G28" s="28">
        <v>67.7</v>
      </c>
      <c r="H28" s="28">
        <v>67.7</v>
      </c>
      <c r="I28" s="28">
        <v>67.7</v>
      </c>
      <c r="J28" s="28">
        <v>67.7</v>
      </c>
      <c r="K28" s="28">
        <v>67.59</v>
      </c>
      <c r="L28" s="28">
        <v>74.94</v>
      </c>
      <c r="M28" s="28">
        <v>81.17</v>
      </c>
      <c r="N28" s="28">
        <v>81.17</v>
      </c>
      <c r="O28" s="28">
        <v>81.17</v>
      </c>
      <c r="P28" s="28">
        <v>80.989999999999995</v>
      </c>
      <c r="Q28" s="28">
        <v>87.08</v>
      </c>
      <c r="R28" s="28">
        <v>90.09</v>
      </c>
      <c r="S28" s="28">
        <v>90.09</v>
      </c>
      <c r="T28" s="28">
        <v>93.75</v>
      </c>
      <c r="U28" s="28">
        <v>103.61</v>
      </c>
      <c r="V28" s="28">
        <v>104.04</v>
      </c>
      <c r="W28" s="28">
        <v>112.51</v>
      </c>
      <c r="X28" s="28">
        <v>116.01</v>
      </c>
      <c r="Y28" s="28">
        <v>116.88</v>
      </c>
      <c r="Z28" s="28">
        <v>121.41</v>
      </c>
      <c r="AA28" s="28">
        <v>125.19</v>
      </c>
      <c r="AB28" s="28">
        <v>126.33</v>
      </c>
      <c r="AC28" s="28">
        <v>130.5</v>
      </c>
      <c r="AD28" s="28">
        <v>136.44</v>
      </c>
      <c r="AE28" s="28">
        <v>136.24</v>
      </c>
      <c r="AF28" s="28">
        <v>139.62</v>
      </c>
      <c r="AG28" s="28">
        <v>142.16</v>
      </c>
      <c r="AH28" s="28">
        <v>145.41</v>
      </c>
      <c r="AI28" s="28">
        <v>149.05000000000001</v>
      </c>
      <c r="AJ28" s="28">
        <v>152.63</v>
      </c>
      <c r="AK28" s="28">
        <v>155.80000000000001</v>
      </c>
      <c r="AL28" s="28">
        <v>160.69</v>
      </c>
      <c r="AM28" s="28">
        <v>165.46</v>
      </c>
      <c r="AN28" s="28">
        <v>168.46</v>
      </c>
      <c r="AO28" s="28">
        <v>174.78</v>
      </c>
      <c r="AP28" s="28">
        <v>172.69</v>
      </c>
      <c r="AQ28" s="28">
        <v>177.21</v>
      </c>
      <c r="AR28" s="28">
        <v>182.25</v>
      </c>
      <c r="AS28" s="28">
        <v>186.32</v>
      </c>
      <c r="AT28" s="28">
        <v>191.19</v>
      </c>
      <c r="AU28" s="28">
        <v>195.78</v>
      </c>
      <c r="AV28" s="28">
        <v>202</v>
      </c>
      <c r="AW28" s="28">
        <v>205.25</v>
      </c>
      <c r="AX28" s="28">
        <v>206.52</v>
      </c>
      <c r="AY28" s="28">
        <v>212.29</v>
      </c>
      <c r="AZ28" s="28">
        <v>214.04</v>
      </c>
      <c r="BA28" s="28">
        <v>217.92</v>
      </c>
      <c r="BB28" s="28">
        <v>220.81</v>
      </c>
      <c r="BC28" s="28"/>
      <c r="BD28" s="31" t="s">
        <v>49</v>
      </c>
      <c r="BE28" s="28" t="s">
        <v>23</v>
      </c>
      <c r="BF28" s="32">
        <f t="shared" si="4"/>
        <v>265.39798113519771</v>
      </c>
      <c r="BG28" s="32"/>
      <c r="BH28" s="32"/>
      <c r="BI28" s="32"/>
      <c r="BJ28" s="32"/>
      <c r="BK28" s="32"/>
      <c r="BL28" s="32"/>
      <c r="BM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  <c r="CL28" s="32"/>
      <c r="CM28" s="32"/>
      <c r="CN28" s="32"/>
      <c r="CO28" s="32"/>
      <c r="CP28" s="32"/>
      <c r="CQ28" s="32"/>
      <c r="CR28" s="32"/>
      <c r="CS28" s="32"/>
      <c r="CT28" s="32"/>
      <c r="CU28" s="32"/>
      <c r="CV28" s="32"/>
      <c r="CW28" s="32"/>
      <c r="CX28" s="32"/>
      <c r="CY28" s="32"/>
      <c r="CZ28" s="32"/>
      <c r="DA28" s="32"/>
      <c r="DB28" s="32"/>
      <c r="DC28" s="32"/>
      <c r="DD28" s="32"/>
      <c r="DE28" s="32"/>
      <c r="DF28" s="32"/>
      <c r="DG28" s="32"/>
      <c r="DH28" s="32"/>
      <c r="DI28" s="32"/>
      <c r="DJ28" s="32"/>
      <c r="DK28" s="32"/>
      <c r="DL28" s="32"/>
      <c r="DM28" s="32"/>
      <c r="DN28" s="32"/>
      <c r="DO28" s="32"/>
      <c r="DP28" s="32"/>
      <c r="DQ28" s="32"/>
      <c r="DR28" s="32"/>
      <c r="DS28" s="32"/>
      <c r="DT28" s="32"/>
      <c r="DU28" s="32"/>
      <c r="DV28" s="32"/>
      <c r="DW28" s="32"/>
      <c r="DX28" s="32"/>
      <c r="DY28" s="32"/>
      <c r="DZ28" s="32"/>
      <c r="EA28" s="32"/>
      <c r="EB28" s="32"/>
      <c r="EC28" s="32"/>
      <c r="ED28" s="32"/>
      <c r="EE28" s="32"/>
      <c r="EF28" s="32"/>
      <c r="EG28" s="32"/>
      <c r="EH28" s="32"/>
      <c r="EI28" s="32"/>
      <c r="EJ28" s="32"/>
      <c r="EK28" s="32"/>
      <c r="EL28" s="32"/>
      <c r="EM28" s="32"/>
      <c r="EN28" s="32"/>
      <c r="EO28" s="32"/>
      <c r="EP28" s="32"/>
      <c r="EQ28" s="32"/>
      <c r="ER28" s="32"/>
      <c r="ES28" s="32"/>
      <c r="ET28" s="32"/>
      <c r="EU28" s="32"/>
      <c r="EV28" s="32"/>
      <c r="EW28" s="32"/>
      <c r="EX28" s="32"/>
      <c r="EY28" s="32"/>
    </row>
    <row r="29" spans="1:155" ht="14" x14ac:dyDescent="0.15">
      <c r="A29" s="27">
        <v>26</v>
      </c>
      <c r="B29" s="28" t="s">
        <v>24</v>
      </c>
      <c r="C29" s="28">
        <v>19.217500000000001</v>
      </c>
      <c r="D29" s="28">
        <v>19.6951</v>
      </c>
      <c r="E29" s="28">
        <v>22.4848</v>
      </c>
      <c r="F29" s="28">
        <v>23.985800000000001</v>
      </c>
      <c r="G29" s="28">
        <v>24.577100000000002</v>
      </c>
      <c r="H29" s="28">
        <v>24.001000000000001</v>
      </c>
      <c r="I29" s="28">
        <v>25.638500000000001</v>
      </c>
      <c r="J29" s="28">
        <v>26.548200000000001</v>
      </c>
      <c r="K29" s="28">
        <v>28.792100000000001</v>
      </c>
      <c r="L29" s="28">
        <v>27.215299999999999</v>
      </c>
      <c r="M29" s="28">
        <v>25.941700000000001</v>
      </c>
      <c r="N29" s="28">
        <v>27.89</v>
      </c>
      <c r="O29" s="28">
        <v>27.078800000000001</v>
      </c>
      <c r="P29" s="28">
        <v>28.003699999999998</v>
      </c>
      <c r="Q29" s="28">
        <v>27.162199999999999</v>
      </c>
      <c r="R29" s="28">
        <v>27.124300000000002</v>
      </c>
      <c r="S29" s="28">
        <v>28.0871</v>
      </c>
      <c r="T29" s="28">
        <v>26.593599999999999</v>
      </c>
      <c r="U29" s="28">
        <v>20.2879</v>
      </c>
      <c r="V29" s="28">
        <v>20.458600000000001</v>
      </c>
      <c r="W29" s="28">
        <v>19.787400000000002</v>
      </c>
      <c r="X29" s="28">
        <v>17.423400000000001</v>
      </c>
      <c r="Y29" s="28">
        <v>17.857099999999999</v>
      </c>
      <c r="Z29" s="28">
        <v>18.3721</v>
      </c>
      <c r="AA29" s="28">
        <v>18.181100000000001</v>
      </c>
      <c r="AB29" s="28">
        <v>17.982600000000001</v>
      </c>
      <c r="AC29" s="28">
        <v>18.345600000000001</v>
      </c>
      <c r="AD29" s="28">
        <v>17.6906</v>
      </c>
      <c r="AE29" s="28">
        <v>15.117900000000001</v>
      </c>
      <c r="AF29" s="28">
        <v>13.6732</v>
      </c>
      <c r="AG29" s="28">
        <v>12.919499999999999</v>
      </c>
      <c r="AH29" s="28">
        <v>12.867599999999999</v>
      </c>
      <c r="AI29" s="28">
        <v>12.9693</v>
      </c>
      <c r="AJ29" s="28">
        <v>13.321999999999999</v>
      </c>
      <c r="AK29" s="28">
        <v>13.056100000000001</v>
      </c>
      <c r="AL29" s="28">
        <v>13.3954</v>
      </c>
      <c r="AM29" s="28">
        <v>13.304399999999999</v>
      </c>
      <c r="AN29" s="28">
        <v>13.3726</v>
      </c>
      <c r="AO29" s="28">
        <v>14.131399999999999</v>
      </c>
      <c r="AP29" s="28">
        <v>14.039199999999999</v>
      </c>
      <c r="AQ29" s="28">
        <v>14.115</v>
      </c>
      <c r="AR29" s="28">
        <v>13.9727</v>
      </c>
      <c r="AS29" s="28">
        <v>13.9917</v>
      </c>
      <c r="AT29" s="28">
        <v>15.175800000000001</v>
      </c>
      <c r="AU29" s="28">
        <v>15.109400000000001</v>
      </c>
      <c r="AV29" s="28">
        <v>15.207599999999999</v>
      </c>
      <c r="AW29" s="28">
        <v>14.9908</v>
      </c>
      <c r="AX29" s="28">
        <v>15.8119</v>
      </c>
      <c r="AY29" s="28">
        <v>14.493</v>
      </c>
      <c r="AZ29" s="28">
        <v>14.6633</v>
      </c>
      <c r="BA29" s="28">
        <v>9.8551000000000002</v>
      </c>
      <c r="BB29" s="28">
        <v>8.9984999999999999</v>
      </c>
      <c r="BC29" s="28"/>
      <c r="BD29" s="31" t="s">
        <v>49</v>
      </c>
      <c r="BE29" s="28" t="s">
        <v>24</v>
      </c>
      <c r="BF29" s="32">
        <f t="shared" si="4"/>
        <v>-53.175491088851309</v>
      </c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  <c r="CI29" s="32"/>
      <c r="CJ29" s="32"/>
      <c r="CK29" s="32"/>
      <c r="CL29" s="32"/>
      <c r="CM29" s="32"/>
      <c r="CN29" s="32"/>
      <c r="CO29" s="32"/>
      <c r="CP29" s="32"/>
      <c r="CQ29" s="32"/>
      <c r="CR29" s="32"/>
      <c r="CS29" s="32"/>
      <c r="CT29" s="32"/>
      <c r="CU29" s="32"/>
      <c r="CV29" s="32"/>
      <c r="CW29" s="32"/>
      <c r="CX29" s="32"/>
      <c r="CY29" s="32"/>
      <c r="CZ29" s="32"/>
      <c r="DA29" s="32"/>
      <c r="DB29" s="32"/>
      <c r="DC29" s="32"/>
      <c r="DD29" s="32"/>
      <c r="DE29" s="32"/>
      <c r="DF29" s="32"/>
      <c r="DG29" s="32"/>
      <c r="DH29" s="32"/>
      <c r="DI29" s="32"/>
      <c r="DJ29" s="32"/>
      <c r="DK29" s="32"/>
      <c r="DL29" s="32"/>
      <c r="DM29" s="32"/>
      <c r="DN29" s="32"/>
      <c r="DO29" s="32"/>
      <c r="DP29" s="32"/>
      <c r="DQ29" s="32"/>
      <c r="DR29" s="32"/>
      <c r="DS29" s="32"/>
      <c r="DT29" s="32"/>
      <c r="DU29" s="32"/>
      <c r="DV29" s="32"/>
      <c r="DW29" s="32"/>
      <c r="DX29" s="32"/>
      <c r="DY29" s="32"/>
      <c r="DZ29" s="32"/>
      <c r="EA29" s="32"/>
      <c r="EB29" s="32"/>
      <c r="EC29" s="32"/>
      <c r="ED29" s="32"/>
      <c r="EE29" s="32"/>
      <c r="EF29" s="32"/>
      <c r="EG29" s="32"/>
      <c r="EH29" s="32"/>
      <c r="EI29" s="32"/>
      <c r="EJ29" s="32"/>
      <c r="EK29" s="32"/>
      <c r="EL29" s="32"/>
      <c r="EM29" s="32"/>
      <c r="EN29" s="32"/>
      <c r="EO29" s="32"/>
      <c r="EP29" s="32"/>
      <c r="EQ29" s="32"/>
      <c r="ER29" s="32"/>
      <c r="ES29" s="32"/>
      <c r="ET29" s="32"/>
      <c r="EU29" s="32"/>
      <c r="EV29" s="32"/>
      <c r="EW29" s="32"/>
      <c r="EX29" s="32"/>
      <c r="EY29" s="32"/>
    </row>
    <row r="30" spans="1:155" ht="14" x14ac:dyDescent="0.15">
      <c r="A30" s="2"/>
      <c r="B30" s="3" t="s">
        <v>0</v>
      </c>
      <c r="C30" s="3">
        <v>1962</v>
      </c>
      <c r="D30" s="3">
        <v>1963</v>
      </c>
      <c r="E30" s="3">
        <v>1964</v>
      </c>
      <c r="F30" s="3">
        <v>1965</v>
      </c>
      <c r="G30" s="3">
        <v>1966</v>
      </c>
      <c r="H30" s="3">
        <v>1967</v>
      </c>
      <c r="I30" s="3">
        <v>1968</v>
      </c>
      <c r="J30" s="3">
        <v>1969</v>
      </c>
      <c r="K30" s="3">
        <v>1970</v>
      </c>
      <c r="L30" s="3">
        <v>1971</v>
      </c>
      <c r="M30" s="3">
        <v>1972</v>
      </c>
      <c r="N30" s="3">
        <v>1973</v>
      </c>
      <c r="O30" s="3">
        <v>1974</v>
      </c>
      <c r="P30" s="3">
        <v>1975</v>
      </c>
      <c r="Q30" s="3">
        <v>1976</v>
      </c>
      <c r="R30" s="3">
        <v>1977</v>
      </c>
      <c r="S30" s="3">
        <v>1978</v>
      </c>
      <c r="T30" s="3">
        <v>1979</v>
      </c>
      <c r="U30" s="3">
        <v>1980</v>
      </c>
      <c r="V30" s="3">
        <v>1981</v>
      </c>
      <c r="W30" s="3">
        <v>1982</v>
      </c>
      <c r="X30" s="3">
        <v>1983</v>
      </c>
      <c r="Y30" s="3">
        <v>1984</v>
      </c>
      <c r="Z30" s="3">
        <v>1985</v>
      </c>
      <c r="AA30" s="3">
        <v>1986</v>
      </c>
      <c r="AB30" s="3">
        <v>1987</v>
      </c>
      <c r="AC30" s="3">
        <v>1988</v>
      </c>
      <c r="AD30" s="3">
        <v>1989</v>
      </c>
      <c r="AE30" s="3">
        <v>1990</v>
      </c>
      <c r="AF30" s="3">
        <v>1991</v>
      </c>
      <c r="AG30" s="3">
        <v>1992</v>
      </c>
      <c r="AH30" s="3">
        <v>1993</v>
      </c>
      <c r="AI30" s="3">
        <v>1994</v>
      </c>
      <c r="AJ30" s="3">
        <v>1995</v>
      </c>
      <c r="AK30" s="3">
        <v>1996</v>
      </c>
      <c r="AL30" s="3">
        <v>1997</v>
      </c>
      <c r="AM30" s="3">
        <v>1998</v>
      </c>
      <c r="AN30" s="3">
        <v>1999</v>
      </c>
      <c r="AO30" s="3">
        <v>2000</v>
      </c>
      <c r="AP30" s="3">
        <v>2001</v>
      </c>
      <c r="AQ30" s="3">
        <v>2002</v>
      </c>
      <c r="AR30" s="3">
        <v>2003</v>
      </c>
      <c r="AS30" s="3">
        <v>2004</v>
      </c>
      <c r="AT30" s="3">
        <v>2005</v>
      </c>
      <c r="AU30" s="3">
        <v>2006</v>
      </c>
      <c r="AV30" s="3">
        <v>2007</v>
      </c>
      <c r="AW30" s="3">
        <v>2008</v>
      </c>
      <c r="AX30" s="3">
        <v>2009</v>
      </c>
      <c r="AY30" s="3">
        <v>2010</v>
      </c>
      <c r="AZ30" s="3">
        <v>2011</v>
      </c>
      <c r="BA30" s="3">
        <v>2012</v>
      </c>
      <c r="BB30" s="3">
        <v>2013</v>
      </c>
      <c r="BC30" s="3"/>
      <c r="BD30" s="3" t="s">
        <v>38</v>
      </c>
      <c r="BE30" s="4"/>
      <c r="BF30" s="4" t="s">
        <v>39</v>
      </c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</row>
    <row r="31" spans="1:155" ht="14" x14ac:dyDescent="0.15">
      <c r="A31" s="35" t="s">
        <v>50</v>
      </c>
      <c r="B31" s="36" t="s">
        <v>51</v>
      </c>
      <c r="C31" s="6">
        <f t="shared" ref="C31:BB31" si="5">C6+C7-C8-C9+C10</f>
        <v>114.64876686599999</v>
      </c>
      <c r="D31" s="6">
        <f t="shared" si="5"/>
        <v>121.59799941499999</v>
      </c>
      <c r="E31" s="6">
        <f t="shared" si="5"/>
        <v>130.11820541200001</v>
      </c>
      <c r="F31" s="6">
        <f t="shared" si="5"/>
        <v>139.339577994</v>
      </c>
      <c r="G31" s="6">
        <f t="shared" si="5"/>
        <v>148.31080359100002</v>
      </c>
      <c r="H31" s="6">
        <f t="shared" si="5"/>
        <v>157.78499924299999</v>
      </c>
      <c r="I31" s="6">
        <f t="shared" si="5"/>
        <v>168.05546668700001</v>
      </c>
      <c r="J31" s="6">
        <f t="shared" si="5"/>
        <v>181.68275945700003</v>
      </c>
      <c r="K31" s="6">
        <f t="shared" si="5"/>
        <v>198.07867428399996</v>
      </c>
      <c r="L31" s="6">
        <f t="shared" si="5"/>
        <v>206.13056514199997</v>
      </c>
      <c r="M31" s="6">
        <f t="shared" si="5"/>
        <v>214.08422143400003</v>
      </c>
      <c r="N31" s="6">
        <f t="shared" si="5"/>
        <v>233.53585781500001</v>
      </c>
      <c r="O31" s="6">
        <f t="shared" si="5"/>
        <v>257.629600084</v>
      </c>
      <c r="P31" s="6">
        <f t="shared" si="5"/>
        <v>276.48046924699997</v>
      </c>
      <c r="Q31" s="6">
        <f t="shared" si="5"/>
        <v>293.55683844500004</v>
      </c>
      <c r="R31" s="6">
        <f t="shared" si="5"/>
        <v>303.54896033</v>
      </c>
      <c r="S31" s="6">
        <f t="shared" si="5"/>
        <v>314.349020602</v>
      </c>
      <c r="T31" s="6">
        <f t="shared" si="5"/>
        <v>323.84443442100002</v>
      </c>
      <c r="U31" s="6">
        <f t="shared" si="5"/>
        <v>331.81779359899997</v>
      </c>
      <c r="V31" s="6">
        <f t="shared" si="5"/>
        <v>348.39452555999998</v>
      </c>
      <c r="W31" s="6">
        <f t="shared" si="5"/>
        <v>361.99029306499995</v>
      </c>
      <c r="X31" s="6">
        <f t="shared" si="5"/>
        <v>359.40211519699994</v>
      </c>
      <c r="Y31" s="6">
        <f t="shared" si="5"/>
        <v>362.11976706899998</v>
      </c>
      <c r="Z31" s="6">
        <f t="shared" si="5"/>
        <v>369.859550888</v>
      </c>
      <c r="AA31" s="6">
        <f t="shared" si="5"/>
        <v>375.57181443600001</v>
      </c>
      <c r="AB31" s="6">
        <f t="shared" si="5"/>
        <v>389.562642369</v>
      </c>
      <c r="AC31" s="6">
        <f t="shared" si="5"/>
        <v>415.17784087799998</v>
      </c>
      <c r="AD31" s="6">
        <f t="shared" si="5"/>
        <v>438.37085460999998</v>
      </c>
      <c r="AE31" s="6">
        <f t="shared" si="5"/>
        <v>450.14686784799989</v>
      </c>
      <c r="AF31" s="6">
        <f t="shared" si="5"/>
        <v>446.94682382899998</v>
      </c>
      <c r="AG31" s="6">
        <f t="shared" si="5"/>
        <v>454.43827568</v>
      </c>
      <c r="AH31" s="6">
        <f t="shared" si="5"/>
        <v>459.50219396999995</v>
      </c>
      <c r="AI31" s="6">
        <f t="shared" si="5"/>
        <v>469.14053570000004</v>
      </c>
      <c r="AJ31" s="6">
        <f t="shared" si="5"/>
        <v>482.63013381000002</v>
      </c>
      <c r="AK31" s="6">
        <f t="shared" si="5"/>
        <v>507.61708375000001</v>
      </c>
      <c r="AL31" s="6">
        <f t="shared" si="5"/>
        <v>539.80088407999995</v>
      </c>
      <c r="AM31" s="6">
        <f t="shared" si="5"/>
        <v>550.66728271999989</v>
      </c>
      <c r="AN31" s="6">
        <f t="shared" si="5"/>
        <v>574.68061734000003</v>
      </c>
      <c r="AO31" s="6">
        <f t="shared" si="5"/>
        <v>588.77156660000003</v>
      </c>
      <c r="AP31" s="6">
        <f t="shared" si="5"/>
        <v>607.95001967999997</v>
      </c>
      <c r="AQ31" s="6">
        <f t="shared" si="5"/>
        <v>630.64031948999991</v>
      </c>
      <c r="AR31" s="6">
        <f t="shared" si="5"/>
        <v>657.2532765599999</v>
      </c>
      <c r="AS31" s="6">
        <f t="shared" si="5"/>
        <v>693.68138110000007</v>
      </c>
      <c r="AT31" s="6">
        <f t="shared" si="5"/>
        <v>714.09813596999982</v>
      </c>
      <c r="AU31" s="6">
        <f t="shared" si="5"/>
        <v>735.49956294999993</v>
      </c>
      <c r="AV31" s="6">
        <f t="shared" si="5"/>
        <v>754.37737302000005</v>
      </c>
      <c r="AW31" s="6">
        <f t="shared" si="5"/>
        <v>759.7373860900002</v>
      </c>
      <c r="AX31" s="6">
        <f t="shared" si="5"/>
        <v>763.08859344999996</v>
      </c>
      <c r="AY31" s="6">
        <f t="shared" si="5"/>
        <v>803.6019268</v>
      </c>
      <c r="AZ31" s="6">
        <f t="shared" si="5"/>
        <v>841.3316689400001</v>
      </c>
      <c r="BA31" s="6">
        <f t="shared" si="5"/>
        <v>868.77064116000008</v>
      </c>
      <c r="BB31" s="6">
        <f t="shared" si="5"/>
        <v>884.98379705000002</v>
      </c>
      <c r="BC31" s="6"/>
      <c r="BD31" s="18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7"/>
      <c r="DP31" s="17"/>
      <c r="DQ31" s="17"/>
      <c r="DR31" s="17"/>
      <c r="DS31" s="17"/>
      <c r="DT31" s="17"/>
      <c r="DU31" s="17"/>
      <c r="DV31" s="17"/>
      <c r="DW31" s="17"/>
      <c r="DX31" s="17"/>
      <c r="DY31" s="17"/>
      <c r="DZ31" s="17"/>
      <c r="EA31" s="17"/>
      <c r="EB31" s="17"/>
      <c r="EC31" s="17"/>
      <c r="ED31" s="17"/>
      <c r="EE31" s="17"/>
      <c r="EF31" s="17"/>
      <c r="EG31" s="17"/>
      <c r="EH31" s="17"/>
      <c r="EI31" s="17"/>
      <c r="EJ31" s="17"/>
      <c r="EK31" s="17"/>
      <c r="EL31" s="17"/>
      <c r="EM31" s="17"/>
      <c r="EN31" s="17"/>
      <c r="EO31" s="17"/>
      <c r="EP31" s="17"/>
      <c r="EQ31" s="17"/>
      <c r="ER31" s="17"/>
      <c r="ES31" s="17"/>
      <c r="ET31" s="17"/>
      <c r="EU31" s="17"/>
      <c r="EV31" s="17"/>
      <c r="EW31" s="17"/>
      <c r="EX31" s="17"/>
      <c r="EY31" s="17"/>
    </row>
    <row r="32" spans="1:155" ht="14" x14ac:dyDescent="0.15">
      <c r="A32" s="37"/>
      <c r="B32" s="36" t="s">
        <v>52</v>
      </c>
      <c r="C32" s="6"/>
      <c r="D32" s="6">
        <f t="shared" ref="D32:BB32" si="6">(D31-C31)/C31</f>
        <v>6.0613234132052857E-2</v>
      </c>
      <c r="E32" s="6">
        <f t="shared" si="6"/>
        <v>7.00686363097269E-2</v>
      </c>
      <c r="F32" s="6">
        <f t="shared" si="6"/>
        <v>7.0869195842364077E-2</v>
      </c>
      <c r="G32" s="6">
        <f t="shared" si="6"/>
        <v>6.4383901014730585E-2</v>
      </c>
      <c r="H32" s="6">
        <f t="shared" si="6"/>
        <v>6.3880684499068335E-2</v>
      </c>
      <c r="I32" s="6">
        <f t="shared" si="6"/>
        <v>6.5091532739324456E-2</v>
      </c>
      <c r="J32" s="6">
        <f t="shared" si="6"/>
        <v>8.1088065973959594E-2</v>
      </c>
      <c r="K32" s="6">
        <f t="shared" si="6"/>
        <v>9.0244747911154707E-2</v>
      </c>
      <c r="L32" s="6">
        <f t="shared" si="6"/>
        <v>4.0649963390079133E-2</v>
      </c>
      <c r="M32" s="6">
        <f t="shared" si="6"/>
        <v>3.8585526054910481E-2</v>
      </c>
      <c r="N32" s="6">
        <f t="shared" si="6"/>
        <v>9.0859738521162928E-2</v>
      </c>
      <c r="O32" s="6">
        <f t="shared" si="6"/>
        <v>0.10316934835799955</v>
      </c>
      <c r="P32" s="6">
        <f t="shared" si="6"/>
        <v>7.3170432112046338E-2</v>
      </c>
      <c r="Q32" s="6">
        <f t="shared" si="6"/>
        <v>6.1763383303377252E-2</v>
      </c>
      <c r="R32" s="6">
        <f t="shared" si="6"/>
        <v>3.4038116563488117E-2</v>
      </c>
      <c r="S32" s="6">
        <f t="shared" si="6"/>
        <v>3.5579302463295631E-2</v>
      </c>
      <c r="T32" s="6">
        <f t="shared" si="6"/>
        <v>3.0206595843103472E-2</v>
      </c>
      <c r="U32" s="6">
        <f t="shared" si="6"/>
        <v>2.4620954787305471E-2</v>
      </c>
      <c r="V32" s="6">
        <f t="shared" si="6"/>
        <v>4.9957332851875022E-2</v>
      </c>
      <c r="W32" s="6">
        <f t="shared" si="6"/>
        <v>3.9024056084539502E-2</v>
      </c>
      <c r="X32" s="6">
        <f t="shared" si="6"/>
        <v>-7.1498543402523295E-3</v>
      </c>
      <c r="Y32" s="6">
        <f t="shared" si="6"/>
        <v>7.5615912012938491E-3</v>
      </c>
      <c r="Z32" s="6">
        <f t="shared" si="6"/>
        <v>2.1373546883800051E-2</v>
      </c>
      <c r="AA32" s="6">
        <f t="shared" si="6"/>
        <v>1.5444412708243904E-2</v>
      </c>
      <c r="AB32" s="6">
        <f t="shared" si="6"/>
        <v>3.7252071095937159E-2</v>
      </c>
      <c r="AC32" s="6">
        <f t="shared" si="6"/>
        <v>6.5753734375630535E-2</v>
      </c>
      <c r="AD32" s="6">
        <f t="shared" si="6"/>
        <v>5.5862841048916347E-2</v>
      </c>
      <c r="AE32" s="6">
        <f t="shared" si="6"/>
        <v>2.6863129959852204E-2</v>
      </c>
      <c r="AF32" s="6">
        <f t="shared" si="6"/>
        <v>-7.1088887817841173E-3</v>
      </c>
      <c r="AG32" s="6">
        <f t="shared" si="6"/>
        <v>1.6761394088944729E-2</v>
      </c>
      <c r="AH32" s="6">
        <f t="shared" si="6"/>
        <v>1.1143247743431247E-2</v>
      </c>
      <c r="AI32" s="6">
        <f t="shared" si="6"/>
        <v>2.0975616344128624E-2</v>
      </c>
      <c r="AJ32" s="6">
        <f t="shared" si="6"/>
        <v>2.8753853234771701E-2</v>
      </c>
      <c r="AK32" s="6">
        <f t="shared" si="6"/>
        <v>5.1772461331303352E-2</v>
      </c>
      <c r="AL32" s="6">
        <f t="shared" si="6"/>
        <v>6.3401728114119912E-2</v>
      </c>
      <c r="AM32" s="6">
        <f t="shared" si="6"/>
        <v>2.0130383184755053E-2</v>
      </c>
      <c r="AN32" s="6">
        <f t="shared" si="6"/>
        <v>4.3607701734861011E-2</v>
      </c>
      <c r="AO32" s="6">
        <f t="shared" si="6"/>
        <v>2.4519618088430031E-2</v>
      </c>
      <c r="AP32" s="6">
        <f t="shared" si="6"/>
        <v>3.2573674015459735E-2</v>
      </c>
      <c r="AQ32" s="6">
        <f t="shared" si="6"/>
        <v>3.7322640143910492E-2</v>
      </c>
      <c r="AR32" s="6">
        <f t="shared" si="6"/>
        <v>4.219989786178268E-2</v>
      </c>
      <c r="AS32" s="6">
        <f t="shared" si="6"/>
        <v>5.5424759128872417E-2</v>
      </c>
      <c r="AT32" s="6">
        <f t="shared" si="6"/>
        <v>2.943246773846522E-2</v>
      </c>
      <c r="AU32" s="6">
        <f t="shared" si="6"/>
        <v>2.9969868148345385E-2</v>
      </c>
      <c r="AV32" s="6">
        <f t="shared" si="6"/>
        <v>2.5666650289068164E-2</v>
      </c>
      <c r="AW32" s="6">
        <f t="shared" si="6"/>
        <v>7.1052145275015367E-3</v>
      </c>
      <c r="AX32" s="6">
        <f t="shared" si="6"/>
        <v>4.4110075683477957E-3</v>
      </c>
      <c r="AY32" s="6">
        <f t="shared" si="6"/>
        <v>5.3091257945339219E-2</v>
      </c>
      <c r="AZ32" s="6">
        <f t="shared" si="6"/>
        <v>4.6950786056776411E-2</v>
      </c>
      <c r="BA32" s="6">
        <f t="shared" si="6"/>
        <v>3.2613739899474539E-2</v>
      </c>
      <c r="BB32" s="6">
        <f t="shared" si="6"/>
        <v>1.8662182078749583E-2</v>
      </c>
      <c r="BC32" s="6"/>
      <c r="BD32" s="18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7"/>
      <c r="DP32" s="17"/>
      <c r="DQ32" s="17"/>
      <c r="DR32" s="17"/>
      <c r="DS32" s="17"/>
      <c r="DT32" s="17"/>
      <c r="DU32" s="17"/>
      <c r="DV32" s="17"/>
      <c r="DW32" s="17"/>
      <c r="DX32" s="17"/>
      <c r="DY32" s="17"/>
      <c r="DZ32" s="17"/>
      <c r="EA32" s="17"/>
      <c r="EB32" s="17"/>
      <c r="EC32" s="17"/>
      <c r="ED32" s="17"/>
      <c r="EE32" s="17"/>
      <c r="EF32" s="17"/>
      <c r="EG32" s="17"/>
      <c r="EH32" s="17"/>
      <c r="EI32" s="17"/>
      <c r="EJ32" s="17"/>
      <c r="EK32" s="17"/>
      <c r="EL32" s="17"/>
      <c r="EM32" s="17"/>
      <c r="EN32" s="17"/>
      <c r="EO32" s="17"/>
      <c r="EP32" s="17"/>
      <c r="EQ32" s="17"/>
      <c r="ER32" s="17"/>
      <c r="ES32" s="17"/>
      <c r="ET32" s="17"/>
      <c r="EU32" s="17"/>
      <c r="EV32" s="17"/>
      <c r="EW32" s="17"/>
      <c r="EX32" s="17"/>
      <c r="EY32" s="17"/>
    </row>
    <row r="33" spans="1:155" ht="14" x14ac:dyDescent="0.15">
      <c r="A33" s="38" t="s">
        <v>53</v>
      </c>
      <c r="B33" s="39" t="s">
        <v>54</v>
      </c>
      <c r="C33" s="20">
        <f t="shared" ref="C33:BB33" si="7">C18-C19-C20-C21+C22+C24-C23+C25-C26-C27</f>
        <v>-162.36459211558022</v>
      </c>
      <c r="D33" s="20">
        <f t="shared" si="7"/>
        <v>-166.48036870672939</v>
      </c>
      <c r="E33" s="20">
        <f t="shared" si="7"/>
        <v>-170.80467856094091</v>
      </c>
      <c r="F33" s="20">
        <f t="shared" si="7"/>
        <v>-175.58158293621878</v>
      </c>
      <c r="G33" s="20">
        <f t="shared" si="7"/>
        <v>-180.868157810654</v>
      </c>
      <c r="H33" s="20">
        <f t="shared" si="7"/>
        <v>-186.51609896817564</v>
      </c>
      <c r="I33" s="20">
        <f t="shared" si="7"/>
        <v>-192.07827899494865</v>
      </c>
      <c r="J33" s="20">
        <f t="shared" si="7"/>
        <v>-198.04115815652958</v>
      </c>
      <c r="K33" s="20">
        <f t="shared" si="7"/>
        <v>-203.22046133402912</v>
      </c>
      <c r="L33" s="20">
        <f t="shared" si="7"/>
        <v>-213.65551449467276</v>
      </c>
      <c r="M33" s="20">
        <f t="shared" si="7"/>
        <v>-219.18743899833981</v>
      </c>
      <c r="N33" s="20">
        <f t="shared" si="7"/>
        <v>-224.98517471913584</v>
      </c>
      <c r="O33" s="20">
        <f t="shared" si="7"/>
        <v>-231.17179648175335</v>
      </c>
      <c r="P33" s="20">
        <f t="shared" si="7"/>
        <v>-237.11113527094966</v>
      </c>
      <c r="Q33" s="20">
        <f t="shared" si="7"/>
        <v>-243.97094023743679</v>
      </c>
      <c r="R33" s="20">
        <f t="shared" si="7"/>
        <v>-251.05596934179877</v>
      </c>
      <c r="S33" s="20">
        <f t="shared" si="7"/>
        <v>-254.87731313592803</v>
      </c>
      <c r="T33" s="20">
        <f t="shared" si="7"/>
        <v>-258.20172783992535</v>
      </c>
      <c r="U33" s="20">
        <f t="shared" si="7"/>
        <v>-241.07536358118853</v>
      </c>
      <c r="V33" s="20">
        <f t="shared" si="7"/>
        <v>-245.09991561034283</v>
      </c>
      <c r="W33" s="20">
        <f t="shared" si="7"/>
        <v>-253.29514480097995</v>
      </c>
      <c r="X33" s="20">
        <f t="shared" si="7"/>
        <v>-256.23903349288418</v>
      </c>
      <c r="Y33" s="20">
        <f t="shared" si="7"/>
        <v>-256.20301086450104</v>
      </c>
      <c r="Z33" s="20">
        <f t="shared" si="7"/>
        <v>-263.34223596409248</v>
      </c>
      <c r="AA33" s="20">
        <f t="shared" si="7"/>
        <v>-264.92533538915069</v>
      </c>
      <c r="AB33" s="20">
        <f t="shared" si="7"/>
        <v>-269.67261218304486</v>
      </c>
      <c r="AC33" s="20">
        <f t="shared" si="7"/>
        <v>-270.24728542330973</v>
      </c>
      <c r="AD33" s="20">
        <f t="shared" si="7"/>
        <v>-276.51904019883381</v>
      </c>
      <c r="AE33" s="20">
        <f t="shared" si="7"/>
        <v>-282.61882678378117</v>
      </c>
      <c r="AF33" s="20">
        <f t="shared" si="7"/>
        <v>-288.19082360621456</v>
      </c>
      <c r="AG33" s="20">
        <f t="shared" si="7"/>
        <v>-286.58137088546152</v>
      </c>
      <c r="AH33" s="20">
        <f t="shared" si="7"/>
        <v>-284.46256919645521</v>
      </c>
      <c r="AI33" s="20">
        <f t="shared" si="7"/>
        <v>-282.23800521490887</v>
      </c>
      <c r="AJ33" s="20">
        <f t="shared" si="7"/>
        <v>-283.49447978371416</v>
      </c>
      <c r="AK33" s="20">
        <f t="shared" si="7"/>
        <v>-289.61996088455749</v>
      </c>
      <c r="AL33" s="20">
        <f t="shared" si="7"/>
        <v>-292.00662460329158</v>
      </c>
      <c r="AM33" s="20">
        <f t="shared" si="7"/>
        <v>-297.72767236718596</v>
      </c>
      <c r="AN33" s="20">
        <f t="shared" si="7"/>
        <v>-305.00572818502303</v>
      </c>
      <c r="AO33" s="20">
        <f t="shared" si="7"/>
        <v>-302.4806535742336</v>
      </c>
      <c r="AP33" s="20">
        <f t="shared" si="7"/>
        <v>-317.9316752454273</v>
      </c>
      <c r="AQ33" s="20">
        <f t="shared" si="7"/>
        <v>-325.8302123047448</v>
      </c>
      <c r="AR33" s="20">
        <f t="shared" si="7"/>
        <v>-326.22610502914557</v>
      </c>
      <c r="AS33" s="20">
        <f t="shared" si="7"/>
        <v>-335.29953305495127</v>
      </c>
      <c r="AT33" s="20">
        <f t="shared" si="7"/>
        <v>-342.94199000077111</v>
      </c>
      <c r="AU33" s="20">
        <f t="shared" si="7"/>
        <v>-350.65581307012985</v>
      </c>
      <c r="AV33" s="20">
        <f t="shared" si="7"/>
        <v>-362.63346757359926</v>
      </c>
      <c r="AW33" s="20">
        <f t="shared" si="7"/>
        <v>-371.0733025589812</v>
      </c>
      <c r="AX33" s="20">
        <f t="shared" si="7"/>
        <v>-383.43304229739095</v>
      </c>
      <c r="AY33" s="20">
        <f t="shared" si="7"/>
        <v>-382.01561288462636</v>
      </c>
      <c r="AZ33" s="20">
        <f t="shared" si="7"/>
        <v>-383.63341041504322</v>
      </c>
      <c r="BA33" s="20">
        <f t="shared" si="7"/>
        <v>-389.26714305984132</v>
      </c>
      <c r="BB33" s="20">
        <f t="shared" si="7"/>
        <v>-406.3262217627381</v>
      </c>
      <c r="BC33" s="20"/>
      <c r="BD33" s="24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  <c r="BQ33" s="25"/>
      <c r="BR33" s="25"/>
      <c r="BS33" s="25"/>
      <c r="BT33" s="25"/>
      <c r="BU33" s="25"/>
      <c r="BV33" s="25"/>
      <c r="BW33" s="25"/>
      <c r="BX33" s="25"/>
      <c r="BY33" s="25"/>
      <c r="BZ33" s="25"/>
      <c r="CA33" s="25"/>
      <c r="CB33" s="25"/>
      <c r="CC33" s="25"/>
      <c r="CD33" s="25"/>
      <c r="CE33" s="25"/>
      <c r="CF33" s="25"/>
      <c r="CG33" s="25"/>
      <c r="CH33" s="25"/>
      <c r="CI33" s="25"/>
      <c r="CJ33" s="25"/>
      <c r="CK33" s="25"/>
      <c r="CL33" s="25"/>
      <c r="CM33" s="25"/>
      <c r="CN33" s="25"/>
      <c r="CO33" s="25"/>
      <c r="CP33" s="25"/>
      <c r="CQ33" s="25"/>
      <c r="CR33" s="25"/>
      <c r="CS33" s="25"/>
      <c r="CT33" s="25"/>
      <c r="CU33" s="25"/>
      <c r="CV33" s="25"/>
      <c r="CW33" s="25"/>
      <c r="CX33" s="25"/>
      <c r="CY33" s="25"/>
      <c r="CZ33" s="25"/>
      <c r="DA33" s="25"/>
      <c r="DB33" s="25"/>
      <c r="DC33" s="25"/>
      <c r="DD33" s="25"/>
      <c r="DE33" s="25"/>
      <c r="DF33" s="25"/>
      <c r="DG33" s="25"/>
      <c r="DH33" s="25"/>
      <c r="DI33" s="25"/>
      <c r="DJ33" s="25"/>
      <c r="DK33" s="25"/>
      <c r="DL33" s="25"/>
      <c r="DM33" s="25"/>
      <c r="DN33" s="25"/>
      <c r="DO33" s="25"/>
      <c r="DP33" s="25"/>
      <c r="DQ33" s="25"/>
      <c r="DR33" s="25"/>
      <c r="DS33" s="25"/>
      <c r="DT33" s="25"/>
      <c r="DU33" s="25"/>
      <c r="DV33" s="25"/>
      <c r="DW33" s="25"/>
      <c r="DX33" s="25"/>
      <c r="DY33" s="25"/>
      <c r="DZ33" s="25"/>
      <c r="EA33" s="25"/>
      <c r="EB33" s="25"/>
      <c r="EC33" s="25"/>
      <c r="ED33" s="25"/>
      <c r="EE33" s="25"/>
      <c r="EF33" s="25"/>
      <c r="EG33" s="25"/>
      <c r="EH33" s="25"/>
      <c r="EI33" s="25"/>
      <c r="EJ33" s="25"/>
      <c r="EK33" s="25"/>
      <c r="EL33" s="25"/>
      <c r="EM33" s="25"/>
      <c r="EN33" s="25"/>
      <c r="EO33" s="25"/>
      <c r="EP33" s="25"/>
      <c r="EQ33" s="25"/>
      <c r="ER33" s="25"/>
      <c r="ES33" s="25"/>
      <c r="ET33" s="25"/>
      <c r="EU33" s="25"/>
      <c r="EV33" s="25"/>
      <c r="EW33" s="25"/>
      <c r="EX33" s="25"/>
      <c r="EY33" s="25"/>
    </row>
    <row r="34" spans="1:155" ht="14" x14ac:dyDescent="0.15">
      <c r="A34" s="38"/>
      <c r="B34" s="39" t="s">
        <v>52</v>
      </c>
      <c r="C34" s="20"/>
      <c r="D34" s="20">
        <f t="shared" ref="D34:BB34" si="8">(D33-C33)/C33</f>
        <v>2.5348978724495118E-2</v>
      </c>
      <c r="E34" s="20">
        <f t="shared" si="8"/>
        <v>2.5974893543329384E-2</v>
      </c>
      <c r="F34" s="20">
        <f t="shared" si="8"/>
        <v>2.7967058136370238E-2</v>
      </c>
      <c r="G34" s="20">
        <f t="shared" si="8"/>
        <v>3.0108937315798105E-2</v>
      </c>
      <c r="H34" s="20">
        <f t="shared" si="8"/>
        <v>3.1226840732431857E-2</v>
      </c>
      <c r="I34" s="20">
        <f t="shared" si="8"/>
        <v>2.9821447357860808E-2</v>
      </c>
      <c r="J34" s="20">
        <f t="shared" si="8"/>
        <v>3.1044005562637009E-2</v>
      </c>
      <c r="K34" s="20">
        <f t="shared" si="8"/>
        <v>2.6152660516183628E-2</v>
      </c>
      <c r="L34" s="20">
        <f t="shared" si="8"/>
        <v>5.1348437515313775E-2</v>
      </c>
      <c r="M34" s="20">
        <f t="shared" si="8"/>
        <v>2.5891793697676774E-2</v>
      </c>
      <c r="N34" s="20">
        <f t="shared" si="8"/>
        <v>2.6451040019861451E-2</v>
      </c>
      <c r="O34" s="20">
        <f t="shared" si="8"/>
        <v>2.7497908563711732E-2</v>
      </c>
      <c r="P34" s="20">
        <f t="shared" si="8"/>
        <v>2.5692315756455662E-2</v>
      </c>
      <c r="Q34" s="20">
        <f t="shared" si="8"/>
        <v>2.8930758391622364E-2</v>
      </c>
      <c r="R34" s="20">
        <f t="shared" si="8"/>
        <v>2.904046316937052E-2</v>
      </c>
      <c r="S34" s="20">
        <f t="shared" si="8"/>
        <v>1.5221083187736177E-2</v>
      </c>
      <c r="T34" s="20">
        <f t="shared" si="8"/>
        <v>1.3043195814860086E-2</v>
      </c>
      <c r="U34" s="20">
        <f t="shared" si="8"/>
        <v>-6.632939447002649E-2</v>
      </c>
      <c r="V34" s="20">
        <f t="shared" si="8"/>
        <v>1.6694165547940499E-2</v>
      </c>
      <c r="W34" s="20">
        <f t="shared" si="8"/>
        <v>3.3436279120005116E-2</v>
      </c>
      <c r="X34" s="20">
        <f t="shared" si="8"/>
        <v>1.1622365261747532E-2</v>
      </c>
      <c r="Y34" s="20">
        <f t="shared" si="8"/>
        <v>-1.4058212713379201E-4</v>
      </c>
      <c r="Z34" s="20">
        <f t="shared" si="8"/>
        <v>2.7865500391668654E-2</v>
      </c>
      <c r="AA34" s="20">
        <f t="shared" si="8"/>
        <v>6.0115667327821599E-3</v>
      </c>
      <c r="AB34" s="20">
        <f t="shared" si="8"/>
        <v>1.7919300873662627E-2</v>
      </c>
      <c r="AC34" s="20">
        <f t="shared" si="8"/>
        <v>2.1310033511108E-3</v>
      </c>
      <c r="AD34" s="20">
        <f t="shared" si="8"/>
        <v>2.3207466323667696E-2</v>
      </c>
      <c r="AE34" s="20">
        <f t="shared" si="8"/>
        <v>2.2059191947727194E-2</v>
      </c>
      <c r="AF34" s="20">
        <f t="shared" si="8"/>
        <v>1.9715589671937435E-2</v>
      </c>
      <c r="AG34" s="20">
        <f t="shared" si="8"/>
        <v>-5.5846771962184509E-3</v>
      </c>
      <c r="AH34" s="20">
        <f t="shared" si="8"/>
        <v>-7.3933685307589073E-3</v>
      </c>
      <c r="AI34" s="20">
        <f t="shared" si="8"/>
        <v>-7.8202344436044714E-3</v>
      </c>
      <c r="AJ34" s="20">
        <f t="shared" si="8"/>
        <v>4.4518262799106414E-3</v>
      </c>
      <c r="AK34" s="20">
        <f t="shared" si="8"/>
        <v>2.1607056001642894E-2</v>
      </c>
      <c r="AL34" s="20">
        <f t="shared" si="8"/>
        <v>8.2406741284155576E-3</v>
      </c>
      <c r="AM34" s="20">
        <f t="shared" si="8"/>
        <v>1.959218484055545E-2</v>
      </c>
      <c r="AN34" s="20">
        <f t="shared" si="8"/>
        <v>2.4445345506416628E-2</v>
      </c>
      <c r="AO34" s="20">
        <f t="shared" si="8"/>
        <v>-8.2787776669481662E-3</v>
      </c>
      <c r="AP34" s="20">
        <f t="shared" si="8"/>
        <v>5.1081024484105633E-2</v>
      </c>
      <c r="AQ34" s="20">
        <f t="shared" si="8"/>
        <v>2.4843504671940065E-2</v>
      </c>
      <c r="AR34" s="20">
        <f t="shared" si="8"/>
        <v>1.2150276722359113E-3</v>
      </c>
      <c r="AS34" s="20">
        <f t="shared" si="8"/>
        <v>2.7813310725072298E-2</v>
      </c>
      <c r="AT34" s="20">
        <f t="shared" si="8"/>
        <v>2.2792924511968661E-2</v>
      </c>
      <c r="AU34" s="20">
        <f t="shared" si="8"/>
        <v>2.2493084236612129E-2</v>
      </c>
      <c r="AV34" s="20">
        <f t="shared" si="8"/>
        <v>3.4157866651632902E-2</v>
      </c>
      <c r="AW34" s="20">
        <f t="shared" si="8"/>
        <v>2.3273734335259626E-2</v>
      </c>
      <c r="AX34" s="20">
        <f t="shared" si="8"/>
        <v>3.3308081322948872E-2</v>
      </c>
      <c r="AY34" s="20">
        <f t="shared" si="8"/>
        <v>-3.696680401542524E-3</v>
      </c>
      <c r="AZ34" s="20">
        <f t="shared" si="8"/>
        <v>4.2348989827948394E-3</v>
      </c>
      <c r="BA34" s="20">
        <f t="shared" si="8"/>
        <v>1.4685198139294253E-2</v>
      </c>
      <c r="BB34" s="20">
        <f t="shared" si="8"/>
        <v>4.3823577219499164E-2</v>
      </c>
      <c r="BC34" s="20"/>
      <c r="BD34" s="24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25"/>
      <c r="BR34" s="25"/>
      <c r="BS34" s="25"/>
      <c r="BT34" s="25"/>
      <c r="BU34" s="25"/>
      <c r="BV34" s="25"/>
      <c r="BW34" s="25"/>
      <c r="BX34" s="25"/>
      <c r="BY34" s="25"/>
      <c r="BZ34" s="25"/>
      <c r="CA34" s="25"/>
      <c r="CB34" s="25"/>
      <c r="CC34" s="25"/>
      <c r="CD34" s="25"/>
      <c r="CE34" s="25"/>
      <c r="CF34" s="25"/>
      <c r="CG34" s="25"/>
      <c r="CH34" s="25"/>
      <c r="CI34" s="25"/>
      <c r="CJ34" s="25"/>
      <c r="CK34" s="25"/>
      <c r="CL34" s="25"/>
      <c r="CM34" s="25"/>
      <c r="CN34" s="25"/>
      <c r="CO34" s="25"/>
      <c r="CP34" s="25"/>
      <c r="CQ34" s="25"/>
      <c r="CR34" s="25"/>
      <c r="CS34" s="25"/>
      <c r="CT34" s="25"/>
      <c r="CU34" s="25"/>
      <c r="CV34" s="25"/>
      <c r="CW34" s="25"/>
      <c r="CX34" s="25"/>
      <c r="CY34" s="25"/>
      <c r="CZ34" s="25"/>
      <c r="DA34" s="25"/>
      <c r="DB34" s="25"/>
      <c r="DC34" s="25"/>
      <c r="DD34" s="25"/>
      <c r="DE34" s="25"/>
      <c r="DF34" s="25"/>
      <c r="DG34" s="25"/>
      <c r="DH34" s="25"/>
      <c r="DI34" s="25"/>
      <c r="DJ34" s="25"/>
      <c r="DK34" s="25"/>
      <c r="DL34" s="25"/>
      <c r="DM34" s="25"/>
      <c r="DN34" s="25"/>
      <c r="DO34" s="25"/>
      <c r="DP34" s="25"/>
      <c r="DQ34" s="25"/>
      <c r="DR34" s="25"/>
      <c r="DS34" s="25"/>
      <c r="DT34" s="25"/>
      <c r="DU34" s="25"/>
      <c r="DV34" s="25"/>
      <c r="DW34" s="25"/>
      <c r="DX34" s="25"/>
      <c r="DY34" s="25"/>
      <c r="DZ34" s="25"/>
      <c r="EA34" s="25"/>
      <c r="EB34" s="25"/>
      <c r="EC34" s="25"/>
      <c r="ED34" s="25"/>
      <c r="EE34" s="25"/>
      <c r="EF34" s="25"/>
      <c r="EG34" s="25"/>
      <c r="EH34" s="25"/>
      <c r="EI34" s="25"/>
      <c r="EJ34" s="25"/>
      <c r="EK34" s="25"/>
      <c r="EL34" s="25"/>
      <c r="EM34" s="25"/>
      <c r="EN34" s="25"/>
      <c r="EO34" s="25"/>
      <c r="EP34" s="25"/>
      <c r="EQ34" s="25"/>
      <c r="ER34" s="25"/>
      <c r="ES34" s="25"/>
      <c r="ET34" s="25"/>
      <c r="EU34" s="25"/>
      <c r="EV34" s="25"/>
      <c r="EW34" s="25"/>
      <c r="EX34" s="25"/>
      <c r="EY34" s="25"/>
    </row>
    <row r="35" spans="1:155" ht="14" x14ac:dyDescent="0.15">
      <c r="A35" s="40" t="s">
        <v>55</v>
      </c>
      <c r="B35" s="41" t="s">
        <v>56</v>
      </c>
      <c r="C35" s="28">
        <f t="shared" ref="C35:BB35" si="9">C20-C21-C22-C23+C24+C26-C25+C27-C28-C29</f>
        <v>111.41790432241979</v>
      </c>
      <c r="D35" s="28">
        <f t="shared" si="9"/>
        <v>106.25495789747063</v>
      </c>
      <c r="E35" s="28">
        <f t="shared" si="9"/>
        <v>106.53294750265911</v>
      </c>
      <c r="F35" s="28">
        <f t="shared" si="9"/>
        <v>108.71176451858121</v>
      </c>
      <c r="G35" s="28">
        <f t="shared" si="9"/>
        <v>112.20109508094598</v>
      </c>
      <c r="H35" s="28">
        <f t="shared" si="9"/>
        <v>117.03941416822434</v>
      </c>
      <c r="I35" s="28">
        <f t="shared" si="9"/>
        <v>119.69458912145134</v>
      </c>
      <c r="J35" s="28">
        <f t="shared" si="9"/>
        <v>123.48332607267048</v>
      </c>
      <c r="K35" s="28">
        <f t="shared" si="9"/>
        <v>125.2732180645709</v>
      </c>
      <c r="L35" s="28">
        <f t="shared" si="9"/>
        <v>128.66654821272726</v>
      </c>
      <c r="M35" s="28">
        <f t="shared" si="9"/>
        <v>127.96045032006018</v>
      </c>
      <c r="N35" s="28">
        <f t="shared" si="9"/>
        <v>130.55354976426418</v>
      </c>
      <c r="O35" s="28">
        <f t="shared" si="9"/>
        <v>136.37199032604667</v>
      </c>
      <c r="P35" s="28">
        <f t="shared" si="9"/>
        <v>140.14081782825028</v>
      </c>
      <c r="Q35" s="28">
        <f t="shared" si="9"/>
        <v>139.96349871436325</v>
      </c>
      <c r="R35" s="28">
        <f t="shared" si="9"/>
        <v>140.46313337720122</v>
      </c>
      <c r="S35" s="28">
        <f t="shared" si="9"/>
        <v>142.82719695047194</v>
      </c>
      <c r="T35" s="28">
        <f t="shared" si="9"/>
        <v>143.43648698527451</v>
      </c>
      <c r="U35" s="28">
        <f t="shared" si="9"/>
        <v>139.89049879289459</v>
      </c>
      <c r="V35" s="28">
        <f t="shared" si="9"/>
        <v>143.7892303209801</v>
      </c>
      <c r="W35" s="28">
        <f t="shared" si="9"/>
        <v>142.50144345111528</v>
      </c>
      <c r="X35" s="28">
        <f t="shared" si="9"/>
        <v>146.86422795642301</v>
      </c>
      <c r="Y35" s="28">
        <f t="shared" si="9"/>
        <v>145.70184324301948</v>
      </c>
      <c r="Z35" s="28">
        <f t="shared" si="9"/>
        <v>146.90408079349251</v>
      </c>
      <c r="AA35" s="28">
        <f t="shared" si="9"/>
        <v>146.72650321233937</v>
      </c>
      <c r="AB35" s="28">
        <f t="shared" si="9"/>
        <v>149.53767939100067</v>
      </c>
      <c r="AC35" s="28">
        <f t="shared" si="9"/>
        <v>145.59075201603235</v>
      </c>
      <c r="AD35" s="28">
        <f t="shared" si="9"/>
        <v>143.76590617632334</v>
      </c>
      <c r="AE35" s="28">
        <f t="shared" si="9"/>
        <v>152.87399214603752</v>
      </c>
      <c r="AF35" s="28">
        <f t="shared" si="9"/>
        <v>158.19408835323793</v>
      </c>
      <c r="AG35" s="28">
        <f t="shared" si="9"/>
        <v>154.25990386135311</v>
      </c>
      <c r="AH35" s="28">
        <f t="shared" si="9"/>
        <v>152.24230399140777</v>
      </c>
      <c r="AI35" s="28">
        <f t="shared" si="9"/>
        <v>148.65418526149679</v>
      </c>
      <c r="AJ35" s="28">
        <f t="shared" si="9"/>
        <v>146.19405226232277</v>
      </c>
      <c r="AK35" s="28">
        <f t="shared" si="9"/>
        <v>149.8062952522796</v>
      </c>
      <c r="AL35" s="28">
        <f t="shared" si="9"/>
        <v>148.74033426027586</v>
      </c>
      <c r="AM35" s="28">
        <f t="shared" si="9"/>
        <v>146.09103804898385</v>
      </c>
      <c r="AN35" s="28">
        <f t="shared" si="9"/>
        <v>148.45699920862239</v>
      </c>
      <c r="AO35" s="28">
        <f t="shared" si="9"/>
        <v>139.57683302194613</v>
      </c>
      <c r="AP35" s="28">
        <f t="shared" si="9"/>
        <v>154.58239316979257</v>
      </c>
      <c r="AQ35" s="28">
        <f t="shared" si="9"/>
        <v>156.68884769863237</v>
      </c>
      <c r="AR35" s="28">
        <f t="shared" si="9"/>
        <v>154.3665124985101</v>
      </c>
      <c r="AS35" s="28">
        <f t="shared" si="9"/>
        <v>156.32758920224464</v>
      </c>
      <c r="AT35" s="28">
        <f t="shared" si="9"/>
        <v>157.68927818851509</v>
      </c>
      <c r="AU35" s="28">
        <f t="shared" si="9"/>
        <v>161.29397396382367</v>
      </c>
      <c r="AV35" s="28">
        <f t="shared" si="9"/>
        <v>164.78067670816046</v>
      </c>
      <c r="AW35" s="28">
        <f t="shared" si="9"/>
        <v>171.55986266337297</v>
      </c>
      <c r="AX35" s="28">
        <f t="shared" si="9"/>
        <v>177.98791931902218</v>
      </c>
      <c r="AY35" s="28">
        <f t="shared" si="9"/>
        <v>182.23650345788892</v>
      </c>
      <c r="AZ35" s="28">
        <f t="shared" si="9"/>
        <v>186.74007508730503</v>
      </c>
      <c r="BA35" s="28">
        <f t="shared" si="9"/>
        <v>193.3774480723761</v>
      </c>
      <c r="BB35" s="28">
        <f t="shared" si="9"/>
        <v>216.73883295825428</v>
      </c>
      <c r="BC35" s="28"/>
      <c r="BD35" s="31"/>
      <c r="BE35" s="32"/>
      <c r="BF35" s="32"/>
      <c r="BG35" s="32"/>
      <c r="BH35" s="32"/>
      <c r="BI35" s="32"/>
      <c r="BJ35" s="32"/>
      <c r="BK35" s="32"/>
      <c r="BL35" s="32"/>
      <c r="BM35" s="32"/>
      <c r="BN35" s="32"/>
      <c r="BO35" s="32"/>
      <c r="BP35" s="32"/>
      <c r="BQ35" s="32"/>
      <c r="BR35" s="32"/>
      <c r="BS35" s="32"/>
      <c r="BT35" s="32"/>
      <c r="BU35" s="32"/>
      <c r="BV35" s="32"/>
      <c r="BW35" s="32"/>
      <c r="BX35" s="32"/>
      <c r="BY35" s="32"/>
      <c r="BZ35" s="32"/>
      <c r="CA35" s="32"/>
      <c r="CB35" s="32"/>
      <c r="CC35" s="32"/>
      <c r="CD35" s="32"/>
      <c r="CE35" s="32"/>
      <c r="CF35" s="32"/>
      <c r="CG35" s="32"/>
      <c r="CH35" s="32"/>
      <c r="CI35" s="32"/>
      <c r="CJ35" s="32"/>
      <c r="CK35" s="32"/>
      <c r="CL35" s="32"/>
      <c r="CM35" s="32"/>
      <c r="CN35" s="32"/>
      <c r="CO35" s="32"/>
      <c r="CP35" s="32"/>
      <c r="CQ35" s="32"/>
      <c r="CR35" s="32"/>
      <c r="CS35" s="32"/>
      <c r="CT35" s="32"/>
      <c r="CU35" s="32"/>
      <c r="CV35" s="32"/>
      <c r="CW35" s="32"/>
      <c r="CX35" s="32"/>
      <c r="CY35" s="32"/>
      <c r="CZ35" s="32"/>
      <c r="DA35" s="32"/>
      <c r="DB35" s="32"/>
      <c r="DC35" s="32"/>
      <c r="DD35" s="32"/>
      <c r="DE35" s="32"/>
      <c r="DF35" s="32"/>
      <c r="DG35" s="32"/>
      <c r="DH35" s="32"/>
      <c r="DI35" s="32"/>
      <c r="DJ35" s="32"/>
      <c r="DK35" s="32"/>
      <c r="DL35" s="32"/>
      <c r="DM35" s="32"/>
      <c r="DN35" s="32"/>
      <c r="DO35" s="32"/>
      <c r="DP35" s="32"/>
      <c r="DQ35" s="32"/>
      <c r="DR35" s="32"/>
      <c r="DS35" s="32"/>
      <c r="DT35" s="32"/>
      <c r="DU35" s="32"/>
      <c r="DV35" s="32"/>
      <c r="DW35" s="32"/>
      <c r="DX35" s="32"/>
      <c r="DY35" s="32"/>
      <c r="DZ35" s="32"/>
      <c r="EA35" s="32"/>
      <c r="EB35" s="32"/>
      <c r="EC35" s="32"/>
      <c r="ED35" s="32"/>
      <c r="EE35" s="32"/>
      <c r="EF35" s="32"/>
      <c r="EG35" s="32"/>
      <c r="EH35" s="32"/>
      <c r="EI35" s="32"/>
      <c r="EJ35" s="32"/>
      <c r="EK35" s="32"/>
      <c r="EL35" s="32"/>
      <c r="EM35" s="32"/>
      <c r="EN35" s="32"/>
      <c r="EO35" s="32"/>
      <c r="EP35" s="32"/>
      <c r="EQ35" s="32"/>
      <c r="ER35" s="32"/>
      <c r="ES35" s="32"/>
      <c r="ET35" s="32"/>
      <c r="EU35" s="32"/>
      <c r="EV35" s="32"/>
      <c r="EW35" s="32"/>
      <c r="EX35" s="32"/>
      <c r="EY35" s="32"/>
    </row>
    <row r="36" spans="1:155" ht="14" x14ac:dyDescent="0.15">
      <c r="A36" s="40"/>
      <c r="B36" s="41" t="s">
        <v>52</v>
      </c>
      <c r="C36" s="28"/>
      <c r="D36" s="28">
        <f t="shared" ref="D36:BB36" si="10">(D35-C35)/C35</f>
        <v>-4.6338570594620793E-2</v>
      </c>
      <c r="E36" s="28">
        <f t="shared" si="10"/>
        <v>2.6162506737494829E-3</v>
      </c>
      <c r="F36" s="28">
        <f t="shared" si="10"/>
        <v>2.0452048563358374E-2</v>
      </c>
      <c r="G36" s="28">
        <f t="shared" si="10"/>
        <v>3.2097083308480087E-2</v>
      </c>
      <c r="H36" s="28">
        <f t="shared" si="10"/>
        <v>4.3121852632434864E-2</v>
      </c>
      <c r="I36" s="28">
        <f t="shared" si="10"/>
        <v>2.2686160658755856E-2</v>
      </c>
      <c r="J36" s="28">
        <f t="shared" si="10"/>
        <v>3.1653368619485311E-2</v>
      </c>
      <c r="K36" s="28">
        <f t="shared" si="10"/>
        <v>1.4495009559809389E-2</v>
      </c>
      <c r="L36" s="28">
        <f t="shared" si="10"/>
        <v>2.7087434972791279E-2</v>
      </c>
      <c r="M36" s="28">
        <f t="shared" si="10"/>
        <v>-5.487812508187296E-3</v>
      </c>
      <c r="N36" s="28">
        <f t="shared" si="10"/>
        <v>2.0264850879455554E-2</v>
      </c>
      <c r="O36" s="28">
        <f t="shared" si="10"/>
        <v>4.4567463483671202E-2</v>
      </c>
      <c r="P36" s="28">
        <f t="shared" si="10"/>
        <v>2.76363752790647E-2</v>
      </c>
      <c r="Q36" s="28">
        <f t="shared" si="10"/>
        <v>-1.2652924154070285E-3</v>
      </c>
      <c r="R36" s="28">
        <f t="shared" si="10"/>
        <v>3.5697497378056713E-3</v>
      </c>
      <c r="S36" s="28">
        <f t="shared" si="10"/>
        <v>1.6830491506424287E-2</v>
      </c>
      <c r="T36" s="28">
        <f t="shared" si="10"/>
        <v>4.2659244724508058E-3</v>
      </c>
      <c r="U36" s="28">
        <f t="shared" si="10"/>
        <v>-2.4721660903086407E-2</v>
      </c>
      <c r="V36" s="28">
        <f t="shared" si="10"/>
        <v>2.7869880811973578E-2</v>
      </c>
      <c r="W36" s="28">
        <f t="shared" si="10"/>
        <v>-8.9560731842718393E-3</v>
      </c>
      <c r="X36" s="28">
        <f t="shared" si="10"/>
        <v>3.0615721494809775E-2</v>
      </c>
      <c r="Y36" s="28">
        <f t="shared" si="10"/>
        <v>-7.9146891627580283E-3</v>
      </c>
      <c r="Z36" s="28">
        <f t="shared" si="10"/>
        <v>8.2513544352887103E-3</v>
      </c>
      <c r="AA36" s="28">
        <f t="shared" si="10"/>
        <v>-1.2087995118581542E-3</v>
      </c>
      <c r="AB36" s="28">
        <f t="shared" si="10"/>
        <v>1.9159293768440909E-2</v>
      </c>
      <c r="AC36" s="28">
        <f t="shared" si="10"/>
        <v>-2.6394199716368218E-2</v>
      </c>
      <c r="AD36" s="28">
        <f t="shared" si="10"/>
        <v>-1.2534077985310924E-2</v>
      </c>
      <c r="AE36" s="28">
        <f t="shared" si="10"/>
        <v>6.3353587870433381E-2</v>
      </c>
      <c r="AF36" s="28">
        <f t="shared" si="10"/>
        <v>3.480053168310162E-2</v>
      </c>
      <c r="AG36" s="28">
        <f t="shared" si="10"/>
        <v>-2.4869352153665959E-2</v>
      </c>
      <c r="AH36" s="28">
        <f t="shared" si="10"/>
        <v>-1.3079224214730074E-2</v>
      </c>
      <c r="AI36" s="28">
        <f t="shared" si="10"/>
        <v>-2.3568473649173621E-2</v>
      </c>
      <c r="AJ36" s="28">
        <f t="shared" si="10"/>
        <v>-1.6549369227959607E-2</v>
      </c>
      <c r="AK36" s="28">
        <f t="shared" si="10"/>
        <v>2.470854958911195E-2</v>
      </c>
      <c r="AL36" s="28">
        <f t="shared" si="10"/>
        <v>-7.1155954441608658E-3</v>
      </c>
      <c r="AM36" s="28">
        <f t="shared" si="10"/>
        <v>-1.7811552088192125E-2</v>
      </c>
      <c r="AN36" s="28">
        <f t="shared" si="10"/>
        <v>1.6195114986076321E-2</v>
      </c>
      <c r="AO36" s="28">
        <f t="shared" si="10"/>
        <v>-5.9816419798417307E-2</v>
      </c>
      <c r="AP36" s="28">
        <f t="shared" si="10"/>
        <v>0.10750752702267621</v>
      </c>
      <c r="AQ36" s="28">
        <f t="shared" si="10"/>
        <v>1.3626742901606429E-2</v>
      </c>
      <c r="AR36" s="28">
        <f t="shared" si="10"/>
        <v>-1.4821317753187726E-2</v>
      </c>
      <c r="AS36" s="28">
        <f t="shared" si="10"/>
        <v>1.2704029338963408E-2</v>
      </c>
      <c r="AT36" s="28">
        <f t="shared" si="10"/>
        <v>8.710484139231511E-3</v>
      </c>
      <c r="AU36" s="28">
        <f t="shared" si="10"/>
        <v>2.2859485544725666E-2</v>
      </c>
      <c r="AV36" s="28">
        <f t="shared" si="10"/>
        <v>2.1617067635265826E-2</v>
      </c>
      <c r="AW36" s="28">
        <f t="shared" si="10"/>
        <v>4.1140660972153811E-2</v>
      </c>
      <c r="AX36" s="28">
        <f t="shared" si="10"/>
        <v>3.7468301477147123E-2</v>
      </c>
      <c r="AY36" s="28">
        <f t="shared" si="10"/>
        <v>2.3870070256013558E-2</v>
      </c>
      <c r="AZ36" s="28">
        <f t="shared" si="10"/>
        <v>2.4712785550436097E-2</v>
      </c>
      <c r="BA36" s="28">
        <f t="shared" si="10"/>
        <v>3.5543377509985215E-2</v>
      </c>
      <c r="BB36" s="28">
        <f t="shared" si="10"/>
        <v>0.12080718366463616</v>
      </c>
      <c r="BC36" s="28"/>
      <c r="BD36" s="31"/>
      <c r="BE36" s="32"/>
      <c r="BF36" s="32"/>
      <c r="BG36" s="32"/>
      <c r="BH36" s="32"/>
      <c r="BI36" s="32"/>
      <c r="BJ36" s="32"/>
      <c r="BK36" s="32"/>
      <c r="BL36" s="32"/>
      <c r="BM36" s="32"/>
      <c r="BN36" s="32"/>
      <c r="BO36" s="32"/>
      <c r="BP36" s="32"/>
      <c r="BQ36" s="32"/>
      <c r="BR36" s="32"/>
      <c r="BS36" s="32"/>
      <c r="BT36" s="32"/>
      <c r="BU36" s="32"/>
      <c r="BV36" s="32"/>
      <c r="BW36" s="32"/>
      <c r="BX36" s="32"/>
      <c r="BY36" s="32"/>
      <c r="BZ36" s="32"/>
      <c r="CA36" s="32"/>
      <c r="CB36" s="32"/>
      <c r="CC36" s="32"/>
      <c r="CD36" s="32"/>
      <c r="CE36" s="32"/>
      <c r="CF36" s="32"/>
      <c r="CG36" s="32"/>
      <c r="CH36" s="32"/>
      <c r="CI36" s="32"/>
      <c r="CJ36" s="32"/>
      <c r="CK36" s="32"/>
      <c r="CL36" s="32"/>
      <c r="CM36" s="32"/>
      <c r="CN36" s="32"/>
      <c r="CO36" s="32"/>
      <c r="CP36" s="32"/>
      <c r="CQ36" s="32"/>
      <c r="CR36" s="32"/>
      <c r="CS36" s="32"/>
      <c r="CT36" s="32"/>
      <c r="CU36" s="32"/>
      <c r="CV36" s="32"/>
      <c r="CW36" s="32"/>
      <c r="CX36" s="32"/>
      <c r="CY36" s="32"/>
      <c r="CZ36" s="32"/>
      <c r="DA36" s="32"/>
      <c r="DB36" s="32"/>
      <c r="DC36" s="32"/>
      <c r="DD36" s="32"/>
      <c r="DE36" s="32"/>
      <c r="DF36" s="32"/>
      <c r="DG36" s="32"/>
      <c r="DH36" s="32"/>
      <c r="DI36" s="32"/>
      <c r="DJ36" s="32"/>
      <c r="DK36" s="32"/>
      <c r="DL36" s="32"/>
      <c r="DM36" s="32"/>
      <c r="DN36" s="32"/>
      <c r="DO36" s="32"/>
      <c r="DP36" s="32"/>
      <c r="DQ36" s="32"/>
      <c r="DR36" s="32"/>
      <c r="DS36" s="32"/>
      <c r="DT36" s="32"/>
      <c r="DU36" s="32"/>
      <c r="DV36" s="32"/>
      <c r="DW36" s="32"/>
      <c r="DX36" s="32"/>
      <c r="DY36" s="32"/>
      <c r="DZ36" s="32"/>
      <c r="EA36" s="32"/>
      <c r="EB36" s="32"/>
      <c r="EC36" s="32"/>
      <c r="ED36" s="32"/>
      <c r="EE36" s="32"/>
      <c r="EF36" s="32"/>
      <c r="EG36" s="32"/>
      <c r="EH36" s="32"/>
      <c r="EI36" s="32"/>
      <c r="EJ36" s="32"/>
      <c r="EK36" s="32"/>
      <c r="EL36" s="32"/>
      <c r="EM36" s="32"/>
      <c r="EN36" s="32"/>
      <c r="EO36" s="32"/>
      <c r="EP36" s="32"/>
      <c r="EQ36" s="32"/>
      <c r="ER36" s="32"/>
      <c r="ES36" s="32"/>
      <c r="ET36" s="32"/>
      <c r="EU36" s="32"/>
      <c r="EV36" s="32"/>
      <c r="EW36" s="32"/>
      <c r="EX36" s="32"/>
      <c r="EY36" s="32"/>
    </row>
    <row r="37" spans="1:155" ht="14" x14ac:dyDescent="0.15">
      <c r="A37" s="13" t="s">
        <v>44</v>
      </c>
      <c r="B37" s="14" t="s">
        <v>57</v>
      </c>
      <c r="C37" s="42">
        <f t="shared" ref="C37:BB37" si="11">C31+C33+C35</f>
        <v>63.702079072839553</v>
      </c>
      <c r="D37" s="42">
        <f t="shared" si="11"/>
        <v>61.372588605741228</v>
      </c>
      <c r="E37" s="42">
        <f t="shared" si="11"/>
        <v>65.846474353718207</v>
      </c>
      <c r="F37" s="42">
        <f t="shared" si="11"/>
        <v>72.469759576362421</v>
      </c>
      <c r="G37" s="42">
        <f t="shared" si="11"/>
        <v>79.643740861292002</v>
      </c>
      <c r="H37" s="42">
        <f t="shared" si="11"/>
        <v>88.308314443048687</v>
      </c>
      <c r="I37" s="42">
        <f t="shared" si="11"/>
        <v>95.671776813502703</v>
      </c>
      <c r="J37" s="42">
        <f t="shared" si="11"/>
        <v>107.12492737314093</v>
      </c>
      <c r="K37" s="42">
        <f t="shared" si="11"/>
        <v>120.13143101454173</v>
      </c>
      <c r="L37" s="42">
        <f t="shared" si="11"/>
        <v>121.14159886005447</v>
      </c>
      <c r="M37" s="42">
        <f t="shared" si="11"/>
        <v>122.85723275572039</v>
      </c>
      <c r="N37" s="42">
        <f t="shared" si="11"/>
        <v>139.10423286012835</v>
      </c>
      <c r="O37" s="42">
        <f t="shared" si="11"/>
        <v>162.82979392829333</v>
      </c>
      <c r="P37" s="42">
        <f t="shared" si="11"/>
        <v>179.51015180430059</v>
      </c>
      <c r="Q37" s="42">
        <f t="shared" si="11"/>
        <v>189.5493969219265</v>
      </c>
      <c r="R37" s="42">
        <f t="shared" si="11"/>
        <v>192.95612436540245</v>
      </c>
      <c r="S37" s="42">
        <f t="shared" si="11"/>
        <v>202.29890441654391</v>
      </c>
      <c r="T37" s="42">
        <f t="shared" si="11"/>
        <v>209.07919356634918</v>
      </c>
      <c r="U37" s="42">
        <f t="shared" si="11"/>
        <v>230.63292881070603</v>
      </c>
      <c r="V37" s="42">
        <f t="shared" si="11"/>
        <v>247.08384027063724</v>
      </c>
      <c r="W37" s="42">
        <f t="shared" si="11"/>
        <v>251.19659171513527</v>
      </c>
      <c r="X37" s="42">
        <f t="shared" si="11"/>
        <v>250.02730966053878</v>
      </c>
      <c r="Y37" s="42">
        <f t="shared" si="11"/>
        <v>251.61859944751842</v>
      </c>
      <c r="Z37" s="42">
        <f t="shared" si="11"/>
        <v>253.42139571740003</v>
      </c>
      <c r="AA37" s="42">
        <f t="shared" si="11"/>
        <v>257.37298225918869</v>
      </c>
      <c r="AB37" s="42">
        <f t="shared" si="11"/>
        <v>269.42770957695581</v>
      </c>
      <c r="AC37" s="42">
        <f t="shared" si="11"/>
        <v>290.5213074707226</v>
      </c>
      <c r="AD37" s="42">
        <f t="shared" si="11"/>
        <v>305.61772058748954</v>
      </c>
      <c r="AE37" s="42">
        <f t="shared" si="11"/>
        <v>320.40203321025626</v>
      </c>
      <c r="AF37" s="42">
        <f t="shared" si="11"/>
        <v>316.95008857602335</v>
      </c>
      <c r="AG37" s="42">
        <f t="shared" si="11"/>
        <v>322.11680865589159</v>
      </c>
      <c r="AH37" s="42">
        <f t="shared" si="11"/>
        <v>327.28192876495251</v>
      </c>
      <c r="AI37" s="42">
        <f t="shared" si="11"/>
        <v>335.556715746588</v>
      </c>
      <c r="AJ37" s="42">
        <f t="shared" si="11"/>
        <v>345.32970628860863</v>
      </c>
      <c r="AK37" s="42">
        <f t="shared" si="11"/>
        <v>367.80341811772212</v>
      </c>
      <c r="AL37" s="42">
        <f t="shared" si="11"/>
        <v>396.53459373698422</v>
      </c>
      <c r="AM37" s="42">
        <f t="shared" si="11"/>
        <v>399.03064840179775</v>
      </c>
      <c r="AN37" s="42">
        <f t="shared" si="11"/>
        <v>418.13188836359939</v>
      </c>
      <c r="AO37" s="42">
        <f t="shared" si="11"/>
        <v>425.86774604771256</v>
      </c>
      <c r="AP37" s="42">
        <f t="shared" si="11"/>
        <v>444.60073760436524</v>
      </c>
      <c r="AQ37" s="42">
        <f t="shared" si="11"/>
        <v>461.49895488388745</v>
      </c>
      <c r="AR37" s="42">
        <f t="shared" si="11"/>
        <v>485.39368402936441</v>
      </c>
      <c r="AS37" s="42">
        <f t="shared" si="11"/>
        <v>514.70943724729341</v>
      </c>
      <c r="AT37" s="42">
        <f t="shared" si="11"/>
        <v>528.84542415774376</v>
      </c>
      <c r="AU37" s="42">
        <f t="shared" si="11"/>
        <v>546.13772384369372</v>
      </c>
      <c r="AV37" s="42">
        <f t="shared" si="11"/>
        <v>556.52458215456124</v>
      </c>
      <c r="AW37" s="42">
        <f t="shared" si="11"/>
        <v>560.22394619439194</v>
      </c>
      <c r="AX37" s="42">
        <f t="shared" si="11"/>
        <v>557.64347047163119</v>
      </c>
      <c r="AY37" s="42">
        <f t="shared" si="11"/>
        <v>603.82281737326252</v>
      </c>
      <c r="AZ37" s="42">
        <f t="shared" si="11"/>
        <v>644.43833361226189</v>
      </c>
      <c r="BA37" s="42">
        <f t="shared" si="11"/>
        <v>672.88094617253489</v>
      </c>
      <c r="BB37" s="42">
        <f t="shared" si="11"/>
        <v>695.39640824551623</v>
      </c>
      <c r="BC37" s="42"/>
      <c r="BD37" s="43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16"/>
      <c r="DK37" s="16"/>
      <c r="DL37" s="16"/>
      <c r="DM37" s="16"/>
      <c r="DN37" s="16"/>
      <c r="DO37" s="16"/>
      <c r="DP37" s="16"/>
      <c r="DQ37" s="16"/>
      <c r="DR37" s="16"/>
      <c r="DS37" s="16"/>
      <c r="DT37" s="16"/>
      <c r="DU37" s="16"/>
      <c r="DV37" s="16"/>
      <c r="DW37" s="16"/>
      <c r="DX37" s="16"/>
      <c r="DY37" s="16"/>
      <c r="DZ37" s="16"/>
      <c r="EA37" s="16"/>
      <c r="EB37" s="16"/>
      <c r="EC37" s="16"/>
      <c r="ED37" s="16"/>
      <c r="EE37" s="16"/>
      <c r="EF37" s="16"/>
      <c r="EG37" s="16"/>
      <c r="EH37" s="16"/>
      <c r="EI37" s="16"/>
      <c r="EJ37" s="16"/>
      <c r="EK37" s="16"/>
      <c r="EL37" s="16"/>
      <c r="EM37" s="16"/>
      <c r="EN37" s="16"/>
      <c r="EO37" s="16"/>
      <c r="EP37" s="16"/>
      <c r="EQ37" s="16"/>
      <c r="ER37" s="16"/>
      <c r="ES37" s="16"/>
      <c r="ET37" s="16"/>
      <c r="EU37" s="16"/>
      <c r="EV37" s="16"/>
      <c r="EW37" s="16"/>
      <c r="EX37" s="16"/>
      <c r="EY37" s="16"/>
    </row>
    <row r="38" spans="1:155" ht="14" x14ac:dyDescent="0.15">
      <c r="A38" s="13"/>
      <c r="B38" s="14" t="s">
        <v>58</v>
      </c>
      <c r="C38" s="42">
        <f t="shared" ref="C38:BB38" si="12">C3-C37</f>
        <v>118.42859211558016</v>
      </c>
      <c r="D38" s="42">
        <f t="shared" si="12"/>
        <v>118.00736870672937</v>
      </c>
      <c r="E38" s="42">
        <f t="shared" si="12"/>
        <v>117.79367856094086</v>
      </c>
      <c r="F38" s="42">
        <f t="shared" si="12"/>
        <v>118.04258293621869</v>
      </c>
      <c r="G38" s="42">
        <f t="shared" si="12"/>
        <v>118.77015781065398</v>
      </c>
      <c r="H38" s="42">
        <f t="shared" si="12"/>
        <v>119.88709896817565</v>
      </c>
      <c r="I38" s="42">
        <f t="shared" si="12"/>
        <v>120.90827899494866</v>
      </c>
      <c r="J38" s="42">
        <f t="shared" si="12"/>
        <v>122.32915815652953</v>
      </c>
      <c r="K38" s="42">
        <f t="shared" si="12"/>
        <v>123.24446133402907</v>
      </c>
      <c r="L38" s="42">
        <f t="shared" si="12"/>
        <v>128.13451449467274</v>
      </c>
      <c r="M38" s="42">
        <f t="shared" si="12"/>
        <v>129.77043899833978</v>
      </c>
      <c r="N38" s="42">
        <f t="shared" si="12"/>
        <v>127.2911747191358</v>
      </c>
      <c r="O38" s="42">
        <f t="shared" si="12"/>
        <v>123.87879648175334</v>
      </c>
      <c r="P38" s="42">
        <f t="shared" si="12"/>
        <v>125.34813527094971</v>
      </c>
      <c r="Q38" s="42">
        <f t="shared" si="12"/>
        <v>130.49594023743677</v>
      </c>
      <c r="R38" s="42">
        <f t="shared" si="12"/>
        <v>128.36696934179872</v>
      </c>
      <c r="S38" s="42">
        <f t="shared" si="12"/>
        <v>132.23331313592809</v>
      </c>
      <c r="T38" s="42">
        <f t="shared" si="12"/>
        <v>131.34072783992534</v>
      </c>
      <c r="U38" s="42">
        <f t="shared" si="12"/>
        <v>87.185363581188511</v>
      </c>
      <c r="V38" s="42">
        <f t="shared" si="12"/>
        <v>89.16991561034277</v>
      </c>
      <c r="W38" s="42">
        <f t="shared" si="12"/>
        <v>91.042144800980026</v>
      </c>
      <c r="X38" s="42">
        <f t="shared" si="12"/>
        <v>99.241033492884185</v>
      </c>
      <c r="Y38" s="42">
        <f t="shared" si="12"/>
        <v>94.737010864500974</v>
      </c>
      <c r="Z38" s="42">
        <f t="shared" si="12"/>
        <v>95.007235964092473</v>
      </c>
      <c r="AA38" s="42">
        <f t="shared" si="12"/>
        <v>95.667335389150708</v>
      </c>
      <c r="AB38" s="42">
        <f t="shared" si="12"/>
        <v>93.24961218304486</v>
      </c>
      <c r="AC38" s="42">
        <f t="shared" si="12"/>
        <v>88.027285423309877</v>
      </c>
      <c r="AD38" s="42">
        <f t="shared" si="12"/>
        <v>84.238040198833858</v>
      </c>
      <c r="AE38" s="42">
        <f t="shared" si="12"/>
        <v>86.623826783781226</v>
      </c>
      <c r="AF38" s="42">
        <f t="shared" si="12"/>
        <v>91.838823606214532</v>
      </c>
      <c r="AG38" s="42">
        <f t="shared" si="12"/>
        <v>85.968370885461638</v>
      </c>
      <c r="AH38" s="42">
        <f t="shared" si="12"/>
        <v>81.875569196455217</v>
      </c>
      <c r="AI38" s="42">
        <f t="shared" si="12"/>
        <v>75.983005214909042</v>
      </c>
      <c r="AJ38" s="42">
        <f t="shared" si="12"/>
        <v>69.287479783714105</v>
      </c>
      <c r="AK38" s="42">
        <f t="shared" si="12"/>
        <v>68.2269608845574</v>
      </c>
      <c r="AL38" s="42">
        <f t="shared" si="12"/>
        <v>65.853624603291394</v>
      </c>
      <c r="AM38" s="42">
        <f t="shared" si="12"/>
        <v>57.799672367186076</v>
      </c>
      <c r="AN38" s="42">
        <f t="shared" si="12"/>
        <v>58.737728185023059</v>
      </c>
      <c r="AO38" s="42">
        <f t="shared" si="12"/>
        <v>52.57765357423375</v>
      </c>
      <c r="AP38" s="42">
        <f t="shared" si="12"/>
        <v>61.158675245427332</v>
      </c>
      <c r="AQ38" s="42">
        <f t="shared" si="12"/>
        <v>64.47221230474463</v>
      </c>
      <c r="AR38" s="42">
        <f t="shared" si="12"/>
        <v>62.03710502914555</v>
      </c>
      <c r="AS38" s="42">
        <f t="shared" si="12"/>
        <v>59.703533054951549</v>
      </c>
      <c r="AT38" s="42">
        <f t="shared" si="12"/>
        <v>63.717990000771124</v>
      </c>
      <c r="AU38" s="42">
        <f t="shared" si="12"/>
        <v>67.90281307012981</v>
      </c>
      <c r="AV38" s="42">
        <f t="shared" si="12"/>
        <v>71.317467573599174</v>
      </c>
      <c r="AW38" s="42">
        <f t="shared" si="12"/>
        <v>77.376302558981365</v>
      </c>
      <c r="AX38" s="42">
        <f t="shared" si="12"/>
        <v>81.788042297390689</v>
      </c>
      <c r="AY38" s="42">
        <f t="shared" si="12"/>
        <v>90.669612884626417</v>
      </c>
      <c r="AZ38" s="42">
        <f t="shared" si="12"/>
        <v>93.77741041504305</v>
      </c>
      <c r="BA38" s="42">
        <f t="shared" si="12"/>
        <v>98.225143059841344</v>
      </c>
      <c r="BB38" s="42">
        <f t="shared" si="12"/>
        <v>103.0522217627381</v>
      </c>
      <c r="BC38" s="42"/>
      <c r="BD38" s="43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  <c r="DO38" s="16"/>
      <c r="DP38" s="16"/>
      <c r="DQ38" s="16"/>
      <c r="DR38" s="16"/>
      <c r="DS38" s="16"/>
      <c r="DT38" s="16"/>
      <c r="DU38" s="16"/>
      <c r="DV38" s="16"/>
      <c r="DW38" s="16"/>
      <c r="DX38" s="16"/>
      <c r="DY38" s="16"/>
      <c r="DZ38" s="16"/>
      <c r="EA38" s="16"/>
      <c r="EB38" s="16"/>
      <c r="EC38" s="16"/>
      <c r="ED38" s="16"/>
      <c r="EE38" s="16"/>
      <c r="EF38" s="16"/>
      <c r="EG38" s="16"/>
      <c r="EH38" s="16"/>
      <c r="EI38" s="16"/>
      <c r="EJ38" s="16"/>
      <c r="EK38" s="16"/>
      <c r="EL38" s="16"/>
      <c r="EM38" s="16"/>
      <c r="EN38" s="16"/>
      <c r="EO38" s="16"/>
      <c r="EP38" s="16"/>
      <c r="EQ38" s="16"/>
      <c r="ER38" s="16"/>
      <c r="ES38" s="16"/>
      <c r="ET38" s="16"/>
      <c r="EU38" s="16"/>
      <c r="EV38" s="16"/>
      <c r="EW38" s="16"/>
      <c r="EX38" s="16"/>
      <c r="EY38" s="16"/>
    </row>
    <row r="39" spans="1:155" ht="14" x14ac:dyDescent="0.15">
      <c r="A39" s="2"/>
      <c r="B39" s="44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5"/>
      <c r="AW39" s="45"/>
      <c r="AX39" s="45"/>
      <c r="AY39" s="45"/>
      <c r="AZ39" s="45"/>
      <c r="BA39" s="45"/>
      <c r="BB39" s="45"/>
      <c r="BC39" s="45"/>
      <c r="BD39" s="46"/>
      <c r="BE39" s="47"/>
      <c r="BF39" s="47"/>
      <c r="BG39" s="47"/>
      <c r="BH39" s="47"/>
      <c r="BI39" s="47"/>
      <c r="BJ39" s="47"/>
      <c r="BK39" s="47"/>
      <c r="BL39" s="47"/>
      <c r="BM39" s="47"/>
      <c r="BN39" s="47"/>
      <c r="BO39" s="47"/>
      <c r="BP39" s="47"/>
      <c r="BQ39" s="47"/>
      <c r="BR39" s="47"/>
      <c r="BS39" s="47"/>
      <c r="BT39" s="47"/>
      <c r="BU39" s="47"/>
      <c r="BV39" s="47"/>
      <c r="BW39" s="47"/>
      <c r="BX39" s="47"/>
      <c r="BY39" s="47"/>
      <c r="BZ39" s="47"/>
      <c r="CA39" s="47"/>
      <c r="CB39" s="47"/>
      <c r="CC39" s="47"/>
      <c r="CD39" s="47"/>
      <c r="CE39" s="47"/>
      <c r="CF39" s="47"/>
      <c r="CG39" s="47"/>
      <c r="CH39" s="47"/>
      <c r="CI39" s="47"/>
      <c r="CJ39" s="47"/>
      <c r="CK39" s="47"/>
      <c r="CL39" s="47"/>
      <c r="CM39" s="47"/>
      <c r="CN39" s="47"/>
      <c r="CO39" s="47"/>
      <c r="CP39" s="47"/>
      <c r="CQ39" s="47"/>
      <c r="CR39" s="47"/>
      <c r="CS39" s="47"/>
      <c r="CT39" s="47"/>
      <c r="CU39" s="47"/>
      <c r="CV39" s="47"/>
      <c r="CW39" s="47"/>
      <c r="CX39" s="47"/>
      <c r="CY39" s="47"/>
      <c r="CZ39" s="47"/>
      <c r="DA39" s="47"/>
      <c r="DB39" s="47"/>
      <c r="DC39" s="47"/>
      <c r="DD39" s="47"/>
      <c r="DE39" s="47"/>
      <c r="DF39" s="47"/>
      <c r="DG39" s="47"/>
      <c r="DH39" s="47"/>
      <c r="DI39" s="47"/>
      <c r="DJ39" s="47"/>
      <c r="DK39" s="47"/>
      <c r="DL39" s="47"/>
      <c r="DM39" s="47"/>
      <c r="DN39" s="47"/>
      <c r="DO39" s="47"/>
      <c r="DP39" s="47"/>
      <c r="DQ39" s="47"/>
      <c r="DR39" s="47"/>
      <c r="DS39" s="47"/>
      <c r="DT39" s="47"/>
      <c r="DU39" s="47"/>
      <c r="DV39" s="47"/>
      <c r="DW39" s="47"/>
      <c r="DX39" s="47"/>
      <c r="DY39" s="47"/>
      <c r="DZ39" s="47"/>
      <c r="EA39" s="47"/>
      <c r="EB39" s="47"/>
      <c r="EC39" s="47"/>
      <c r="ED39" s="47"/>
      <c r="EE39" s="47"/>
      <c r="EF39" s="47"/>
      <c r="EG39" s="47"/>
      <c r="EH39" s="47"/>
      <c r="EI39" s="47"/>
      <c r="EJ39" s="47"/>
      <c r="EK39" s="47"/>
      <c r="EL39" s="47"/>
      <c r="EM39" s="47"/>
      <c r="EN39" s="47"/>
      <c r="EO39" s="47"/>
      <c r="EP39" s="47"/>
      <c r="EQ39" s="47"/>
      <c r="ER39" s="47"/>
      <c r="ES39" s="47"/>
      <c r="ET39" s="47"/>
      <c r="EU39" s="47"/>
      <c r="EV39" s="47"/>
      <c r="EW39" s="47"/>
      <c r="EX39" s="47"/>
      <c r="EY39" s="47"/>
    </row>
    <row r="40" spans="1:155" ht="14" x14ac:dyDescent="0.15">
      <c r="A40" s="48" t="s">
        <v>59</v>
      </c>
      <c r="B40" s="49" t="s">
        <v>60</v>
      </c>
      <c r="C40" s="49">
        <v>227.6538462</v>
      </c>
      <c r="D40" s="49">
        <v>243</v>
      </c>
      <c r="E40" s="49">
        <v>259</v>
      </c>
      <c r="F40" s="49">
        <v>272.38823530000002</v>
      </c>
      <c r="G40" s="49">
        <v>279.72413790000002</v>
      </c>
      <c r="H40" s="49">
        <v>301.43333330000002</v>
      </c>
      <c r="I40" s="49">
        <v>316.8586957</v>
      </c>
      <c r="J40" s="49">
        <v>344.11578950000001</v>
      </c>
      <c r="K40" s="49">
        <v>368.34</v>
      </c>
      <c r="L40" s="49">
        <v>376.57943929999999</v>
      </c>
      <c r="M40" s="49">
        <v>396.94642859999999</v>
      </c>
      <c r="N40" s="49">
        <v>394.58730159999999</v>
      </c>
      <c r="O40" s="49">
        <v>409.82312930000001</v>
      </c>
      <c r="P40" s="49">
        <v>423.24404759999999</v>
      </c>
      <c r="Q40" s="49">
        <v>433.14583329999999</v>
      </c>
      <c r="R40" s="49">
        <v>457.13809520000001</v>
      </c>
      <c r="S40" s="49">
        <v>463.8495575</v>
      </c>
      <c r="T40" s="49">
        <v>475.88353410000002</v>
      </c>
      <c r="U40" s="49">
        <v>493.88602939999998</v>
      </c>
      <c r="V40" s="49">
        <v>503.53973509999997</v>
      </c>
      <c r="W40" s="49">
        <v>522.42857140000001</v>
      </c>
      <c r="X40" s="49">
        <v>517.94246580000004</v>
      </c>
      <c r="Y40" s="49">
        <v>570.5</v>
      </c>
      <c r="Z40" s="49">
        <v>580.11604939999995</v>
      </c>
      <c r="AA40" s="49">
        <v>586.11261260000003</v>
      </c>
      <c r="AB40" s="49">
        <v>600.39495799999997</v>
      </c>
      <c r="AC40" s="49">
        <v>632.94140630000004</v>
      </c>
      <c r="AD40" s="49">
        <v>666.27717389999998</v>
      </c>
      <c r="AE40" s="49">
        <v>684.86949149999998</v>
      </c>
      <c r="AF40" s="49">
        <v>692.65442399999995</v>
      </c>
      <c r="AG40" s="49">
        <v>703.83527449999997</v>
      </c>
      <c r="AH40" s="49">
        <v>725.619281</v>
      </c>
      <c r="AI40" s="49">
        <v>743.17675159999999</v>
      </c>
      <c r="AJ40" s="49">
        <v>750.98939389999998</v>
      </c>
      <c r="AK40" s="49">
        <v>789.63880600000005</v>
      </c>
      <c r="AL40" s="49">
        <v>833.31736530000001</v>
      </c>
      <c r="AM40" s="49">
        <v>868.3259587</v>
      </c>
      <c r="AN40" s="49">
        <v>897.64833569999996</v>
      </c>
      <c r="AO40" s="49">
        <v>903.9452804</v>
      </c>
      <c r="AP40" s="49">
        <v>935.37798410000005</v>
      </c>
      <c r="AQ40" s="49">
        <v>970.99484540000003</v>
      </c>
      <c r="AR40" s="49">
        <v>1007.41761</v>
      </c>
      <c r="AS40" s="49">
        <v>1057.1472389999999</v>
      </c>
      <c r="AT40" s="49">
        <v>1100.5715990000001</v>
      </c>
      <c r="AU40" s="49">
        <v>1152.3879910000001</v>
      </c>
      <c r="AV40" s="49">
        <v>1220.008979</v>
      </c>
      <c r="AW40" s="49">
        <v>1275.348485</v>
      </c>
      <c r="AX40" s="49">
        <v>1334.11877</v>
      </c>
      <c r="AY40" s="49">
        <v>1337.1795669999999</v>
      </c>
      <c r="AZ40" s="49">
        <v>1410.686373</v>
      </c>
      <c r="BA40" s="49">
        <v>1458.8509799999999</v>
      </c>
      <c r="BB40" s="49">
        <v>1451.2824430000001</v>
      </c>
      <c r="BC40" s="49"/>
      <c r="BD40" s="50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  <c r="BQ40" s="51"/>
      <c r="BR40" s="51"/>
      <c r="BS40" s="51"/>
      <c r="BT40" s="51"/>
      <c r="BU40" s="51"/>
      <c r="BV40" s="51"/>
      <c r="BW40" s="51"/>
      <c r="BX40" s="51"/>
      <c r="BY40" s="51"/>
      <c r="BZ40" s="51"/>
      <c r="CA40" s="51"/>
      <c r="CB40" s="51"/>
      <c r="CC40" s="51"/>
      <c r="CD40" s="51"/>
      <c r="CE40" s="51"/>
      <c r="CF40" s="51"/>
      <c r="CG40" s="51"/>
      <c r="CH40" s="51"/>
      <c r="CI40" s="51"/>
      <c r="CJ40" s="51"/>
      <c r="CK40" s="51"/>
      <c r="CL40" s="51"/>
      <c r="CM40" s="51"/>
      <c r="CN40" s="51"/>
      <c r="CO40" s="51"/>
      <c r="CP40" s="51"/>
      <c r="CQ40" s="51"/>
      <c r="CR40" s="51"/>
      <c r="CS40" s="51"/>
      <c r="CT40" s="51"/>
      <c r="CU40" s="51"/>
      <c r="CV40" s="51"/>
      <c r="CW40" s="51"/>
      <c r="CX40" s="51"/>
      <c r="CY40" s="51"/>
      <c r="CZ40" s="51"/>
      <c r="DA40" s="51"/>
      <c r="DB40" s="51"/>
      <c r="DC40" s="51"/>
      <c r="DD40" s="51"/>
      <c r="DE40" s="51"/>
      <c r="DF40" s="51"/>
      <c r="DG40" s="51"/>
      <c r="DH40" s="51"/>
      <c r="DI40" s="51"/>
      <c r="DJ40" s="51"/>
      <c r="DK40" s="51"/>
      <c r="DL40" s="51"/>
      <c r="DM40" s="51"/>
      <c r="DN40" s="51"/>
      <c r="DO40" s="51"/>
      <c r="DP40" s="51"/>
      <c r="DQ40" s="51"/>
      <c r="DR40" s="51"/>
      <c r="DS40" s="51"/>
      <c r="DT40" s="51"/>
      <c r="DU40" s="51"/>
      <c r="DV40" s="51"/>
      <c r="DW40" s="51"/>
      <c r="DX40" s="51"/>
      <c r="DY40" s="51"/>
      <c r="DZ40" s="51"/>
      <c r="EA40" s="51"/>
      <c r="EB40" s="51"/>
      <c r="EC40" s="51"/>
      <c r="ED40" s="51"/>
      <c r="EE40" s="51"/>
      <c r="EF40" s="51"/>
      <c r="EG40" s="51"/>
      <c r="EH40" s="51"/>
      <c r="EI40" s="51"/>
      <c r="EJ40" s="51"/>
      <c r="EK40" s="51"/>
      <c r="EL40" s="51"/>
      <c r="EM40" s="51"/>
      <c r="EN40" s="51"/>
      <c r="EO40" s="51"/>
      <c r="EP40" s="51"/>
      <c r="EQ40" s="51"/>
      <c r="ER40" s="51"/>
      <c r="ES40" s="51"/>
      <c r="ET40" s="51"/>
      <c r="EU40" s="51"/>
      <c r="EV40" s="51"/>
      <c r="EW40" s="51"/>
      <c r="EX40" s="51"/>
      <c r="EY40" s="51"/>
    </row>
    <row r="41" spans="1:155" ht="14" x14ac:dyDescent="0.15">
      <c r="A41" s="52"/>
      <c r="B41" s="49" t="s">
        <v>61</v>
      </c>
      <c r="C41" s="53" t="e">
        <f>(C40-#REF!)/#REF!</f>
        <v>#REF!</v>
      </c>
      <c r="D41" s="53">
        <f t="shared" ref="D41:BB41" si="13">(D40-C40)/C40</f>
        <v>6.7410035262562576E-2</v>
      </c>
      <c r="E41" s="53">
        <f t="shared" si="13"/>
        <v>6.584362139917696E-2</v>
      </c>
      <c r="F41" s="53">
        <f t="shared" si="13"/>
        <v>5.1692028185328261E-2</v>
      </c>
      <c r="G41" s="53">
        <f t="shared" si="13"/>
        <v>2.6931789443550892E-2</v>
      </c>
      <c r="H41" s="53">
        <f t="shared" si="13"/>
        <v>7.7609303090464529E-2</v>
      </c>
      <c r="I41" s="53">
        <f t="shared" si="13"/>
        <v>5.1173379636312383E-2</v>
      </c>
      <c r="J41" s="53">
        <f t="shared" si="13"/>
        <v>8.6022868142482251E-2</v>
      </c>
      <c r="K41" s="53">
        <f t="shared" si="13"/>
        <v>7.0395521621363935E-2</v>
      </c>
      <c r="L41" s="53">
        <f t="shared" si="13"/>
        <v>2.2369113590704284E-2</v>
      </c>
      <c r="M41" s="53">
        <f t="shared" si="13"/>
        <v>5.4084177664768224E-2</v>
      </c>
      <c r="N41" s="53">
        <f t="shared" si="13"/>
        <v>-5.9431873674250279E-3</v>
      </c>
      <c r="O41" s="53">
        <f t="shared" si="13"/>
        <v>3.8612057808806124E-2</v>
      </c>
      <c r="P41" s="53">
        <f t="shared" si="13"/>
        <v>3.2748074328854092E-2</v>
      </c>
      <c r="Q41" s="53">
        <f t="shared" si="13"/>
        <v>2.3394979223329792E-2</v>
      </c>
      <c r="R41" s="53">
        <f t="shared" si="13"/>
        <v>5.5390725375817712E-2</v>
      </c>
      <c r="S41" s="53">
        <f t="shared" si="13"/>
        <v>1.4681476714522553E-2</v>
      </c>
      <c r="T41" s="53">
        <f t="shared" si="13"/>
        <v>2.5943706112083586E-2</v>
      </c>
      <c r="U41" s="53">
        <f t="shared" si="13"/>
        <v>3.7829624288317994E-2</v>
      </c>
      <c r="V41" s="53">
        <f t="shared" si="13"/>
        <v>1.9546423922393277E-2</v>
      </c>
      <c r="W41" s="53">
        <f t="shared" si="13"/>
        <v>3.7512106758067119E-2</v>
      </c>
      <c r="X41" s="53">
        <f t="shared" si="13"/>
        <v>-8.5870219310137316E-3</v>
      </c>
      <c r="Y41" s="53">
        <f t="shared" si="13"/>
        <v>0.10147369190672753</v>
      </c>
      <c r="Z41" s="53">
        <f t="shared" si="13"/>
        <v>1.6855476599474062E-2</v>
      </c>
      <c r="AA41" s="53">
        <f t="shared" si="13"/>
        <v>1.0336833821788216E-2</v>
      </c>
      <c r="AB41" s="53">
        <f t="shared" si="13"/>
        <v>2.4367920247686442E-2</v>
      </c>
      <c r="AC41" s="53">
        <f t="shared" si="13"/>
        <v>5.4208397099830517E-2</v>
      </c>
      <c r="AD41" s="53">
        <f t="shared" si="13"/>
        <v>5.2668015187806394E-2</v>
      </c>
      <c r="AE41" s="53">
        <f t="shared" si="13"/>
        <v>2.7904779464635359E-2</v>
      </c>
      <c r="AF41" s="53">
        <f t="shared" si="13"/>
        <v>1.1367030648349399E-2</v>
      </c>
      <c r="AG41" s="53">
        <f t="shared" si="13"/>
        <v>1.6142032899222513E-2</v>
      </c>
      <c r="AH41" s="53">
        <f t="shared" si="13"/>
        <v>3.0950432990837592E-2</v>
      </c>
      <c r="AI41" s="53">
        <f t="shared" si="13"/>
        <v>2.4196532616668421E-2</v>
      </c>
      <c r="AJ41" s="53">
        <f t="shared" si="13"/>
        <v>1.0512495557994784E-2</v>
      </c>
      <c r="AK41" s="53">
        <f t="shared" si="13"/>
        <v>5.1464657708796525E-2</v>
      </c>
      <c r="AL41" s="53">
        <f t="shared" si="13"/>
        <v>5.5314605827515469E-2</v>
      </c>
      <c r="AM41" s="53">
        <f t="shared" si="13"/>
        <v>4.2011117081901514E-2</v>
      </c>
      <c r="AN41" s="53">
        <f t="shared" si="13"/>
        <v>3.3768859155033762E-2</v>
      </c>
      <c r="AO41" s="53">
        <f t="shared" si="13"/>
        <v>7.0149349690372745E-3</v>
      </c>
      <c r="AP41" s="53">
        <f t="shared" si="13"/>
        <v>3.4772794749357981E-2</v>
      </c>
      <c r="AQ41" s="53">
        <f t="shared" si="13"/>
        <v>3.8077506532580768E-2</v>
      </c>
      <c r="AR41" s="53">
        <f t="shared" si="13"/>
        <v>3.7510770291469084E-2</v>
      </c>
      <c r="AS41" s="53">
        <f t="shared" si="13"/>
        <v>4.9363470031062819E-2</v>
      </c>
      <c r="AT41" s="53">
        <f t="shared" si="13"/>
        <v>4.1076927033434942E-2</v>
      </c>
      <c r="AU41" s="53">
        <f t="shared" si="13"/>
        <v>4.7081345772579712E-2</v>
      </c>
      <c r="AV41" s="53">
        <f t="shared" si="13"/>
        <v>5.8679011346969075E-2</v>
      </c>
      <c r="AW41" s="53">
        <f t="shared" si="13"/>
        <v>4.5359916978119252E-2</v>
      </c>
      <c r="AX41" s="53">
        <f t="shared" si="13"/>
        <v>4.6081746041357521E-2</v>
      </c>
      <c r="AY41" s="53">
        <f t="shared" si="13"/>
        <v>2.294246261147998E-3</v>
      </c>
      <c r="AZ41" s="53">
        <f t="shared" si="13"/>
        <v>5.4971529489427282E-2</v>
      </c>
      <c r="BA41" s="53">
        <f t="shared" si="13"/>
        <v>3.4142675453489993E-2</v>
      </c>
      <c r="BB41" s="53">
        <f t="shared" si="13"/>
        <v>-5.1880124178275413E-3</v>
      </c>
      <c r="BC41" s="53"/>
      <c r="BD41" s="54"/>
      <c r="BE41" s="53"/>
      <c r="BF41" s="53"/>
      <c r="BG41" s="53"/>
      <c r="BH41" s="53"/>
      <c r="BI41" s="53"/>
      <c r="BJ41" s="53"/>
      <c r="BK41" s="53"/>
      <c r="BL41" s="53"/>
      <c r="BM41" s="53"/>
      <c r="BN41" s="53"/>
      <c r="BO41" s="53"/>
      <c r="BP41" s="53"/>
      <c r="BQ41" s="53"/>
      <c r="BR41" s="53"/>
      <c r="BS41" s="53"/>
      <c r="BT41" s="53"/>
      <c r="BU41" s="53"/>
      <c r="BV41" s="53"/>
      <c r="BW41" s="53"/>
      <c r="BX41" s="53"/>
      <c r="BY41" s="53"/>
      <c r="BZ41" s="53"/>
      <c r="CA41" s="53"/>
      <c r="CB41" s="53"/>
      <c r="CC41" s="53"/>
      <c r="CD41" s="53"/>
      <c r="CE41" s="53"/>
      <c r="CF41" s="53"/>
      <c r="CG41" s="53"/>
      <c r="CH41" s="53"/>
      <c r="CI41" s="53"/>
      <c r="CJ41" s="53"/>
      <c r="CK41" s="53"/>
      <c r="CL41" s="53"/>
      <c r="CM41" s="53"/>
      <c r="CN41" s="53"/>
      <c r="CO41" s="53"/>
      <c r="CP41" s="53"/>
      <c r="CQ41" s="53"/>
      <c r="CR41" s="53"/>
      <c r="CS41" s="53"/>
      <c r="CT41" s="53"/>
      <c r="CU41" s="53"/>
      <c r="CV41" s="53"/>
      <c r="CW41" s="53"/>
      <c r="CX41" s="53"/>
      <c r="CY41" s="53"/>
      <c r="CZ41" s="53"/>
      <c r="DA41" s="53"/>
      <c r="DB41" s="53"/>
      <c r="DC41" s="53"/>
      <c r="DD41" s="53"/>
      <c r="DE41" s="53"/>
      <c r="DF41" s="53"/>
      <c r="DG41" s="53"/>
      <c r="DH41" s="53"/>
      <c r="DI41" s="53"/>
      <c r="DJ41" s="53"/>
      <c r="DK41" s="53"/>
      <c r="DL41" s="53"/>
      <c r="DM41" s="53"/>
      <c r="DN41" s="53"/>
      <c r="DO41" s="53"/>
      <c r="DP41" s="53"/>
      <c r="DQ41" s="53"/>
      <c r="DR41" s="53"/>
      <c r="DS41" s="53"/>
      <c r="DT41" s="53"/>
      <c r="DU41" s="53"/>
      <c r="DV41" s="53"/>
      <c r="DW41" s="53"/>
      <c r="DX41" s="53"/>
      <c r="DY41" s="53"/>
      <c r="DZ41" s="53"/>
      <c r="EA41" s="53"/>
      <c r="EB41" s="53"/>
      <c r="EC41" s="53"/>
      <c r="ED41" s="53"/>
      <c r="EE41" s="53"/>
      <c r="EF41" s="53"/>
      <c r="EG41" s="53"/>
      <c r="EH41" s="53"/>
      <c r="EI41" s="53"/>
      <c r="EJ41" s="53"/>
      <c r="EK41" s="53"/>
      <c r="EL41" s="53"/>
      <c r="EM41" s="53"/>
      <c r="EN41" s="53"/>
      <c r="EO41" s="53"/>
      <c r="EP41" s="53"/>
      <c r="EQ41" s="53"/>
      <c r="ER41" s="53"/>
      <c r="ES41" s="53"/>
      <c r="ET41" s="53"/>
      <c r="EU41" s="53"/>
      <c r="EV41" s="53"/>
      <c r="EW41" s="53"/>
      <c r="EX41" s="53"/>
      <c r="EY41" s="53"/>
    </row>
    <row r="42" spans="1:155" ht="14" x14ac:dyDescent="0.15">
      <c r="A42" s="55"/>
      <c r="B42" s="14" t="s">
        <v>62</v>
      </c>
      <c r="C42" s="42" t="e">
        <f>(C3-#REF!)/#REF!</f>
        <v>#REF!</v>
      </c>
      <c r="D42" s="42">
        <f t="shared" ref="D42:BB42" si="14">(D3-C3)/C3</f>
        <v>-1.5102968972773509E-2</v>
      </c>
      <c r="E42" s="42">
        <f t="shared" si="14"/>
        <v>2.3749563028200717E-2</v>
      </c>
      <c r="F42" s="42">
        <f t="shared" si="14"/>
        <v>3.7422042450137125E-2</v>
      </c>
      <c r="G42" s="42">
        <f t="shared" si="14"/>
        <v>4.1475297900150837E-2</v>
      </c>
      <c r="H42" s="42">
        <f t="shared" si="14"/>
        <v>4.9298536064002918E-2</v>
      </c>
      <c r="I42" s="42">
        <f t="shared" si="14"/>
        <v>4.0272944825474187E-2</v>
      </c>
      <c r="J42" s="42">
        <f t="shared" si="14"/>
        <v>5.9442360346444852E-2</v>
      </c>
      <c r="K42" s="42">
        <f t="shared" si="14"/>
        <v>6.0673606167278821E-2</v>
      </c>
      <c r="L42" s="42">
        <f t="shared" si="14"/>
        <v>2.4243243442148031E-2</v>
      </c>
      <c r="M42" s="42">
        <f t="shared" si="14"/>
        <v>1.344516469800535E-2</v>
      </c>
      <c r="N42" s="42">
        <f t="shared" si="14"/>
        <v>5.4498130508075268E-2</v>
      </c>
      <c r="O42" s="42">
        <f t="shared" si="14"/>
        <v>7.6252000795991481E-2</v>
      </c>
      <c r="P42" s="42">
        <f t="shared" si="14"/>
        <v>6.3303637464249635E-2</v>
      </c>
      <c r="Q42" s="42">
        <f t="shared" si="14"/>
        <v>4.9816753317793991E-2</v>
      </c>
      <c r="R42" s="42">
        <f t="shared" si="14"/>
        <v>3.9924235709194239E-3</v>
      </c>
      <c r="S42" s="42">
        <f t="shared" si="14"/>
        <v>4.1108541850737181E-2</v>
      </c>
      <c r="T42" s="42">
        <f t="shared" si="14"/>
        <v>1.7599811153851043E-2</v>
      </c>
      <c r="U42" s="42">
        <f t="shared" si="14"/>
        <v>-6.6393379450334897E-2</v>
      </c>
      <c r="V42" s="42">
        <f t="shared" si="14"/>
        <v>5.8006300865631459E-2</v>
      </c>
      <c r="W42" s="42">
        <f t="shared" si="14"/>
        <v>1.7799000101737818E-2</v>
      </c>
      <c r="X42" s="42">
        <f t="shared" si="14"/>
        <v>2.0540067173187033E-2</v>
      </c>
      <c r="Y42" s="42">
        <f t="shared" si="14"/>
        <v>-8.3395271816091628E-3</v>
      </c>
      <c r="Z42" s="42">
        <f t="shared" si="14"/>
        <v>5.9852397586561386E-3</v>
      </c>
      <c r="AA42" s="42">
        <f t="shared" si="14"/>
        <v>1.3235668792748788E-2</v>
      </c>
      <c r="AB42" s="42">
        <f t="shared" si="14"/>
        <v>2.7297177205864095E-2</v>
      </c>
      <c r="AC42" s="42">
        <f t="shared" si="14"/>
        <v>4.37614104378286E-2</v>
      </c>
      <c r="AD42" s="42">
        <f t="shared" si="14"/>
        <v>2.9869792424393315E-2</v>
      </c>
      <c r="AE42" s="42">
        <f t="shared" si="14"/>
        <v>4.4042184148010761E-2</v>
      </c>
      <c r="AF42" s="42">
        <f t="shared" si="14"/>
        <v>4.331548340015097E-3</v>
      </c>
      <c r="AG42" s="42">
        <f t="shared" si="14"/>
        <v>-1.7215061854978318E-3</v>
      </c>
      <c r="AH42" s="42">
        <f t="shared" si="14"/>
        <v>2.6276828314610173E-3</v>
      </c>
      <c r="AI42" s="42">
        <f t="shared" si="14"/>
        <v>5.8222640718025064E-3</v>
      </c>
      <c r="AJ42" s="42">
        <f t="shared" si="14"/>
        <v>7.4779297211838795E-3</v>
      </c>
      <c r="AK42" s="42">
        <f t="shared" si="14"/>
        <v>5.1645695473466507E-2</v>
      </c>
      <c r="AL42" s="42">
        <f t="shared" si="14"/>
        <v>6.0449548029905278E-2</v>
      </c>
      <c r="AM42" s="42">
        <f t="shared" si="14"/>
        <v>-1.201998093991591E-2</v>
      </c>
      <c r="AN42" s="42">
        <f t="shared" si="14"/>
        <v>4.3865949497192774E-2</v>
      </c>
      <c r="AO42" s="42">
        <f t="shared" si="14"/>
        <v>3.304431690843932E-3</v>
      </c>
      <c r="AP42" s="42">
        <f t="shared" si="14"/>
        <v>5.7089091564949734E-2</v>
      </c>
      <c r="AQ42" s="42">
        <f t="shared" si="14"/>
        <v>3.9963179775444495E-2</v>
      </c>
      <c r="AR42" s="42">
        <f t="shared" si="14"/>
        <v>4.0799996670124863E-2</v>
      </c>
      <c r="AS42" s="42">
        <f t="shared" si="14"/>
        <v>4.9288753542963616E-2</v>
      </c>
      <c r="AT42" s="42">
        <f t="shared" si="14"/>
        <v>3.1598248637595215E-2</v>
      </c>
      <c r="AU42" s="42">
        <f t="shared" si="14"/>
        <v>3.6244429274810676E-2</v>
      </c>
      <c r="AV42" s="42">
        <f t="shared" si="14"/>
        <v>2.2476549974539937E-2</v>
      </c>
      <c r="AW42" s="42">
        <f t="shared" si="14"/>
        <v>1.5542442608675128E-2</v>
      </c>
      <c r="AX42" s="42">
        <f t="shared" si="14"/>
        <v>2.8721193557076428E-3</v>
      </c>
      <c r="AY42" s="42">
        <f t="shared" si="14"/>
        <v>8.6109171020409811E-2</v>
      </c>
      <c r="AZ42" s="42">
        <f t="shared" si="14"/>
        <v>6.2957221510938605E-2</v>
      </c>
      <c r="BA42" s="42">
        <f t="shared" si="14"/>
        <v>4.4553838726927447E-2</v>
      </c>
      <c r="BB42" s="42">
        <f t="shared" si="14"/>
        <v>3.5458857293031047E-2</v>
      </c>
      <c r="BC42" s="42"/>
      <c r="BD42" s="43"/>
      <c r="BE42" s="42"/>
      <c r="BF42" s="42"/>
      <c r="BG42" s="42"/>
      <c r="BH42" s="42"/>
      <c r="BI42" s="42"/>
      <c r="BJ42" s="42"/>
      <c r="BK42" s="42"/>
      <c r="BL42" s="42"/>
      <c r="BM42" s="42"/>
      <c r="BN42" s="42"/>
      <c r="BO42" s="42"/>
      <c r="BP42" s="42"/>
      <c r="BQ42" s="42"/>
      <c r="BR42" s="42"/>
      <c r="BS42" s="42"/>
      <c r="BT42" s="42"/>
      <c r="BU42" s="42"/>
      <c r="BV42" s="42"/>
      <c r="BW42" s="42"/>
      <c r="BX42" s="42"/>
      <c r="BY42" s="42"/>
      <c r="BZ42" s="42"/>
      <c r="CA42" s="42"/>
      <c r="CB42" s="42"/>
      <c r="CC42" s="42"/>
      <c r="CD42" s="42"/>
      <c r="CE42" s="42"/>
      <c r="CF42" s="42"/>
      <c r="CG42" s="42"/>
      <c r="CH42" s="42"/>
      <c r="CI42" s="42"/>
      <c r="CJ42" s="42"/>
      <c r="CK42" s="42"/>
      <c r="CL42" s="42"/>
      <c r="CM42" s="42"/>
      <c r="CN42" s="42"/>
      <c r="CO42" s="42"/>
      <c r="CP42" s="42"/>
      <c r="CQ42" s="42"/>
      <c r="CR42" s="42"/>
      <c r="CS42" s="42"/>
      <c r="CT42" s="42"/>
      <c r="CU42" s="42"/>
      <c r="CV42" s="42"/>
      <c r="CW42" s="42"/>
      <c r="CX42" s="42"/>
      <c r="CY42" s="42"/>
      <c r="CZ42" s="42"/>
      <c r="DA42" s="42"/>
      <c r="DB42" s="42"/>
      <c r="DC42" s="42"/>
      <c r="DD42" s="42"/>
      <c r="DE42" s="42"/>
      <c r="DF42" s="42"/>
      <c r="DG42" s="42"/>
      <c r="DH42" s="42"/>
      <c r="DI42" s="42"/>
      <c r="DJ42" s="42"/>
      <c r="DK42" s="42"/>
      <c r="DL42" s="42"/>
      <c r="DM42" s="42"/>
      <c r="DN42" s="42"/>
      <c r="DO42" s="42"/>
      <c r="DP42" s="42"/>
      <c r="DQ42" s="42"/>
      <c r="DR42" s="42"/>
      <c r="DS42" s="42"/>
      <c r="DT42" s="42"/>
      <c r="DU42" s="42"/>
      <c r="DV42" s="42"/>
      <c r="DW42" s="42"/>
      <c r="DX42" s="42"/>
      <c r="DY42" s="42"/>
      <c r="DZ42" s="42"/>
      <c r="EA42" s="42"/>
      <c r="EB42" s="42"/>
      <c r="EC42" s="42"/>
      <c r="ED42" s="42"/>
      <c r="EE42" s="42"/>
      <c r="EF42" s="42"/>
      <c r="EG42" s="42"/>
      <c r="EH42" s="42"/>
      <c r="EI42" s="42"/>
      <c r="EJ42" s="42"/>
      <c r="EK42" s="42"/>
      <c r="EL42" s="42"/>
      <c r="EM42" s="42"/>
      <c r="EN42" s="42"/>
      <c r="EO42" s="42"/>
      <c r="EP42" s="42"/>
      <c r="EQ42" s="42"/>
      <c r="ER42" s="42"/>
      <c r="ES42" s="42"/>
      <c r="ET42" s="42"/>
      <c r="EU42" s="42"/>
      <c r="EV42" s="42"/>
      <c r="EW42" s="42"/>
      <c r="EX42" s="42"/>
      <c r="EY42" s="42"/>
    </row>
    <row r="43" spans="1:155" ht="14" x14ac:dyDescent="0.15">
      <c r="A43" s="56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6"/>
      <c r="BE43" s="45"/>
      <c r="BF43" s="45"/>
      <c r="BG43" s="45"/>
      <c r="BH43" s="45"/>
      <c r="BI43" s="45"/>
      <c r="BJ43" s="45"/>
      <c r="BK43" s="45"/>
      <c r="BL43" s="45"/>
      <c r="BM43" s="45"/>
      <c r="BN43" s="45"/>
      <c r="BO43" s="45"/>
      <c r="BP43" s="45"/>
      <c r="BQ43" s="45"/>
      <c r="BR43" s="45"/>
      <c r="BS43" s="45"/>
      <c r="BT43" s="45"/>
      <c r="BU43" s="45"/>
      <c r="BV43" s="45"/>
      <c r="BW43" s="45"/>
      <c r="BX43" s="45"/>
      <c r="BY43" s="45"/>
      <c r="BZ43" s="45"/>
      <c r="CA43" s="45"/>
      <c r="CB43" s="45"/>
      <c r="CC43" s="45"/>
      <c r="CD43" s="45"/>
      <c r="CE43" s="45"/>
      <c r="CF43" s="45"/>
      <c r="CG43" s="45"/>
      <c r="CH43" s="45"/>
      <c r="CI43" s="45"/>
      <c r="CJ43" s="45"/>
      <c r="CK43" s="45"/>
      <c r="CL43" s="45"/>
      <c r="CM43" s="45"/>
      <c r="CN43" s="45"/>
      <c r="CO43" s="45"/>
      <c r="CP43" s="45"/>
      <c r="CQ43" s="45"/>
      <c r="CR43" s="45"/>
      <c r="CS43" s="45"/>
      <c r="CT43" s="45"/>
      <c r="CU43" s="45"/>
      <c r="CV43" s="45"/>
      <c r="CW43" s="45"/>
      <c r="CX43" s="45"/>
      <c r="CY43" s="45"/>
      <c r="CZ43" s="45"/>
      <c r="DA43" s="45"/>
      <c r="DB43" s="45"/>
      <c r="DC43" s="45"/>
      <c r="DD43" s="45"/>
      <c r="DE43" s="45"/>
      <c r="DF43" s="45"/>
      <c r="DG43" s="45"/>
      <c r="DH43" s="45"/>
      <c r="DI43" s="45"/>
      <c r="DJ43" s="45"/>
      <c r="DK43" s="45"/>
      <c r="DL43" s="45"/>
      <c r="DM43" s="45"/>
      <c r="DN43" s="45"/>
      <c r="DO43" s="45"/>
      <c r="DP43" s="45"/>
      <c r="DQ43" s="45"/>
      <c r="DR43" s="45"/>
      <c r="DS43" s="45"/>
      <c r="DT43" s="45"/>
      <c r="DU43" s="45"/>
      <c r="DV43" s="45"/>
      <c r="DW43" s="45"/>
      <c r="DX43" s="45"/>
      <c r="DY43" s="45"/>
      <c r="DZ43" s="45"/>
      <c r="EA43" s="45"/>
      <c r="EB43" s="45"/>
      <c r="EC43" s="45"/>
      <c r="ED43" s="45"/>
      <c r="EE43" s="45"/>
      <c r="EF43" s="45"/>
      <c r="EG43" s="45"/>
      <c r="EH43" s="45"/>
      <c r="EI43" s="45"/>
      <c r="EJ43" s="45"/>
      <c r="EK43" s="45"/>
      <c r="EL43" s="45"/>
      <c r="EM43" s="45"/>
      <c r="EN43" s="45"/>
      <c r="EO43" s="45"/>
      <c r="EP43" s="45"/>
      <c r="EQ43" s="45"/>
      <c r="ER43" s="45"/>
      <c r="ES43" s="45"/>
      <c r="ET43" s="45"/>
      <c r="EU43" s="45"/>
      <c r="EV43" s="45"/>
      <c r="EW43" s="45"/>
      <c r="EX43" s="45"/>
      <c r="EY43" s="45"/>
    </row>
    <row r="44" spans="1:155" ht="14" x14ac:dyDescent="0.15">
      <c r="A44" s="57"/>
      <c r="B44" s="58" t="s">
        <v>63</v>
      </c>
      <c r="C44" s="59">
        <f t="shared" ref="C44:BB44" si="15">(C40-C3)/C40</f>
        <v>0.19996664133487543</v>
      </c>
      <c r="D44" s="59">
        <f t="shared" si="15"/>
        <v>0.26181087525732266</v>
      </c>
      <c r="E44" s="59">
        <f t="shared" si="15"/>
        <v>0.29096466056116188</v>
      </c>
      <c r="F44" s="59">
        <f t="shared" si="15"/>
        <v>0.30058527563513643</v>
      </c>
      <c r="G44" s="59">
        <f t="shared" si="15"/>
        <v>0.29068009589191063</v>
      </c>
      <c r="H44" s="59">
        <f t="shared" si="15"/>
        <v>0.30931522691281493</v>
      </c>
      <c r="I44" s="59">
        <f t="shared" si="15"/>
        <v>0.31647747482521948</v>
      </c>
      <c r="J44" s="59">
        <f t="shared" si="15"/>
        <v>0.33320675037008013</v>
      </c>
      <c r="K44" s="59">
        <f t="shared" si="15"/>
        <v>0.33926293004134545</v>
      </c>
      <c r="L44" s="59">
        <f t="shared" si="15"/>
        <v>0.33805171674244611</v>
      </c>
      <c r="M44" s="59">
        <f t="shared" si="15"/>
        <v>0.36357237765040779</v>
      </c>
      <c r="N44" s="59">
        <f t="shared" si="15"/>
        <v>0.32487587284470243</v>
      </c>
      <c r="O44" s="59">
        <f t="shared" si="15"/>
        <v>0.30040895715241744</v>
      </c>
      <c r="P44" s="59">
        <f t="shared" si="15"/>
        <v>0.27971039686453864</v>
      </c>
      <c r="Q44" s="59">
        <f t="shared" si="15"/>
        <v>0.26111412703421411</v>
      </c>
      <c r="R44" s="59">
        <f t="shared" si="15"/>
        <v>0.29709841056536573</v>
      </c>
      <c r="S44" s="59">
        <f t="shared" si="15"/>
        <v>0.27879155613407697</v>
      </c>
      <c r="T44" s="59">
        <f t="shared" si="15"/>
        <v>0.28465707045299826</v>
      </c>
      <c r="U44" s="59">
        <f t="shared" si="15"/>
        <v>0.35649466987758743</v>
      </c>
      <c r="V44" s="59">
        <f t="shared" si="15"/>
        <v>0.33222001672975815</v>
      </c>
      <c r="W44" s="59">
        <f t="shared" si="15"/>
        <v>0.3449080788231268</v>
      </c>
      <c r="X44" s="59">
        <f t="shared" si="15"/>
        <v>0.3256618906234065</v>
      </c>
      <c r="Y44" s="59">
        <f t="shared" si="15"/>
        <v>0.39289113004028153</v>
      </c>
      <c r="Z44" s="59">
        <f t="shared" si="15"/>
        <v>0.39938115478469549</v>
      </c>
      <c r="AA44" s="59">
        <f t="shared" si="15"/>
        <v>0.39765787314787537</v>
      </c>
      <c r="AB44" s="59">
        <f t="shared" si="15"/>
        <v>0.39593543062365177</v>
      </c>
      <c r="AC44" s="59">
        <f t="shared" si="15"/>
        <v>0.40192158527450023</v>
      </c>
      <c r="AD44" s="59">
        <f t="shared" si="15"/>
        <v>0.41487450559902272</v>
      </c>
      <c r="AE44" s="59">
        <f t="shared" si="15"/>
        <v>0.40568843400722937</v>
      </c>
      <c r="AF44" s="59">
        <f t="shared" si="15"/>
        <v>0.40982270809514398</v>
      </c>
      <c r="AG44" s="59">
        <f t="shared" si="15"/>
        <v>0.42019788674096464</v>
      </c>
      <c r="AH44" s="59">
        <f t="shared" si="15"/>
        <v>0.43612648027001955</v>
      </c>
      <c r="AI44" s="59">
        <f t="shared" si="15"/>
        <v>0.44624247182721338</v>
      </c>
      <c r="AJ44" s="59">
        <f t="shared" si="15"/>
        <v>0.44790540393765904</v>
      </c>
      <c r="AK44" s="59">
        <f t="shared" si="15"/>
        <v>0.44781034608590464</v>
      </c>
      <c r="AL44" s="59">
        <f t="shared" si="15"/>
        <v>0.44512350564804004</v>
      </c>
      <c r="AM44" s="59">
        <f t="shared" si="15"/>
        <v>0.47389535439788089</v>
      </c>
      <c r="AN44" s="59">
        <f t="shared" si="15"/>
        <v>0.46875675296968922</v>
      </c>
      <c r="AO44" s="59">
        <f t="shared" si="15"/>
        <v>0.47071420140582848</v>
      </c>
      <c r="AP44" s="59">
        <f t="shared" si="15"/>
        <v>0.45929942606418833</v>
      </c>
      <c r="AQ44" s="59">
        <f t="shared" si="15"/>
        <v>0.45831724063173684</v>
      </c>
      <c r="AR44" s="59">
        <f t="shared" si="15"/>
        <v>0.45659994065568305</v>
      </c>
      <c r="AS44" s="59">
        <f t="shared" si="15"/>
        <v>0.456638631676694</v>
      </c>
      <c r="AT44" s="59">
        <f t="shared" si="15"/>
        <v>0.4615857662537094</v>
      </c>
      <c r="AU44" s="59">
        <f t="shared" si="15"/>
        <v>0.4671581605245802</v>
      </c>
      <c r="AV44" s="59">
        <f t="shared" si="15"/>
        <v>0.48537915660032166</v>
      </c>
      <c r="AW44" s="59">
        <f t="shared" si="15"/>
        <v>0.50005801845338504</v>
      </c>
      <c r="AX44" s="59">
        <f t="shared" si="15"/>
        <v>0.52070870514098089</v>
      </c>
      <c r="AY44" s="59">
        <f t="shared" si="15"/>
        <v>0.48062889428081651</v>
      </c>
      <c r="AZ44" s="59">
        <f t="shared" si="15"/>
        <v>0.47669747283558334</v>
      </c>
      <c r="BA44" s="59">
        <f t="shared" si="15"/>
        <v>0.47142915910960537</v>
      </c>
      <c r="BB44" s="59">
        <f t="shared" si="15"/>
        <v>0.44983236456871112</v>
      </c>
      <c r="BC44" s="58"/>
      <c r="BD44" s="60"/>
      <c r="BE44" s="58"/>
      <c r="BF44" s="58"/>
      <c r="BG44" s="58"/>
      <c r="BH44" s="58"/>
      <c r="BI44" s="58"/>
      <c r="BJ44" s="58"/>
      <c r="BK44" s="58"/>
      <c r="BL44" s="58"/>
      <c r="BM44" s="58"/>
      <c r="BN44" s="58"/>
      <c r="BO44" s="58"/>
      <c r="BP44" s="58"/>
      <c r="BQ44" s="58"/>
      <c r="BR44" s="58"/>
      <c r="BS44" s="58"/>
      <c r="BT44" s="58"/>
      <c r="BU44" s="58"/>
      <c r="BV44" s="58"/>
      <c r="BW44" s="58"/>
      <c r="BX44" s="58"/>
      <c r="BY44" s="58"/>
      <c r="BZ44" s="58"/>
      <c r="CA44" s="58"/>
      <c r="CB44" s="58"/>
      <c r="CC44" s="58"/>
      <c r="CD44" s="58"/>
      <c r="CE44" s="58"/>
      <c r="CF44" s="58"/>
      <c r="CG44" s="58"/>
      <c r="CH44" s="58"/>
      <c r="CI44" s="58"/>
      <c r="CJ44" s="58"/>
      <c r="CK44" s="58"/>
      <c r="CL44" s="58"/>
      <c r="CM44" s="58"/>
      <c r="CN44" s="58"/>
      <c r="CO44" s="58"/>
      <c r="CP44" s="58"/>
      <c r="CQ44" s="58"/>
      <c r="CR44" s="58"/>
      <c r="CS44" s="58"/>
      <c r="CT44" s="58"/>
      <c r="CU44" s="58"/>
      <c r="CV44" s="58"/>
      <c r="CW44" s="58"/>
      <c r="CX44" s="58"/>
      <c r="CY44" s="58"/>
      <c r="CZ44" s="58"/>
      <c r="DA44" s="58"/>
      <c r="DB44" s="58"/>
      <c r="DC44" s="58"/>
      <c r="DD44" s="58"/>
      <c r="DE44" s="58"/>
      <c r="DF44" s="58"/>
      <c r="DG44" s="58"/>
      <c r="DH44" s="58"/>
      <c r="DI44" s="58"/>
      <c r="DJ44" s="58"/>
      <c r="DK44" s="58"/>
      <c r="DL44" s="58"/>
      <c r="DM44" s="58"/>
      <c r="DN44" s="58"/>
      <c r="DO44" s="58"/>
      <c r="DP44" s="58"/>
      <c r="DQ44" s="58"/>
      <c r="DR44" s="58"/>
      <c r="DS44" s="58"/>
      <c r="DT44" s="58"/>
      <c r="DU44" s="58"/>
      <c r="DV44" s="58"/>
      <c r="DW44" s="58"/>
      <c r="DX44" s="58"/>
      <c r="DY44" s="58"/>
      <c r="DZ44" s="58"/>
      <c r="EA44" s="58"/>
      <c r="EB44" s="58"/>
      <c r="EC44" s="58"/>
      <c r="ED44" s="58"/>
      <c r="EE44" s="58"/>
      <c r="EF44" s="58"/>
      <c r="EG44" s="58"/>
      <c r="EH44" s="58"/>
      <c r="EI44" s="58"/>
      <c r="EJ44" s="58"/>
      <c r="EK44" s="58"/>
      <c r="EL44" s="58"/>
      <c r="EM44" s="58"/>
      <c r="EN44" s="58"/>
      <c r="EO44" s="58"/>
      <c r="EP44" s="58"/>
      <c r="EQ44" s="58"/>
      <c r="ER44" s="58"/>
      <c r="ES44" s="58"/>
      <c r="ET44" s="58"/>
      <c r="EU44" s="58"/>
      <c r="EV44" s="58"/>
      <c r="EW44" s="58"/>
      <c r="EX44" s="58"/>
      <c r="EY44" s="58"/>
    </row>
    <row r="45" spans="1:155" ht="14" x14ac:dyDescent="0.15">
      <c r="A45" s="56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5"/>
      <c r="AW45" s="45"/>
      <c r="AX45" s="45"/>
      <c r="AY45" s="45"/>
      <c r="AZ45" s="45"/>
      <c r="BA45" s="45"/>
      <c r="BB45" s="45"/>
      <c r="BC45" s="45"/>
      <c r="BD45" s="46"/>
      <c r="BE45" s="45"/>
      <c r="BF45" s="45"/>
      <c r="BG45" s="45"/>
      <c r="BH45" s="45"/>
      <c r="BI45" s="45"/>
      <c r="BJ45" s="45"/>
      <c r="BK45" s="45"/>
      <c r="BL45" s="45"/>
      <c r="BM45" s="45"/>
      <c r="BN45" s="45"/>
      <c r="BO45" s="45"/>
      <c r="BP45" s="45"/>
      <c r="BQ45" s="45"/>
      <c r="BR45" s="45"/>
      <c r="BS45" s="45"/>
      <c r="BT45" s="45"/>
      <c r="BU45" s="45"/>
      <c r="BV45" s="45"/>
      <c r="BW45" s="45"/>
      <c r="BX45" s="45"/>
      <c r="BY45" s="45"/>
      <c r="BZ45" s="45"/>
      <c r="CA45" s="45"/>
      <c r="CB45" s="45"/>
      <c r="CC45" s="45"/>
      <c r="CD45" s="45"/>
      <c r="CE45" s="45"/>
      <c r="CF45" s="45"/>
      <c r="CG45" s="45"/>
      <c r="CH45" s="45"/>
      <c r="CI45" s="45"/>
      <c r="CJ45" s="45"/>
      <c r="CK45" s="45"/>
      <c r="CL45" s="45"/>
      <c r="CM45" s="45"/>
      <c r="CN45" s="45"/>
      <c r="CO45" s="45"/>
      <c r="CP45" s="45"/>
      <c r="CQ45" s="45"/>
      <c r="CR45" s="45"/>
      <c r="CS45" s="45"/>
      <c r="CT45" s="45"/>
      <c r="CU45" s="45"/>
      <c r="CV45" s="45"/>
      <c r="CW45" s="45"/>
      <c r="CX45" s="45"/>
      <c r="CY45" s="45"/>
      <c r="CZ45" s="45"/>
      <c r="DA45" s="45"/>
      <c r="DB45" s="45"/>
      <c r="DC45" s="45"/>
      <c r="DD45" s="45"/>
      <c r="DE45" s="45"/>
      <c r="DF45" s="45"/>
      <c r="DG45" s="45"/>
      <c r="DH45" s="45"/>
      <c r="DI45" s="45"/>
      <c r="DJ45" s="45"/>
      <c r="DK45" s="45"/>
      <c r="DL45" s="45"/>
      <c r="DM45" s="45"/>
      <c r="DN45" s="45"/>
      <c r="DO45" s="45"/>
      <c r="DP45" s="45"/>
      <c r="DQ45" s="45"/>
      <c r="DR45" s="45"/>
      <c r="DS45" s="45"/>
      <c r="DT45" s="45"/>
      <c r="DU45" s="45"/>
      <c r="DV45" s="45"/>
      <c r="DW45" s="45"/>
      <c r="DX45" s="45"/>
      <c r="DY45" s="45"/>
      <c r="DZ45" s="45"/>
      <c r="EA45" s="45"/>
      <c r="EB45" s="45"/>
      <c r="EC45" s="45"/>
      <c r="ED45" s="45"/>
      <c r="EE45" s="45"/>
      <c r="EF45" s="45"/>
      <c r="EG45" s="45"/>
      <c r="EH45" s="45"/>
      <c r="EI45" s="45"/>
      <c r="EJ45" s="45"/>
      <c r="EK45" s="45"/>
      <c r="EL45" s="45"/>
      <c r="EM45" s="45"/>
      <c r="EN45" s="45"/>
      <c r="EO45" s="45"/>
      <c r="EP45" s="45"/>
      <c r="EQ45" s="45"/>
      <c r="ER45" s="45"/>
      <c r="ES45" s="45"/>
      <c r="ET45" s="45"/>
      <c r="EU45" s="45"/>
      <c r="EV45" s="45"/>
      <c r="EW45" s="45"/>
      <c r="EX45" s="45"/>
      <c r="EY45" s="45"/>
    </row>
    <row r="46" spans="1:155" ht="14" x14ac:dyDescent="0.15">
      <c r="A46" s="61"/>
      <c r="B46" s="62" t="s">
        <v>64</v>
      </c>
      <c r="C46" s="61">
        <v>10742</v>
      </c>
      <c r="D46" s="61">
        <v>10950</v>
      </c>
      <c r="E46" s="61">
        <v>11167</v>
      </c>
      <c r="F46" s="61">
        <v>11388</v>
      </c>
      <c r="G46" s="61">
        <v>11599</v>
      </c>
      <c r="H46" s="61">
        <v>11799</v>
      </c>
      <c r="I46" s="61">
        <v>12009</v>
      </c>
      <c r="J46" s="61">
        <v>12263</v>
      </c>
      <c r="K46" s="61">
        <v>12507</v>
      </c>
      <c r="L46" s="61">
        <v>13067</v>
      </c>
      <c r="M46" s="61">
        <v>13304</v>
      </c>
      <c r="N46" s="61">
        <v>13505</v>
      </c>
      <c r="O46" s="61">
        <v>13723</v>
      </c>
      <c r="P46" s="61">
        <v>13893</v>
      </c>
      <c r="Q46" s="61">
        <v>14033</v>
      </c>
      <c r="R46" s="61">
        <v>14192</v>
      </c>
      <c r="S46" s="61">
        <v>14359</v>
      </c>
      <c r="T46" s="61">
        <v>14516</v>
      </c>
      <c r="U46" s="61">
        <v>14695</v>
      </c>
      <c r="V46" s="61">
        <v>14923</v>
      </c>
      <c r="W46" s="61">
        <v>15184</v>
      </c>
      <c r="X46" s="61">
        <v>15393</v>
      </c>
      <c r="Y46" s="61">
        <v>15579</v>
      </c>
      <c r="Z46" s="61">
        <v>15788</v>
      </c>
      <c r="AA46" s="61">
        <v>16018</v>
      </c>
      <c r="AB46" s="61">
        <v>16264</v>
      </c>
      <c r="AC46" s="61">
        <v>16532</v>
      </c>
      <c r="AD46" s="61">
        <v>16814</v>
      </c>
      <c r="AE46" s="61">
        <v>17065</v>
      </c>
      <c r="AF46" s="61">
        <v>17284</v>
      </c>
      <c r="AG46" s="61">
        <v>17479</v>
      </c>
      <c r="AH46" s="61">
        <v>17635</v>
      </c>
      <c r="AI46" s="61">
        <v>17805</v>
      </c>
      <c r="AJ46" s="61">
        <v>18005</v>
      </c>
      <c r="AK46" s="61">
        <v>18225</v>
      </c>
      <c r="AL46" s="61">
        <v>18423</v>
      </c>
      <c r="AM46" s="61">
        <v>18608</v>
      </c>
      <c r="AN46" s="61">
        <v>18812</v>
      </c>
      <c r="AO46" s="61">
        <v>19029</v>
      </c>
      <c r="AP46" s="61">
        <v>19275</v>
      </c>
      <c r="AQ46" s="61">
        <v>19495</v>
      </c>
      <c r="AR46" s="61">
        <v>19721</v>
      </c>
      <c r="AS46" s="61">
        <v>19933</v>
      </c>
      <c r="AT46" s="61">
        <v>20177</v>
      </c>
      <c r="AU46" s="61">
        <v>20451</v>
      </c>
      <c r="AV46" s="61">
        <v>20828</v>
      </c>
      <c r="AW46" s="61">
        <v>21249</v>
      </c>
      <c r="AX46" s="61">
        <v>21692</v>
      </c>
      <c r="AY46" s="61">
        <v>22032</v>
      </c>
      <c r="AZ46" s="61">
        <v>22340</v>
      </c>
      <c r="BA46" s="61">
        <v>22722</v>
      </c>
      <c r="BB46" s="61">
        <v>23134</v>
      </c>
      <c r="BC46" s="63"/>
      <c r="BD46" s="61"/>
      <c r="BE46" s="64"/>
      <c r="BF46" s="64"/>
      <c r="BG46" s="64"/>
      <c r="BH46" s="64"/>
      <c r="BI46" s="64"/>
      <c r="BJ46" s="64"/>
      <c r="BK46" s="64"/>
      <c r="BL46" s="64"/>
      <c r="BM46" s="64"/>
      <c r="BN46" s="64"/>
      <c r="BO46" s="64"/>
      <c r="BP46" s="64"/>
      <c r="BQ46" s="64"/>
      <c r="BR46" s="64"/>
      <c r="BS46" s="64"/>
      <c r="BT46" s="64"/>
      <c r="BU46" s="64"/>
      <c r="BV46" s="64"/>
      <c r="BW46" s="64"/>
      <c r="BX46" s="64"/>
      <c r="BY46" s="64"/>
      <c r="BZ46" s="64"/>
      <c r="CA46" s="64"/>
      <c r="CB46" s="64"/>
      <c r="CC46" s="64"/>
      <c r="CD46" s="64"/>
      <c r="CE46" s="64"/>
      <c r="CF46" s="64"/>
      <c r="CG46" s="64"/>
      <c r="CH46" s="64"/>
      <c r="CI46" s="64"/>
      <c r="CJ46" s="64"/>
      <c r="CK46" s="64"/>
      <c r="CL46" s="64"/>
      <c r="CM46" s="64"/>
      <c r="CN46" s="64"/>
      <c r="CO46" s="64"/>
      <c r="CP46" s="64"/>
      <c r="CQ46" s="64"/>
      <c r="CR46" s="64"/>
      <c r="CS46" s="64"/>
      <c r="CT46" s="64"/>
      <c r="CU46" s="64"/>
      <c r="CV46" s="64"/>
      <c r="CW46" s="64"/>
      <c r="CX46" s="64"/>
      <c r="CY46" s="64"/>
      <c r="CZ46" s="64"/>
      <c r="DA46" s="64"/>
      <c r="DB46" s="64"/>
      <c r="DC46" s="64"/>
      <c r="DD46" s="64"/>
      <c r="DE46" s="64"/>
      <c r="DF46" s="64"/>
      <c r="DG46" s="64"/>
      <c r="DH46" s="64"/>
      <c r="DI46" s="64"/>
      <c r="DJ46" s="64"/>
      <c r="DK46" s="64"/>
      <c r="DL46" s="64"/>
      <c r="DM46" s="64"/>
      <c r="DN46" s="64"/>
      <c r="DO46" s="64"/>
      <c r="DP46" s="64"/>
      <c r="DQ46" s="64"/>
      <c r="DR46" s="64"/>
      <c r="DS46" s="64"/>
      <c r="DT46" s="64"/>
      <c r="DU46" s="64"/>
      <c r="DV46" s="64"/>
      <c r="DW46" s="64"/>
      <c r="DX46" s="64"/>
      <c r="DY46" s="64"/>
      <c r="DZ46" s="64"/>
      <c r="EA46" s="64"/>
      <c r="EB46" s="64"/>
      <c r="EC46" s="64"/>
      <c r="ED46" s="64"/>
      <c r="EE46" s="64"/>
      <c r="EF46" s="64"/>
      <c r="EG46" s="64"/>
      <c r="EH46" s="64"/>
      <c r="EI46" s="64"/>
      <c r="EJ46" s="64"/>
      <c r="EK46" s="64"/>
      <c r="EL46" s="64"/>
      <c r="EM46" s="64"/>
      <c r="EN46" s="64"/>
      <c r="EO46" s="64"/>
      <c r="EP46" s="64"/>
      <c r="EQ46" s="64"/>
      <c r="ER46" s="64"/>
      <c r="ES46" s="64"/>
      <c r="ET46" s="64"/>
      <c r="EU46" s="64"/>
      <c r="EV46" s="64"/>
      <c r="EW46" s="64"/>
      <c r="EX46" s="64"/>
      <c r="EY46" s="64"/>
    </row>
    <row r="47" spans="1:155" ht="14" x14ac:dyDescent="0.15">
      <c r="A47" s="56"/>
      <c r="B47" s="44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45"/>
      <c r="AN47" s="45"/>
      <c r="AO47" s="45"/>
      <c r="AP47" s="45"/>
      <c r="AQ47" s="45"/>
      <c r="AR47" s="45"/>
      <c r="AS47" s="45"/>
      <c r="AT47" s="45"/>
      <c r="AU47" s="45"/>
      <c r="AV47" s="45"/>
      <c r="AW47" s="45"/>
      <c r="AX47" s="45"/>
      <c r="AY47" s="45"/>
      <c r="AZ47" s="45"/>
      <c r="BA47" s="45"/>
      <c r="BB47" s="45"/>
      <c r="BC47" s="47"/>
      <c r="BD47" s="65"/>
      <c r="BE47" s="47"/>
      <c r="BF47" s="47"/>
      <c r="BG47" s="47"/>
      <c r="BH47" s="47"/>
      <c r="BI47" s="47"/>
      <c r="BJ47" s="47"/>
      <c r="BK47" s="47"/>
      <c r="BL47" s="47"/>
      <c r="BM47" s="47"/>
      <c r="BN47" s="47"/>
      <c r="BO47" s="47"/>
      <c r="BP47" s="47"/>
      <c r="BQ47" s="47"/>
      <c r="BR47" s="47"/>
      <c r="BS47" s="47"/>
      <c r="BT47" s="47"/>
      <c r="BU47" s="47"/>
      <c r="BV47" s="47"/>
      <c r="BW47" s="47"/>
      <c r="BX47" s="47"/>
      <c r="BY47" s="47"/>
      <c r="BZ47" s="47"/>
      <c r="CA47" s="47"/>
      <c r="CB47" s="47"/>
      <c r="CC47" s="47"/>
      <c r="CD47" s="47"/>
      <c r="CE47" s="47"/>
      <c r="CF47" s="47"/>
      <c r="CG47" s="47"/>
      <c r="CH47" s="47"/>
      <c r="CI47" s="47"/>
      <c r="CJ47" s="47"/>
      <c r="CK47" s="47"/>
      <c r="CL47" s="47"/>
      <c r="CM47" s="47"/>
      <c r="CN47" s="47"/>
      <c r="CO47" s="47"/>
      <c r="CP47" s="47"/>
      <c r="CQ47" s="47"/>
      <c r="CR47" s="47"/>
      <c r="CS47" s="47"/>
      <c r="CT47" s="47"/>
      <c r="CU47" s="47"/>
      <c r="CV47" s="47"/>
      <c r="CW47" s="47"/>
      <c r="CX47" s="47"/>
      <c r="CY47" s="47"/>
      <c r="CZ47" s="47"/>
      <c r="DA47" s="47"/>
      <c r="DB47" s="47"/>
      <c r="DC47" s="47"/>
      <c r="DD47" s="47"/>
      <c r="DE47" s="47"/>
      <c r="DF47" s="47"/>
      <c r="DG47" s="47"/>
      <c r="DH47" s="47"/>
      <c r="DI47" s="47"/>
      <c r="DJ47" s="47"/>
      <c r="DK47" s="47"/>
      <c r="DL47" s="47"/>
      <c r="DM47" s="47"/>
      <c r="DN47" s="47"/>
      <c r="DO47" s="47"/>
      <c r="DP47" s="47"/>
      <c r="DQ47" s="47"/>
      <c r="DR47" s="47"/>
      <c r="DS47" s="47"/>
      <c r="DT47" s="47"/>
      <c r="DU47" s="47"/>
      <c r="DV47" s="47"/>
      <c r="DW47" s="47"/>
      <c r="DX47" s="47"/>
      <c r="DY47" s="47"/>
      <c r="DZ47" s="47"/>
      <c r="EA47" s="47"/>
      <c r="EB47" s="47"/>
      <c r="EC47" s="47"/>
      <c r="ED47" s="47"/>
      <c r="EE47" s="47"/>
      <c r="EF47" s="47"/>
      <c r="EG47" s="47"/>
      <c r="EH47" s="47"/>
      <c r="EI47" s="47"/>
      <c r="EJ47" s="47"/>
      <c r="EK47" s="47"/>
      <c r="EL47" s="47"/>
      <c r="EM47" s="47"/>
      <c r="EN47" s="47"/>
      <c r="EO47" s="47"/>
      <c r="EP47" s="47"/>
      <c r="EQ47" s="47"/>
      <c r="ER47" s="47"/>
      <c r="ES47" s="47"/>
      <c r="ET47" s="47"/>
      <c r="EU47" s="47"/>
      <c r="EV47" s="47"/>
      <c r="EW47" s="47"/>
      <c r="EX47" s="47"/>
      <c r="EY47" s="47"/>
    </row>
    <row r="48" spans="1:155" ht="14" x14ac:dyDescent="0.15">
      <c r="A48" s="2"/>
      <c r="B48" s="3" t="s">
        <v>0</v>
      </c>
      <c r="C48" s="3">
        <v>1962</v>
      </c>
      <c r="D48" s="3">
        <v>1963</v>
      </c>
      <c r="E48" s="3">
        <v>1964</v>
      </c>
      <c r="F48" s="3">
        <v>1965</v>
      </c>
      <c r="G48" s="3">
        <v>1966</v>
      </c>
      <c r="H48" s="3">
        <v>1967</v>
      </c>
      <c r="I48" s="3">
        <v>1968</v>
      </c>
      <c r="J48" s="3">
        <v>1969</v>
      </c>
      <c r="K48" s="3">
        <v>1970</v>
      </c>
      <c r="L48" s="3">
        <v>1971</v>
      </c>
      <c r="M48" s="3">
        <v>1972</v>
      </c>
      <c r="N48" s="3">
        <v>1973</v>
      </c>
      <c r="O48" s="3">
        <v>1974</v>
      </c>
      <c r="P48" s="3">
        <v>1975</v>
      </c>
      <c r="Q48" s="3">
        <v>1976</v>
      </c>
      <c r="R48" s="3">
        <v>1977</v>
      </c>
      <c r="S48" s="3">
        <v>1978</v>
      </c>
      <c r="T48" s="3">
        <v>1979</v>
      </c>
      <c r="U48" s="3">
        <v>1980</v>
      </c>
      <c r="V48" s="3">
        <v>1981</v>
      </c>
      <c r="W48" s="3">
        <v>1982</v>
      </c>
      <c r="X48" s="3">
        <v>1983</v>
      </c>
      <c r="Y48" s="3">
        <v>1984</v>
      </c>
      <c r="Z48" s="3">
        <v>1985</v>
      </c>
      <c r="AA48" s="3">
        <v>1986</v>
      </c>
      <c r="AB48" s="3">
        <v>1987</v>
      </c>
      <c r="AC48" s="3">
        <v>1988</v>
      </c>
      <c r="AD48" s="3">
        <v>1989</v>
      </c>
      <c r="AE48" s="3">
        <v>1990</v>
      </c>
      <c r="AF48" s="3">
        <v>1991</v>
      </c>
      <c r="AG48" s="3">
        <v>1992</v>
      </c>
      <c r="AH48" s="3">
        <v>1993</v>
      </c>
      <c r="AI48" s="3">
        <v>1994</v>
      </c>
      <c r="AJ48" s="3">
        <v>1995</v>
      </c>
      <c r="AK48" s="3">
        <v>1996</v>
      </c>
      <c r="AL48" s="3">
        <v>1997</v>
      </c>
      <c r="AM48" s="3">
        <v>1998</v>
      </c>
      <c r="AN48" s="3">
        <v>1999</v>
      </c>
      <c r="AO48" s="3">
        <v>2000</v>
      </c>
      <c r="AP48" s="3">
        <v>2001</v>
      </c>
      <c r="AQ48" s="3">
        <v>2002</v>
      </c>
      <c r="AR48" s="3">
        <v>2003</v>
      </c>
      <c r="AS48" s="3">
        <v>2004</v>
      </c>
      <c r="AT48" s="3">
        <v>2005</v>
      </c>
      <c r="AU48" s="3">
        <v>2006</v>
      </c>
      <c r="AV48" s="3">
        <v>2007</v>
      </c>
      <c r="AW48" s="3">
        <v>2008</v>
      </c>
      <c r="AX48" s="3">
        <v>2009</v>
      </c>
      <c r="AY48" s="3">
        <v>2010</v>
      </c>
      <c r="AZ48" s="3">
        <v>2011</v>
      </c>
      <c r="BA48" s="3">
        <v>2012</v>
      </c>
      <c r="BB48" s="3">
        <v>2013</v>
      </c>
      <c r="BC48" s="3"/>
      <c r="BD48" s="3" t="s">
        <v>38</v>
      </c>
      <c r="BE48" s="4"/>
      <c r="BF48" s="4" t="s">
        <v>39</v>
      </c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</row>
    <row r="49" spans="1:155" ht="14" x14ac:dyDescent="0.15">
      <c r="A49" s="55"/>
      <c r="B49" s="14" t="s">
        <v>65</v>
      </c>
      <c r="C49" s="66">
        <f t="shared" ref="C49:BB49" si="16">(C3/C46)*1000000</f>
        <v>16955.005696185042</v>
      </c>
      <c r="D49" s="66">
        <f t="shared" si="16"/>
        <v>16381.731261412839</v>
      </c>
      <c r="E49" s="66">
        <f t="shared" si="16"/>
        <v>16444.89593576243</v>
      </c>
      <c r="F49" s="66">
        <f t="shared" si="16"/>
        <v>16729.218696222437</v>
      </c>
      <c r="G49" s="66">
        <f t="shared" si="16"/>
        <v>17106.121102849036</v>
      </c>
      <c r="H49" s="66">
        <f t="shared" si="16"/>
        <v>17645.174456413621</v>
      </c>
      <c r="I49" s="66">
        <f t="shared" si="16"/>
        <v>18034.811875131265</v>
      </c>
      <c r="J49" s="66">
        <f t="shared" si="16"/>
        <v>18711.089091549413</v>
      </c>
      <c r="K49" s="66">
        <f t="shared" si="16"/>
        <v>19459.174250305496</v>
      </c>
      <c r="L49" s="66">
        <f t="shared" si="16"/>
        <v>19076.766920848491</v>
      </c>
      <c r="M49" s="66">
        <f t="shared" si="16"/>
        <v>18988.850853432064</v>
      </c>
      <c r="N49" s="66">
        <f t="shared" si="16"/>
        <v>19725.687343892198</v>
      </c>
      <c r="O49" s="66">
        <f t="shared" si="16"/>
        <v>20892.559237050693</v>
      </c>
      <c r="P49" s="66">
        <f t="shared" si="16"/>
        <v>21943.301452188174</v>
      </c>
      <c r="Q49" s="66">
        <f t="shared" si="16"/>
        <v>22806.622757739846</v>
      </c>
      <c r="R49" s="66">
        <f t="shared" si="16"/>
        <v>22641.14245400234</v>
      </c>
      <c r="S49" s="66">
        <f t="shared" si="16"/>
        <v>23297.73783358674</v>
      </c>
      <c r="T49" s="66">
        <f t="shared" si="16"/>
        <v>23451.358597842005</v>
      </c>
      <c r="U49" s="66">
        <f t="shared" si="16"/>
        <v>21627.648342422221</v>
      </c>
      <c r="V49" s="66">
        <f t="shared" si="16"/>
        <v>22532.584324933323</v>
      </c>
      <c r="W49" s="66">
        <f t="shared" si="16"/>
        <v>22539.432067710441</v>
      </c>
      <c r="X49" s="66">
        <f t="shared" si="16"/>
        <v>22690.076213436168</v>
      </c>
      <c r="Y49" s="66">
        <f t="shared" si="16"/>
        <v>22232.210688235406</v>
      </c>
      <c r="Z49" s="66">
        <f t="shared" si="16"/>
        <v>22069.206465764662</v>
      </c>
      <c r="AA49" s="66">
        <f t="shared" si="16"/>
        <v>22040.224600345824</v>
      </c>
      <c r="AB49" s="66">
        <f t="shared" si="16"/>
        <v>22299.392631578987</v>
      </c>
      <c r="AC49" s="66">
        <f t="shared" si="16"/>
        <v>22897.930854949944</v>
      </c>
      <c r="AD49" s="66">
        <f t="shared" si="16"/>
        <v>23186.37806508406</v>
      </c>
      <c r="AE49" s="66">
        <f t="shared" si="16"/>
        <v>23851.500732144006</v>
      </c>
      <c r="AF49" s="66">
        <f t="shared" si="16"/>
        <v>23651.29091542686</v>
      </c>
      <c r="AG49" s="66">
        <f t="shared" si="16"/>
        <v>23347.169720313133</v>
      </c>
      <c r="AH49" s="66">
        <f t="shared" si="16"/>
        <v>23201.445872492641</v>
      </c>
      <c r="AI49" s="66">
        <f t="shared" si="16"/>
        <v>23113.71642580719</v>
      </c>
      <c r="AJ49" s="66">
        <f t="shared" si="16"/>
        <v>23027.891478607205</v>
      </c>
      <c r="AK49" s="66">
        <f t="shared" si="16"/>
        <v>23924.849327971438</v>
      </c>
      <c r="AL49" s="66">
        <f t="shared" si="16"/>
        <v>25098.421448204721</v>
      </c>
      <c r="AM49" s="66">
        <f t="shared" si="16"/>
        <v>24550.210703406268</v>
      </c>
      <c r="AN49" s="66">
        <f t="shared" si="16"/>
        <v>25349.2247793229</v>
      </c>
      <c r="AO49" s="66">
        <f t="shared" si="16"/>
        <v>25142.960724260145</v>
      </c>
      <c r="AP49" s="66">
        <f t="shared" si="16"/>
        <v>26239.139447460057</v>
      </c>
      <c r="AQ49" s="66">
        <f t="shared" si="16"/>
        <v>26979.79826563899</v>
      </c>
      <c r="AR49" s="66">
        <f t="shared" si="16"/>
        <v>27758.774355180263</v>
      </c>
      <c r="AS49" s="66">
        <f t="shared" si="16"/>
        <v>28817.186088508752</v>
      </c>
      <c r="AT49" s="66">
        <f t="shared" si="16"/>
        <v>29368.261592829207</v>
      </c>
      <c r="AU49" s="66">
        <f t="shared" si="16"/>
        <v>30024.963909531249</v>
      </c>
      <c r="AV49" s="66">
        <f t="shared" si="16"/>
        <v>30144.135285584809</v>
      </c>
      <c r="AW49" s="66">
        <f t="shared" si="16"/>
        <v>30006.129641553638</v>
      </c>
      <c r="AX49" s="66">
        <f t="shared" si="16"/>
        <v>29477.75736534307</v>
      </c>
      <c r="AY49" s="66">
        <f t="shared" si="16"/>
        <v>31521.987575249135</v>
      </c>
      <c r="AZ49" s="66">
        <f t="shared" si="16"/>
        <v>33044.572248312666</v>
      </c>
      <c r="BA49" s="66">
        <f t="shared" si="16"/>
        <v>33936.541203783832</v>
      </c>
      <c r="BB49" s="66">
        <f t="shared" si="16"/>
        <v>34514.075819497462</v>
      </c>
      <c r="BC49" s="16"/>
      <c r="BD49" s="67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  <c r="DO49" s="16"/>
      <c r="DP49" s="16"/>
      <c r="DQ49" s="16"/>
      <c r="DR49" s="16"/>
      <c r="DS49" s="16"/>
      <c r="DT49" s="16"/>
      <c r="DU49" s="16"/>
      <c r="DV49" s="16"/>
      <c r="DW49" s="16"/>
      <c r="DX49" s="16"/>
      <c r="DY49" s="16"/>
      <c r="DZ49" s="16"/>
      <c r="EA49" s="16"/>
      <c r="EB49" s="16"/>
      <c r="EC49" s="16"/>
      <c r="ED49" s="16"/>
      <c r="EE49" s="16"/>
      <c r="EF49" s="16"/>
      <c r="EG49" s="16"/>
      <c r="EH49" s="16"/>
      <c r="EI49" s="16"/>
      <c r="EJ49" s="16"/>
      <c r="EK49" s="16"/>
      <c r="EL49" s="16"/>
      <c r="EM49" s="16"/>
      <c r="EN49" s="16"/>
      <c r="EO49" s="16"/>
      <c r="EP49" s="16"/>
      <c r="EQ49" s="16"/>
      <c r="ER49" s="16"/>
      <c r="ES49" s="16"/>
      <c r="ET49" s="16"/>
      <c r="EU49" s="16"/>
      <c r="EV49" s="16"/>
      <c r="EW49" s="16"/>
      <c r="EX49" s="16"/>
      <c r="EY49" s="16"/>
    </row>
    <row r="50" spans="1:155" ht="14" x14ac:dyDescent="0.15">
      <c r="A50" s="55"/>
      <c r="B50" s="14" t="s">
        <v>66</v>
      </c>
      <c r="C50" s="66">
        <f t="shared" ref="C50:BB50" si="17">C40/C46*1000000</f>
        <v>21192.873412772296</v>
      </c>
      <c r="D50" s="66">
        <f t="shared" si="17"/>
        <v>22191.780821917808</v>
      </c>
      <c r="E50" s="66">
        <f t="shared" si="17"/>
        <v>23193.337512313065</v>
      </c>
      <c r="F50" s="66">
        <f t="shared" si="17"/>
        <v>23918.882622058311</v>
      </c>
      <c r="G50" s="66">
        <f t="shared" si="17"/>
        <v>24116.228804207261</v>
      </c>
      <c r="H50" s="66">
        <f t="shared" si="17"/>
        <v>25547.362768031191</v>
      </c>
      <c r="I50" s="66">
        <f t="shared" si="17"/>
        <v>26385.10248147223</v>
      </c>
      <c r="J50" s="66">
        <f t="shared" si="17"/>
        <v>28061.30551251733</v>
      </c>
      <c r="K50" s="66">
        <f t="shared" si="17"/>
        <v>29450.707603741903</v>
      </c>
      <c r="L50" s="66">
        <f t="shared" si="17"/>
        <v>28819.11986684013</v>
      </c>
      <c r="M50" s="66">
        <f t="shared" si="17"/>
        <v>29836.622714972938</v>
      </c>
      <c r="N50" s="66">
        <f t="shared" si="17"/>
        <v>29217.867574972232</v>
      </c>
      <c r="O50" s="66">
        <f t="shared" si="17"/>
        <v>29863.960453253661</v>
      </c>
      <c r="P50" s="66">
        <f t="shared" si="17"/>
        <v>30464.553919239905</v>
      </c>
      <c r="Q50" s="66">
        <f t="shared" si="17"/>
        <v>30866.231974631228</v>
      </c>
      <c r="R50" s="66">
        <f t="shared" si="17"/>
        <v>32210.970631341603</v>
      </c>
      <c r="S50" s="66">
        <f t="shared" si="17"/>
        <v>32303.750783480744</v>
      </c>
      <c r="T50" s="66">
        <f t="shared" si="17"/>
        <v>32783.379312482779</v>
      </c>
      <c r="U50" s="66">
        <f t="shared" si="17"/>
        <v>33609.120748553927</v>
      </c>
      <c r="V50" s="66">
        <f t="shared" si="17"/>
        <v>33742.527313542851</v>
      </c>
      <c r="W50" s="66">
        <f t="shared" si="17"/>
        <v>34406.518137513172</v>
      </c>
      <c r="X50" s="66">
        <f t="shared" si="17"/>
        <v>33647.92215942312</v>
      </c>
      <c r="Y50" s="66">
        <f t="shared" si="17"/>
        <v>36619.808716862441</v>
      </c>
      <c r="Z50" s="66">
        <f t="shared" si="17"/>
        <v>36744.112579174049</v>
      </c>
      <c r="AA50" s="66">
        <f t="shared" si="17"/>
        <v>36590.873554750906</v>
      </c>
      <c r="AB50" s="66">
        <f t="shared" si="17"/>
        <v>36915.577840629616</v>
      </c>
      <c r="AC50" s="66">
        <f t="shared" si="17"/>
        <v>38285.833916041614</v>
      </c>
      <c r="AD50" s="66">
        <f t="shared" si="17"/>
        <v>39626.333644581893</v>
      </c>
      <c r="AE50" s="66">
        <f t="shared" si="17"/>
        <v>40132.991004980955</v>
      </c>
      <c r="AF50" s="66">
        <f t="shared" si="17"/>
        <v>40074.891460310108</v>
      </c>
      <c r="AG50" s="66">
        <f t="shared" si="17"/>
        <v>40267.479518279077</v>
      </c>
      <c r="AH50" s="66">
        <f t="shared" si="17"/>
        <v>41146.542727530483</v>
      </c>
      <c r="AI50" s="66">
        <f t="shared" si="17"/>
        <v>41739.778242066837</v>
      </c>
      <c r="AJ50" s="66">
        <f t="shared" si="17"/>
        <v>41710.046870313803</v>
      </c>
      <c r="AK50" s="66">
        <f t="shared" si="17"/>
        <v>43327.232153635116</v>
      </c>
      <c r="AL50" s="66">
        <f t="shared" si="17"/>
        <v>45232.446686207462</v>
      </c>
      <c r="AM50" s="66">
        <f t="shared" si="17"/>
        <v>46664.120738392085</v>
      </c>
      <c r="AN50" s="66">
        <f t="shared" si="17"/>
        <v>47716.794370614494</v>
      </c>
      <c r="AO50" s="66">
        <f t="shared" si="17"/>
        <v>47503.561952808872</v>
      </c>
      <c r="AP50" s="66">
        <f t="shared" si="17"/>
        <v>48528.040679636833</v>
      </c>
      <c r="AQ50" s="66">
        <f t="shared" si="17"/>
        <v>49807.378579122851</v>
      </c>
      <c r="AR50" s="66">
        <f t="shared" si="17"/>
        <v>51083.495258861112</v>
      </c>
      <c r="AS50" s="66">
        <f t="shared" si="17"/>
        <v>53035.029298148795</v>
      </c>
      <c r="AT50" s="66">
        <f t="shared" si="17"/>
        <v>54545.849184715276</v>
      </c>
      <c r="AU50" s="66">
        <f t="shared" si="17"/>
        <v>56348.73556305316</v>
      </c>
      <c r="AV50" s="66">
        <f t="shared" si="17"/>
        <v>58575.426301133091</v>
      </c>
      <c r="AW50" s="66">
        <f t="shared" si="17"/>
        <v>60019.223728175442</v>
      </c>
      <c r="AX50" s="66">
        <f t="shared" si="17"/>
        <v>61502.80149363821</v>
      </c>
      <c r="AY50" s="66">
        <f t="shared" si="17"/>
        <v>60692.609250181551</v>
      </c>
      <c r="AZ50" s="66">
        <f t="shared" si="17"/>
        <v>63146.211862130709</v>
      </c>
      <c r="BA50" s="66">
        <f t="shared" si="17"/>
        <v>64204.338526538158</v>
      </c>
      <c r="BB50" s="66">
        <f t="shared" si="17"/>
        <v>62733.744402178621</v>
      </c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  <c r="DO50" s="16"/>
      <c r="DP50" s="16"/>
      <c r="DQ50" s="16"/>
      <c r="DR50" s="16"/>
      <c r="DS50" s="16"/>
      <c r="DT50" s="16"/>
      <c r="DU50" s="16"/>
      <c r="DV50" s="16"/>
      <c r="DW50" s="16"/>
      <c r="DX50" s="16"/>
      <c r="DY50" s="16"/>
      <c r="DZ50" s="16"/>
      <c r="EA50" s="16"/>
      <c r="EB50" s="16"/>
      <c r="EC50" s="16"/>
      <c r="ED50" s="16"/>
      <c r="EE50" s="16"/>
      <c r="EF50" s="16"/>
      <c r="EG50" s="16"/>
      <c r="EH50" s="16"/>
      <c r="EI50" s="16"/>
      <c r="EJ50" s="16"/>
      <c r="EK50" s="16"/>
      <c r="EL50" s="16"/>
      <c r="EM50" s="16"/>
      <c r="EN50" s="16"/>
      <c r="EO50" s="16"/>
      <c r="EP50" s="16"/>
      <c r="EQ50" s="16"/>
      <c r="ER50" s="16"/>
      <c r="ES50" s="16"/>
      <c r="ET50" s="16"/>
      <c r="EU50" s="16"/>
      <c r="EV50" s="16"/>
      <c r="EW50" s="16"/>
      <c r="EX50" s="16"/>
      <c r="EY50" s="16"/>
    </row>
    <row r="51" spans="1:155" ht="14" x14ac:dyDescent="0.15">
      <c r="A51" s="55"/>
      <c r="B51" s="14" t="s">
        <v>67</v>
      </c>
      <c r="C51" s="66">
        <f t="shared" ref="C51:BB51" si="18">C4/C46*1000000</f>
        <v>13009.681623533792</v>
      </c>
      <c r="D51" s="66">
        <f t="shared" si="18"/>
        <v>13636.529680365296</v>
      </c>
      <c r="E51" s="66">
        <f t="shared" si="18"/>
        <v>14113.907047550822</v>
      </c>
      <c r="F51" s="66">
        <f t="shared" si="18"/>
        <v>14377.414822620301</v>
      </c>
      <c r="G51" s="66">
        <f t="shared" si="18"/>
        <v>14602.120872489008</v>
      </c>
      <c r="H51" s="66">
        <f t="shared" si="18"/>
        <v>15091.109416052208</v>
      </c>
      <c r="I51" s="66">
        <f t="shared" si="18"/>
        <v>15720.709467899076</v>
      </c>
      <c r="J51" s="66">
        <f t="shared" si="18"/>
        <v>16406.262741580365</v>
      </c>
      <c r="K51" s="66">
        <f t="shared" si="18"/>
        <v>17151.195330614857</v>
      </c>
      <c r="L51" s="66">
        <f t="shared" si="18"/>
        <v>17124.052957832708</v>
      </c>
      <c r="M51" s="66">
        <f t="shared" si="18"/>
        <v>17446.632591701742</v>
      </c>
      <c r="N51" s="66">
        <f t="shared" si="18"/>
        <v>18227.323213624582</v>
      </c>
      <c r="O51" s="66">
        <f t="shared" si="18"/>
        <v>18944.837134737303</v>
      </c>
      <c r="P51" s="66">
        <f t="shared" si="18"/>
        <v>19486.072122651698</v>
      </c>
      <c r="Q51" s="66">
        <f t="shared" si="18"/>
        <v>20028.504240005703</v>
      </c>
      <c r="R51" s="66">
        <f t="shared" si="18"/>
        <v>20073.985343855693</v>
      </c>
      <c r="S51" s="66">
        <f t="shared" si="18"/>
        <v>20350.302945887594</v>
      </c>
      <c r="T51" s="66">
        <f t="shared" si="18"/>
        <v>20460.870763295672</v>
      </c>
      <c r="U51" s="66">
        <f t="shared" si="18"/>
        <v>20798.91119428377</v>
      </c>
      <c r="V51" s="66">
        <f t="shared" si="18"/>
        <v>21397.172150371909</v>
      </c>
      <c r="W51" s="66">
        <f t="shared" si="18"/>
        <v>21751.844046364593</v>
      </c>
      <c r="X51" s="66">
        <f t="shared" si="18"/>
        <v>21568.894952251023</v>
      </c>
      <c r="Y51" s="66">
        <f t="shared" si="18"/>
        <v>21944.925861736952</v>
      </c>
      <c r="Z51" s="66">
        <f t="shared" si="18"/>
        <v>22577.907271345324</v>
      </c>
      <c r="AA51" s="66">
        <f t="shared" si="18"/>
        <v>22700.711699338244</v>
      </c>
      <c r="AB51" s="66">
        <f t="shared" si="18"/>
        <v>22779.144121987214</v>
      </c>
      <c r="AC51" s="66">
        <f t="shared" si="18"/>
        <v>23216.186789257197</v>
      </c>
      <c r="AD51" s="66">
        <f t="shared" si="18"/>
        <v>23818.841441655764</v>
      </c>
      <c r="AE51" s="66">
        <f t="shared" si="18"/>
        <v>23866.979197187226</v>
      </c>
      <c r="AF51" s="66">
        <f t="shared" si="18"/>
        <v>23959.15297384865</v>
      </c>
      <c r="AG51" s="66">
        <f t="shared" si="18"/>
        <v>24561.473768522224</v>
      </c>
      <c r="AH51" s="66">
        <f t="shared" si="18"/>
        <v>24835.83782251205</v>
      </c>
      <c r="AI51" s="66">
        <f t="shared" si="18"/>
        <v>25390.058972198822</v>
      </c>
      <c r="AJ51" s="66">
        <f t="shared" si="18"/>
        <v>25703.971119133574</v>
      </c>
      <c r="AK51" s="66">
        <f t="shared" si="18"/>
        <v>25976.406035665295</v>
      </c>
      <c r="AL51" s="66">
        <f t="shared" si="18"/>
        <v>27100.90647560115</v>
      </c>
      <c r="AM51" s="66">
        <f t="shared" si="18"/>
        <v>28214.746345657779</v>
      </c>
      <c r="AN51" s="66">
        <f t="shared" si="18"/>
        <v>29289.815011694664</v>
      </c>
      <c r="AO51" s="66">
        <f t="shared" si="18"/>
        <v>29622.155657154864</v>
      </c>
      <c r="AP51" s="66">
        <f t="shared" si="18"/>
        <v>29859.403372243836</v>
      </c>
      <c r="AQ51" s="66">
        <f t="shared" si="18"/>
        <v>30726.340087201846</v>
      </c>
      <c r="AR51" s="66">
        <f t="shared" si="18"/>
        <v>31442.117539678515</v>
      </c>
      <c r="AS51" s="66">
        <f t="shared" si="18"/>
        <v>32597.702302714089</v>
      </c>
      <c r="AT51" s="66">
        <f t="shared" si="18"/>
        <v>33068.840759280371</v>
      </c>
      <c r="AU51" s="66">
        <f t="shared" si="18"/>
        <v>33875.605104884846</v>
      </c>
      <c r="AV51" s="66">
        <f t="shared" si="18"/>
        <v>35426.829268292677</v>
      </c>
      <c r="AW51" s="66">
        <f t="shared" si="18"/>
        <v>35005.882629770815</v>
      </c>
      <c r="AX51" s="66">
        <f t="shared" si="18"/>
        <v>34853.402175917392</v>
      </c>
      <c r="AY51" s="66">
        <f t="shared" si="18"/>
        <v>35202.886710239654</v>
      </c>
      <c r="AZ51" s="66">
        <f t="shared" si="18"/>
        <v>35547.896150402863</v>
      </c>
      <c r="BA51" s="66">
        <f t="shared" si="18"/>
        <v>36091.89331925007</v>
      </c>
      <c r="BB51" s="66">
        <f t="shared" si="18"/>
        <v>36104.867294890639</v>
      </c>
      <c r="BC51" s="16"/>
      <c r="BD51" s="67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  <c r="DO51" s="16"/>
      <c r="DP51" s="16"/>
      <c r="DQ51" s="16"/>
      <c r="DR51" s="16"/>
      <c r="DS51" s="16"/>
      <c r="DT51" s="16"/>
      <c r="DU51" s="16"/>
      <c r="DV51" s="16"/>
      <c r="DW51" s="16"/>
      <c r="DX51" s="16"/>
      <c r="DY51" s="16"/>
      <c r="DZ51" s="16"/>
      <c r="EA51" s="16"/>
      <c r="EB51" s="16"/>
      <c r="EC51" s="16"/>
      <c r="ED51" s="16"/>
      <c r="EE51" s="16"/>
      <c r="EF51" s="16"/>
      <c r="EG51" s="16"/>
      <c r="EH51" s="16"/>
      <c r="EI51" s="16"/>
      <c r="EJ51" s="16"/>
      <c r="EK51" s="16"/>
      <c r="EL51" s="16"/>
      <c r="EM51" s="16"/>
      <c r="EN51" s="16"/>
      <c r="EO51" s="16"/>
      <c r="EP51" s="16"/>
      <c r="EQ51" s="16"/>
      <c r="ER51" s="16"/>
      <c r="ES51" s="16"/>
      <c r="ET51" s="16"/>
      <c r="EU51" s="16"/>
      <c r="EV51" s="16"/>
      <c r="EW51" s="16"/>
      <c r="EX51" s="16"/>
      <c r="EY51" s="16"/>
    </row>
    <row r="52" spans="1:155" ht="13" x14ac:dyDescent="0.15">
      <c r="A52" s="68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47"/>
      <c r="AX52" s="47"/>
      <c r="AY52" s="47"/>
      <c r="AZ52" s="47"/>
      <c r="BA52" s="47"/>
      <c r="BB52" s="47"/>
      <c r="BC52" s="47"/>
      <c r="BD52" s="65"/>
      <c r="BE52" s="47"/>
      <c r="BF52" s="47"/>
      <c r="BG52" s="47"/>
      <c r="BH52" s="47"/>
      <c r="BI52" s="47"/>
      <c r="BJ52" s="47"/>
      <c r="BK52" s="47"/>
      <c r="BL52" s="47"/>
      <c r="BM52" s="47"/>
      <c r="BN52" s="47"/>
      <c r="BO52" s="47"/>
      <c r="BP52" s="47"/>
      <c r="BQ52" s="47"/>
      <c r="BR52" s="47"/>
      <c r="BS52" s="47"/>
      <c r="BT52" s="47"/>
      <c r="BU52" s="47"/>
      <c r="BV52" s="47"/>
      <c r="BW52" s="47"/>
      <c r="BX52" s="47"/>
      <c r="BY52" s="47"/>
      <c r="BZ52" s="47"/>
      <c r="CA52" s="47"/>
      <c r="CB52" s="47"/>
      <c r="CC52" s="47"/>
      <c r="CD52" s="47"/>
      <c r="CE52" s="47"/>
      <c r="CF52" s="47"/>
      <c r="CG52" s="47"/>
      <c r="CH52" s="47"/>
      <c r="CI52" s="47"/>
      <c r="CJ52" s="47"/>
      <c r="CK52" s="47"/>
      <c r="CL52" s="47"/>
      <c r="CM52" s="47"/>
      <c r="CN52" s="47"/>
      <c r="CO52" s="47"/>
      <c r="CP52" s="47"/>
      <c r="CQ52" s="47"/>
      <c r="CR52" s="47"/>
      <c r="CS52" s="47"/>
      <c r="CT52" s="47"/>
      <c r="CU52" s="47"/>
      <c r="CV52" s="47"/>
      <c r="CW52" s="47"/>
      <c r="CX52" s="47"/>
      <c r="CY52" s="47"/>
      <c r="CZ52" s="47"/>
      <c r="DA52" s="47"/>
      <c r="DB52" s="47"/>
      <c r="DC52" s="47"/>
      <c r="DD52" s="47"/>
      <c r="DE52" s="47"/>
      <c r="DF52" s="47"/>
      <c r="DG52" s="47"/>
      <c r="DH52" s="47"/>
      <c r="DI52" s="47"/>
      <c r="DJ52" s="47"/>
      <c r="DK52" s="47"/>
      <c r="DL52" s="47"/>
      <c r="DM52" s="47"/>
      <c r="DN52" s="47"/>
      <c r="DO52" s="47"/>
      <c r="DP52" s="47"/>
      <c r="DQ52" s="47"/>
      <c r="DR52" s="47"/>
      <c r="DS52" s="47"/>
      <c r="DT52" s="47"/>
      <c r="DU52" s="47"/>
      <c r="DV52" s="47"/>
      <c r="DW52" s="47"/>
      <c r="DX52" s="47"/>
      <c r="DY52" s="47"/>
      <c r="DZ52" s="47"/>
      <c r="EA52" s="47"/>
      <c r="EB52" s="47"/>
      <c r="EC52" s="47"/>
      <c r="ED52" s="47"/>
      <c r="EE52" s="47"/>
      <c r="EF52" s="47"/>
      <c r="EG52" s="47"/>
      <c r="EH52" s="47"/>
      <c r="EI52" s="47"/>
      <c r="EJ52" s="47"/>
      <c r="EK52" s="47"/>
      <c r="EL52" s="47"/>
      <c r="EM52" s="47"/>
      <c r="EN52" s="47"/>
      <c r="EO52" s="47"/>
      <c r="EP52" s="47"/>
      <c r="EQ52" s="47"/>
      <c r="ER52" s="47"/>
      <c r="ES52" s="47"/>
      <c r="ET52" s="47"/>
      <c r="EU52" s="47"/>
      <c r="EV52" s="47"/>
      <c r="EW52" s="47"/>
      <c r="EX52" s="47"/>
      <c r="EY52" s="47"/>
    </row>
    <row r="53" spans="1:155" ht="13" x14ac:dyDescent="0.15">
      <c r="A53" s="68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s="47"/>
      <c r="AV53" s="47"/>
      <c r="AW53" s="47"/>
      <c r="AX53" s="47"/>
      <c r="AY53" s="47"/>
      <c r="AZ53" s="47"/>
      <c r="BA53" s="47"/>
      <c r="BB53" s="47"/>
      <c r="BC53" s="47"/>
      <c r="BD53" s="65"/>
      <c r="BE53" s="47"/>
      <c r="BF53" s="47"/>
      <c r="BG53" s="47"/>
      <c r="BH53" s="47"/>
      <c r="BI53" s="47"/>
      <c r="BJ53" s="47"/>
      <c r="BK53" s="47"/>
      <c r="BL53" s="47"/>
      <c r="BM53" s="47"/>
      <c r="BN53" s="47"/>
      <c r="BO53" s="47"/>
      <c r="BP53" s="47"/>
      <c r="BQ53" s="47"/>
      <c r="BR53" s="47"/>
      <c r="BS53" s="47"/>
      <c r="BT53" s="47"/>
      <c r="BU53" s="47"/>
      <c r="BV53" s="47"/>
      <c r="BW53" s="47"/>
      <c r="BX53" s="47"/>
      <c r="BY53" s="47"/>
      <c r="BZ53" s="47"/>
      <c r="CA53" s="47"/>
      <c r="CB53" s="47"/>
      <c r="CC53" s="47"/>
      <c r="CD53" s="47"/>
      <c r="CE53" s="47"/>
      <c r="CF53" s="47"/>
      <c r="CG53" s="47"/>
      <c r="CH53" s="47"/>
      <c r="CI53" s="47"/>
      <c r="CJ53" s="47"/>
      <c r="CK53" s="47"/>
      <c r="CL53" s="47"/>
      <c r="CM53" s="47"/>
      <c r="CN53" s="47"/>
      <c r="CO53" s="47"/>
      <c r="CP53" s="47"/>
      <c r="CQ53" s="47"/>
      <c r="CR53" s="47"/>
      <c r="CS53" s="47"/>
      <c r="CT53" s="47"/>
      <c r="CU53" s="47"/>
      <c r="CV53" s="47"/>
      <c r="CW53" s="47"/>
      <c r="CX53" s="47"/>
      <c r="CY53" s="47"/>
      <c r="CZ53" s="47"/>
      <c r="DA53" s="47"/>
      <c r="DB53" s="47"/>
      <c r="DC53" s="47"/>
      <c r="DD53" s="47"/>
      <c r="DE53" s="47"/>
      <c r="DF53" s="47"/>
      <c r="DG53" s="47"/>
      <c r="DH53" s="47"/>
      <c r="DI53" s="47"/>
      <c r="DJ53" s="47"/>
      <c r="DK53" s="47"/>
      <c r="DL53" s="47"/>
      <c r="DM53" s="47"/>
      <c r="DN53" s="47"/>
      <c r="DO53" s="47"/>
      <c r="DP53" s="47"/>
      <c r="DQ53" s="47"/>
      <c r="DR53" s="47"/>
      <c r="DS53" s="47"/>
      <c r="DT53" s="47"/>
      <c r="DU53" s="47"/>
      <c r="DV53" s="47"/>
      <c r="DW53" s="47"/>
      <c r="DX53" s="47"/>
      <c r="DY53" s="47"/>
      <c r="DZ53" s="47"/>
      <c r="EA53" s="47"/>
      <c r="EB53" s="47"/>
      <c r="EC53" s="47"/>
      <c r="ED53" s="47"/>
      <c r="EE53" s="47"/>
      <c r="EF53" s="47"/>
      <c r="EG53" s="47"/>
      <c r="EH53" s="47"/>
      <c r="EI53" s="47"/>
      <c r="EJ53" s="47"/>
      <c r="EK53" s="47"/>
      <c r="EL53" s="47"/>
      <c r="EM53" s="47"/>
      <c r="EN53" s="47"/>
      <c r="EO53" s="47"/>
      <c r="EP53" s="47"/>
      <c r="EQ53" s="47"/>
      <c r="ER53" s="47"/>
      <c r="ES53" s="47"/>
      <c r="ET53" s="47"/>
      <c r="EU53" s="47"/>
      <c r="EV53" s="47"/>
      <c r="EW53" s="47"/>
      <c r="EX53" s="47"/>
      <c r="EY53" s="47"/>
    </row>
    <row r="54" spans="1:155" ht="13" x14ac:dyDescent="0.15">
      <c r="A54" s="69"/>
    </row>
    <row r="55" spans="1:155" ht="13" x14ac:dyDescent="0.15">
      <c r="A55" s="69"/>
      <c r="B55" s="70" t="s">
        <v>26</v>
      </c>
      <c r="C55" s="70">
        <v>1962</v>
      </c>
      <c r="D55" s="70">
        <v>1963</v>
      </c>
      <c r="E55" s="70">
        <v>1964</v>
      </c>
      <c r="F55" s="70">
        <v>1965</v>
      </c>
      <c r="G55" s="70">
        <v>1966</v>
      </c>
      <c r="H55" s="70">
        <v>1967</v>
      </c>
      <c r="I55" s="70">
        <v>1968</v>
      </c>
      <c r="J55" s="70">
        <v>1969</v>
      </c>
      <c r="K55" s="70">
        <v>1970</v>
      </c>
      <c r="L55" s="70">
        <v>1971</v>
      </c>
      <c r="M55" s="70">
        <v>1972</v>
      </c>
      <c r="N55" s="70">
        <v>1973</v>
      </c>
      <c r="O55" s="70">
        <v>1974</v>
      </c>
      <c r="P55" s="70">
        <v>1975</v>
      </c>
      <c r="Q55" s="70">
        <v>1976</v>
      </c>
      <c r="R55" s="70">
        <v>1977</v>
      </c>
      <c r="S55" s="70">
        <v>1978</v>
      </c>
      <c r="T55" s="70">
        <v>1979</v>
      </c>
      <c r="U55" s="70">
        <v>1980</v>
      </c>
      <c r="V55" s="70">
        <v>1981</v>
      </c>
      <c r="W55" s="70">
        <v>1982</v>
      </c>
      <c r="X55" s="70">
        <v>1983</v>
      </c>
      <c r="Y55" s="70">
        <v>1984</v>
      </c>
      <c r="Z55" s="70">
        <v>1985</v>
      </c>
      <c r="AA55" s="70">
        <v>1986</v>
      </c>
      <c r="AB55" s="70">
        <v>1987</v>
      </c>
      <c r="AC55" s="70">
        <v>1988</v>
      </c>
      <c r="AD55" s="70">
        <v>1989</v>
      </c>
      <c r="AE55" s="70">
        <v>1990</v>
      </c>
      <c r="AF55" s="70">
        <v>1991</v>
      </c>
      <c r="AG55" s="70">
        <v>1992</v>
      </c>
      <c r="AH55" s="70">
        <v>1993</v>
      </c>
      <c r="AI55" s="70">
        <v>1994</v>
      </c>
      <c r="AJ55" s="70">
        <v>1995</v>
      </c>
      <c r="AK55" s="70">
        <v>1996</v>
      </c>
      <c r="AL55" s="70">
        <v>1997</v>
      </c>
      <c r="AM55" s="70">
        <v>1998</v>
      </c>
      <c r="AN55" s="70">
        <v>1999</v>
      </c>
      <c r="AO55" s="70">
        <v>2000</v>
      </c>
      <c r="AP55" s="70">
        <v>2001</v>
      </c>
      <c r="AQ55" s="70">
        <v>2002</v>
      </c>
      <c r="AR55" s="70">
        <v>2003</v>
      </c>
      <c r="AS55" s="70">
        <v>2004</v>
      </c>
      <c r="AT55" s="70">
        <v>2005</v>
      </c>
      <c r="AU55" s="70">
        <v>2006</v>
      </c>
      <c r="AV55" s="70">
        <v>2007</v>
      </c>
      <c r="AW55" s="70">
        <v>2008</v>
      </c>
      <c r="AX55" s="70">
        <v>2009</v>
      </c>
      <c r="AY55" s="70">
        <v>2010</v>
      </c>
    </row>
    <row r="56" spans="1:155" ht="13" x14ac:dyDescent="0.15">
      <c r="A56" s="71"/>
      <c r="B56" s="72" t="s">
        <v>68</v>
      </c>
      <c r="C56" s="73">
        <f t="shared" ref="C56:AY56" si="19">C57/1000</f>
        <v>303.61099999999999</v>
      </c>
      <c r="D56" s="73">
        <f t="shared" si="19"/>
        <v>311.42500000000001</v>
      </c>
      <c r="E56" s="73">
        <f t="shared" si="19"/>
        <v>321.17500000000001</v>
      </c>
      <c r="F56" s="73">
        <f t="shared" si="19"/>
        <v>328.97199999999998</v>
      </c>
      <c r="G56" s="73">
        <f t="shared" si="19"/>
        <v>333.94799999999998</v>
      </c>
      <c r="H56" s="73">
        <f t="shared" si="19"/>
        <v>343.46</v>
      </c>
      <c r="I56" s="73">
        <f t="shared" si="19"/>
        <v>354.66800000000001</v>
      </c>
      <c r="J56" s="73">
        <f t="shared" si="19"/>
        <v>362.75200000000001</v>
      </c>
      <c r="K56" s="73">
        <f t="shared" si="19"/>
        <v>374.048</v>
      </c>
      <c r="L56" s="73">
        <f t="shared" si="19"/>
        <v>381.28899999999999</v>
      </c>
      <c r="M56" s="73">
        <f t="shared" si="19"/>
        <v>392.12299999999999</v>
      </c>
      <c r="N56" s="73">
        <f t="shared" si="19"/>
        <v>406.233</v>
      </c>
      <c r="O56" s="73">
        <f t="shared" si="19"/>
        <v>418.642</v>
      </c>
      <c r="P56" s="73">
        <f t="shared" si="19"/>
        <v>413.08800000000002</v>
      </c>
      <c r="Q56" s="73">
        <f t="shared" si="19"/>
        <v>409.07600000000002</v>
      </c>
      <c r="R56" s="73">
        <f t="shared" si="19"/>
        <v>402.30099999999999</v>
      </c>
      <c r="S56" s="73">
        <f t="shared" si="19"/>
        <v>394.03</v>
      </c>
      <c r="T56" s="73">
        <f t="shared" si="19"/>
        <v>387.971</v>
      </c>
      <c r="U56" s="73">
        <f t="shared" si="19"/>
        <v>388.05399999999997</v>
      </c>
      <c r="V56" s="73">
        <f t="shared" si="19"/>
        <v>390.16</v>
      </c>
      <c r="W56" s="73">
        <f t="shared" si="19"/>
        <v>392.34</v>
      </c>
      <c r="X56" s="73">
        <f t="shared" si="19"/>
        <v>393.81299999999999</v>
      </c>
      <c r="Y56" s="73">
        <f t="shared" si="19"/>
        <v>395.53100000000001</v>
      </c>
      <c r="Z56" s="73">
        <f t="shared" si="19"/>
        <v>404.69400000000002</v>
      </c>
      <c r="AA56" s="73">
        <f t="shared" si="19"/>
        <v>404.90600000000001</v>
      </c>
      <c r="AB56" s="73">
        <f t="shared" si="19"/>
        <v>392.315</v>
      </c>
      <c r="AC56" s="73">
        <f t="shared" si="19"/>
        <v>404.59100000000001</v>
      </c>
      <c r="AD56" s="73">
        <f t="shared" si="19"/>
        <v>404.48399999999998</v>
      </c>
      <c r="AE56" s="73">
        <f t="shared" si="19"/>
        <v>413.661</v>
      </c>
      <c r="AF56" s="73">
        <f t="shared" si="19"/>
        <v>416.73899999999998</v>
      </c>
      <c r="AG56" s="73">
        <f t="shared" si="19"/>
        <v>417.28100000000001</v>
      </c>
      <c r="AH56" s="73">
        <f t="shared" si="19"/>
        <v>416.94</v>
      </c>
      <c r="AI56" s="73">
        <f t="shared" si="19"/>
        <v>426.18599999999998</v>
      </c>
      <c r="AJ56" s="73">
        <f t="shared" si="19"/>
        <v>440.041</v>
      </c>
      <c r="AK56" s="73">
        <f t="shared" si="19"/>
        <v>458.00599999999997</v>
      </c>
      <c r="AL56" s="73">
        <f t="shared" si="19"/>
        <v>463.96100000000001</v>
      </c>
      <c r="AM56" s="73">
        <f t="shared" si="19"/>
        <v>465.04500000000002</v>
      </c>
      <c r="AN56" s="73">
        <f t="shared" si="19"/>
        <v>475.20499999999998</v>
      </c>
      <c r="AO56" s="73">
        <f t="shared" si="19"/>
        <v>486.98</v>
      </c>
      <c r="AP56" s="73">
        <f t="shared" si="19"/>
        <v>498.03300000000002</v>
      </c>
      <c r="AQ56" s="73">
        <f t="shared" si="19"/>
        <v>510.113</v>
      </c>
      <c r="AR56" s="73">
        <f t="shared" si="19"/>
        <v>513.00400000000002</v>
      </c>
      <c r="AS56" s="73">
        <f t="shared" si="19"/>
        <v>539.24199999999996</v>
      </c>
      <c r="AT56" s="73">
        <f t="shared" si="19"/>
        <v>538.90899999999999</v>
      </c>
      <c r="AU56" s="73">
        <f t="shared" si="19"/>
        <v>549.976</v>
      </c>
      <c r="AV56" s="73">
        <f t="shared" si="19"/>
        <v>545.4</v>
      </c>
      <c r="AW56" s="73">
        <f t="shared" si="19"/>
        <v>555.86400000000003</v>
      </c>
      <c r="AX56" s="73">
        <f t="shared" si="19"/>
        <v>567.92999999999995</v>
      </c>
      <c r="AY56" s="73">
        <f t="shared" si="19"/>
        <v>580.50400000000002</v>
      </c>
      <c r="AZ56" s="71"/>
      <c r="BA56" s="71"/>
      <c r="BB56" s="71"/>
      <c r="BC56" s="71"/>
      <c r="BD56" s="71"/>
      <c r="BE56" s="71"/>
      <c r="BF56" s="71"/>
      <c r="BG56" s="71"/>
      <c r="BH56" s="71"/>
      <c r="BI56" s="71"/>
      <c r="BJ56" s="71"/>
      <c r="BK56" s="71"/>
      <c r="BL56" s="71"/>
      <c r="BM56" s="71"/>
      <c r="BN56" s="71"/>
      <c r="BO56" s="71"/>
      <c r="BP56" s="71"/>
      <c r="BQ56" s="71"/>
      <c r="BR56" s="71"/>
      <c r="BS56" s="71"/>
      <c r="BT56" s="71"/>
      <c r="BU56" s="71"/>
      <c r="BV56" s="71"/>
      <c r="BW56" s="71"/>
      <c r="BX56" s="71"/>
      <c r="BY56" s="71"/>
      <c r="BZ56" s="71"/>
      <c r="CA56" s="71"/>
      <c r="CB56" s="71"/>
      <c r="CC56" s="71"/>
      <c r="CD56" s="71"/>
      <c r="CE56" s="71"/>
      <c r="CF56" s="71"/>
      <c r="CG56" s="71"/>
      <c r="CH56" s="71"/>
      <c r="CI56" s="71"/>
      <c r="CJ56" s="71"/>
      <c r="CK56" s="71"/>
      <c r="CL56" s="71"/>
      <c r="CM56" s="71"/>
      <c r="CN56" s="71"/>
      <c r="CO56" s="71"/>
      <c r="CP56" s="71"/>
      <c r="CQ56" s="71"/>
      <c r="CR56" s="71"/>
      <c r="CS56" s="71"/>
      <c r="CT56" s="71"/>
      <c r="CU56" s="71"/>
      <c r="CV56" s="71"/>
      <c r="CW56" s="71"/>
      <c r="CX56" s="71"/>
      <c r="CY56" s="71"/>
      <c r="CZ56" s="71"/>
      <c r="DA56" s="71"/>
      <c r="DB56" s="71"/>
      <c r="DC56" s="71"/>
      <c r="DD56" s="71"/>
      <c r="DE56" s="71"/>
      <c r="DF56" s="71"/>
      <c r="DG56" s="71"/>
      <c r="DH56" s="71"/>
      <c r="DI56" s="71"/>
      <c r="DJ56" s="71"/>
      <c r="DK56" s="71"/>
      <c r="DL56" s="71"/>
      <c r="DM56" s="71"/>
      <c r="DN56" s="71"/>
      <c r="DO56" s="71"/>
      <c r="DP56" s="71"/>
      <c r="DQ56" s="71"/>
      <c r="DR56" s="71"/>
      <c r="DS56" s="71"/>
      <c r="DT56" s="71"/>
      <c r="DU56" s="71"/>
      <c r="DV56" s="71"/>
      <c r="DW56" s="71"/>
      <c r="DX56" s="71"/>
      <c r="DY56" s="71"/>
      <c r="DZ56" s="71"/>
      <c r="EA56" s="71"/>
      <c r="EB56" s="71"/>
      <c r="EC56" s="71"/>
      <c r="ED56" s="71"/>
      <c r="EE56" s="71"/>
      <c r="EF56" s="71"/>
      <c r="EG56" s="71"/>
      <c r="EH56" s="71"/>
      <c r="EI56" s="71"/>
      <c r="EJ56" s="71"/>
      <c r="EK56" s="71"/>
      <c r="EL56" s="71"/>
      <c r="EM56" s="71"/>
      <c r="EN56" s="71"/>
      <c r="EO56" s="71"/>
      <c r="EP56" s="71"/>
      <c r="EQ56" s="71"/>
      <c r="ER56" s="71"/>
      <c r="ES56" s="71"/>
      <c r="ET56" s="71"/>
      <c r="EU56" s="71"/>
      <c r="EV56" s="71"/>
      <c r="EW56" s="71"/>
      <c r="EX56" s="71"/>
      <c r="EY56" s="71"/>
    </row>
    <row r="57" spans="1:155" ht="13" x14ac:dyDescent="0.15">
      <c r="A57" s="71"/>
      <c r="B57" s="74" t="s">
        <v>69</v>
      </c>
      <c r="C57" s="75">
        <v>303611</v>
      </c>
      <c r="D57" s="75">
        <v>311425</v>
      </c>
      <c r="E57" s="75">
        <v>321175</v>
      </c>
      <c r="F57" s="75">
        <v>328972</v>
      </c>
      <c r="G57" s="75">
        <v>333948</v>
      </c>
      <c r="H57" s="75">
        <v>343460</v>
      </c>
      <c r="I57" s="75">
        <v>354668</v>
      </c>
      <c r="J57" s="75">
        <v>362752</v>
      </c>
      <c r="K57" s="75">
        <v>374048</v>
      </c>
      <c r="L57" s="75">
        <v>381289</v>
      </c>
      <c r="M57" s="75">
        <v>392123</v>
      </c>
      <c r="N57" s="75">
        <v>406233</v>
      </c>
      <c r="O57" s="75">
        <v>418642</v>
      </c>
      <c r="P57" s="75">
        <v>413088</v>
      </c>
      <c r="Q57" s="75">
        <v>409076</v>
      </c>
      <c r="R57" s="75">
        <v>402301</v>
      </c>
      <c r="S57" s="75">
        <v>394030</v>
      </c>
      <c r="T57" s="75">
        <v>387971</v>
      </c>
      <c r="U57" s="75">
        <v>388054</v>
      </c>
      <c r="V57" s="75">
        <v>390160</v>
      </c>
      <c r="W57" s="75">
        <v>392340</v>
      </c>
      <c r="X57" s="75">
        <v>393813</v>
      </c>
      <c r="Y57" s="75">
        <v>395531</v>
      </c>
      <c r="Z57" s="75">
        <v>404694</v>
      </c>
      <c r="AA57" s="75">
        <v>404906</v>
      </c>
      <c r="AB57" s="75">
        <v>392315</v>
      </c>
      <c r="AC57" s="75">
        <v>404591</v>
      </c>
      <c r="AD57" s="75">
        <v>404484</v>
      </c>
      <c r="AE57" s="75">
        <v>413661</v>
      </c>
      <c r="AF57" s="75">
        <v>416739</v>
      </c>
      <c r="AG57" s="75">
        <v>417281</v>
      </c>
      <c r="AH57" s="75">
        <v>416940</v>
      </c>
      <c r="AI57" s="75">
        <v>426186</v>
      </c>
      <c r="AJ57" s="75">
        <v>440041</v>
      </c>
      <c r="AK57" s="75">
        <v>458006</v>
      </c>
      <c r="AL57" s="75">
        <v>463961</v>
      </c>
      <c r="AM57" s="75">
        <v>465045</v>
      </c>
      <c r="AN57" s="75">
        <v>475205</v>
      </c>
      <c r="AO57" s="75">
        <v>486980</v>
      </c>
      <c r="AP57" s="75">
        <v>498033</v>
      </c>
      <c r="AQ57" s="75">
        <v>510113</v>
      </c>
      <c r="AR57" s="75">
        <v>513004</v>
      </c>
      <c r="AS57" s="75">
        <v>539242</v>
      </c>
      <c r="AT57" s="75">
        <v>538909</v>
      </c>
      <c r="AU57" s="75">
        <v>549976</v>
      </c>
      <c r="AV57" s="75">
        <v>545400</v>
      </c>
      <c r="AW57" s="75">
        <v>555864</v>
      </c>
      <c r="AX57" s="75">
        <v>567930</v>
      </c>
      <c r="AY57" s="75">
        <v>580504</v>
      </c>
      <c r="AZ57" s="71"/>
      <c r="BA57" s="71"/>
      <c r="BB57" s="71"/>
      <c r="BC57" s="71"/>
      <c r="BD57" s="71"/>
      <c r="BE57" s="71"/>
      <c r="BF57" s="71"/>
      <c r="BG57" s="71"/>
      <c r="BH57" s="71"/>
      <c r="BI57" s="71"/>
      <c r="BJ57" s="71"/>
      <c r="BK57" s="71"/>
      <c r="BL57" s="71"/>
      <c r="BM57" s="71"/>
      <c r="BN57" s="71"/>
      <c r="BO57" s="71"/>
      <c r="BP57" s="71"/>
      <c r="BQ57" s="71"/>
      <c r="BR57" s="71"/>
      <c r="BS57" s="71"/>
      <c r="BT57" s="71"/>
      <c r="BU57" s="71"/>
      <c r="BV57" s="71"/>
      <c r="BW57" s="71"/>
      <c r="BX57" s="71"/>
      <c r="BY57" s="71"/>
      <c r="BZ57" s="71"/>
      <c r="CA57" s="71"/>
      <c r="CB57" s="71"/>
      <c r="CC57" s="71"/>
      <c r="CD57" s="71"/>
      <c r="CE57" s="71"/>
      <c r="CF57" s="71"/>
      <c r="CG57" s="71"/>
      <c r="CH57" s="71"/>
      <c r="CI57" s="71"/>
      <c r="CJ57" s="71"/>
      <c r="CK57" s="71"/>
      <c r="CL57" s="71"/>
      <c r="CM57" s="71"/>
      <c r="CN57" s="71"/>
      <c r="CO57" s="71"/>
      <c r="CP57" s="71"/>
      <c r="CQ57" s="71"/>
      <c r="CR57" s="71"/>
      <c r="CS57" s="71"/>
      <c r="CT57" s="71"/>
      <c r="CU57" s="71"/>
      <c r="CV57" s="71"/>
      <c r="CW57" s="71"/>
      <c r="CX57" s="71"/>
      <c r="CY57" s="71"/>
      <c r="CZ57" s="71"/>
      <c r="DA57" s="71"/>
      <c r="DB57" s="71"/>
      <c r="DC57" s="71"/>
      <c r="DD57" s="71"/>
      <c r="DE57" s="71"/>
      <c r="DF57" s="71"/>
      <c r="DG57" s="71"/>
      <c r="DH57" s="71"/>
      <c r="DI57" s="71"/>
      <c r="DJ57" s="71"/>
      <c r="DK57" s="71"/>
      <c r="DL57" s="71"/>
      <c r="DM57" s="71"/>
      <c r="DN57" s="71"/>
      <c r="DO57" s="71"/>
      <c r="DP57" s="71"/>
      <c r="DQ57" s="71"/>
      <c r="DR57" s="71"/>
      <c r="DS57" s="71"/>
      <c r="DT57" s="71"/>
      <c r="DU57" s="71"/>
      <c r="DV57" s="71"/>
      <c r="DW57" s="71"/>
      <c r="DX57" s="71"/>
      <c r="DY57" s="71"/>
      <c r="DZ57" s="71"/>
      <c r="EA57" s="71"/>
      <c r="EB57" s="71"/>
      <c r="EC57" s="71"/>
      <c r="ED57" s="71"/>
      <c r="EE57" s="71"/>
      <c r="EF57" s="71"/>
      <c r="EG57" s="71"/>
      <c r="EH57" s="71"/>
      <c r="EI57" s="71"/>
      <c r="EJ57" s="71"/>
      <c r="EK57" s="71"/>
      <c r="EL57" s="71"/>
      <c r="EM57" s="71"/>
      <c r="EN57" s="71"/>
      <c r="EO57" s="71"/>
      <c r="EP57" s="71"/>
      <c r="EQ57" s="71"/>
      <c r="ER57" s="71"/>
      <c r="ES57" s="71"/>
      <c r="ET57" s="71"/>
      <c r="EU57" s="71"/>
      <c r="EV57" s="71"/>
      <c r="EW57" s="71"/>
      <c r="EX57" s="71"/>
      <c r="EY57" s="71"/>
    </row>
    <row r="58" spans="1:155" ht="13" x14ac:dyDescent="0.15">
      <c r="A58" s="71"/>
      <c r="B58" s="74" t="s">
        <v>70</v>
      </c>
      <c r="C58" s="75">
        <f t="shared" ref="C58:AY58" si="20">C59/1000</f>
        <v>185.637</v>
      </c>
      <c r="D58" s="75">
        <f t="shared" si="20"/>
        <v>197.80099999999999</v>
      </c>
      <c r="E58" s="75">
        <f t="shared" si="20"/>
        <v>212.774</v>
      </c>
      <c r="F58" s="75">
        <f t="shared" si="20"/>
        <v>225.61600000000001</v>
      </c>
      <c r="G58" s="75">
        <f t="shared" si="20"/>
        <v>232.845</v>
      </c>
      <c r="H58" s="75">
        <f t="shared" si="20"/>
        <v>245.464</v>
      </c>
      <c r="I58" s="75">
        <f t="shared" si="20"/>
        <v>258.101</v>
      </c>
      <c r="J58" s="75">
        <f t="shared" si="20"/>
        <v>276.25900000000001</v>
      </c>
      <c r="K58" s="75">
        <f t="shared" si="20"/>
        <v>296.03100000000001</v>
      </c>
      <c r="L58" s="75">
        <f t="shared" si="20"/>
        <v>307.92</v>
      </c>
      <c r="M58" s="75">
        <f t="shared" si="20"/>
        <v>320.07299999999998</v>
      </c>
      <c r="N58" s="75">
        <f t="shared" si="20"/>
        <v>328.59800000000001</v>
      </c>
      <c r="O58" s="75">
        <f t="shared" si="20"/>
        <v>341.87099999999998</v>
      </c>
      <c r="P58" s="75">
        <f t="shared" si="20"/>
        <v>345.96100000000001</v>
      </c>
      <c r="Q58" s="75">
        <f t="shared" si="20"/>
        <v>355.31700000000001</v>
      </c>
      <c r="R58" s="75">
        <f t="shared" si="20"/>
        <v>367.62</v>
      </c>
      <c r="S58" s="75">
        <f t="shared" si="20"/>
        <v>370.91699999999997</v>
      </c>
      <c r="T58" s="75">
        <f t="shared" si="20"/>
        <v>386.46</v>
      </c>
      <c r="U58" s="75">
        <f t="shared" si="20"/>
        <v>398.57799999999997</v>
      </c>
      <c r="V58" s="75">
        <f t="shared" si="20"/>
        <v>412.06799999999998</v>
      </c>
      <c r="W58" s="75">
        <f t="shared" si="20"/>
        <v>425.137</v>
      </c>
      <c r="X58" s="75">
        <f t="shared" si="20"/>
        <v>415.05599999999998</v>
      </c>
      <c r="Y58" s="75">
        <f t="shared" si="20"/>
        <v>434.45800000000003</v>
      </c>
      <c r="Z58" s="75">
        <f t="shared" si="20"/>
        <v>457.59399999999999</v>
      </c>
      <c r="AA58" s="75">
        <f t="shared" si="20"/>
        <v>477.93200000000002</v>
      </c>
      <c r="AB58" s="75">
        <f t="shared" si="20"/>
        <v>489.48099999999999</v>
      </c>
      <c r="AC58" s="75">
        <f t="shared" si="20"/>
        <v>514.73900000000003</v>
      </c>
      <c r="AD58" s="75">
        <f t="shared" si="20"/>
        <v>533.79399999999998</v>
      </c>
      <c r="AE58" s="75">
        <f t="shared" si="20"/>
        <v>554.81899999999996</v>
      </c>
      <c r="AF58" s="75">
        <f t="shared" si="20"/>
        <v>551.26099999999997</v>
      </c>
      <c r="AG58" s="75">
        <f t="shared" si="20"/>
        <v>551.72199999999998</v>
      </c>
      <c r="AH58" s="75">
        <f t="shared" si="20"/>
        <v>571.88699999999994</v>
      </c>
      <c r="AI58" s="75">
        <f t="shared" si="20"/>
        <v>595.36</v>
      </c>
      <c r="AJ58" s="75">
        <f t="shared" si="20"/>
        <v>622.05700000000002</v>
      </c>
      <c r="AK58" s="75">
        <f t="shared" si="20"/>
        <v>647.65899999999999</v>
      </c>
      <c r="AL58" s="75">
        <f t="shared" si="20"/>
        <v>673.09900000000005</v>
      </c>
      <c r="AM58" s="75">
        <f t="shared" si="20"/>
        <v>703.25800000000004</v>
      </c>
      <c r="AN58" s="75">
        <f t="shared" si="20"/>
        <v>739.62900000000002</v>
      </c>
      <c r="AO58" s="75">
        <f t="shared" si="20"/>
        <v>769.04499999999996</v>
      </c>
      <c r="AP58" s="75">
        <f t="shared" si="20"/>
        <v>784.01700000000005</v>
      </c>
      <c r="AQ58" s="75">
        <f t="shared" si="20"/>
        <v>813.54200000000003</v>
      </c>
      <c r="AR58" s="75">
        <f t="shared" si="20"/>
        <v>839.18700000000001</v>
      </c>
      <c r="AS58" s="75">
        <f t="shared" si="20"/>
        <v>873.197</v>
      </c>
      <c r="AT58" s="75">
        <f t="shared" si="20"/>
        <v>896.56799999999998</v>
      </c>
      <c r="AU58" s="75">
        <f t="shared" si="20"/>
        <v>921.74699999999996</v>
      </c>
      <c r="AV58" s="75">
        <f t="shared" si="20"/>
        <v>952.16499999999996</v>
      </c>
      <c r="AW58" s="75">
        <f t="shared" si="20"/>
        <v>988.09100000000001</v>
      </c>
      <c r="AX58" s="75">
        <f t="shared" si="20"/>
        <v>1001.59</v>
      </c>
      <c r="AY58" s="75">
        <f t="shared" si="20"/>
        <v>1024.924</v>
      </c>
      <c r="AZ58" s="71"/>
      <c r="BA58" s="71"/>
      <c r="BB58" s="71"/>
      <c r="BC58" s="71"/>
      <c r="BD58" s="71"/>
      <c r="BE58" s="71"/>
      <c r="BF58" s="71"/>
      <c r="BG58" s="71"/>
      <c r="BH58" s="71"/>
      <c r="BI58" s="71"/>
      <c r="BJ58" s="71"/>
      <c r="BK58" s="71"/>
      <c r="BL58" s="71"/>
      <c r="BM58" s="71"/>
      <c r="BN58" s="71"/>
      <c r="BO58" s="71"/>
      <c r="BP58" s="71"/>
      <c r="BQ58" s="71"/>
      <c r="BR58" s="71"/>
      <c r="BS58" s="71"/>
      <c r="BT58" s="71"/>
      <c r="BU58" s="71"/>
      <c r="BV58" s="71"/>
      <c r="BW58" s="71"/>
      <c r="BX58" s="71"/>
      <c r="BY58" s="71"/>
      <c r="BZ58" s="71"/>
      <c r="CA58" s="71"/>
      <c r="CB58" s="71"/>
      <c r="CC58" s="71"/>
      <c r="CD58" s="71"/>
      <c r="CE58" s="71"/>
      <c r="CF58" s="71"/>
      <c r="CG58" s="71"/>
      <c r="CH58" s="71"/>
      <c r="CI58" s="71"/>
      <c r="CJ58" s="71"/>
      <c r="CK58" s="71"/>
      <c r="CL58" s="71"/>
      <c r="CM58" s="71"/>
      <c r="CN58" s="71"/>
      <c r="CO58" s="71"/>
      <c r="CP58" s="71"/>
      <c r="CQ58" s="71"/>
      <c r="CR58" s="71"/>
      <c r="CS58" s="71"/>
      <c r="CT58" s="71"/>
      <c r="CU58" s="71"/>
      <c r="CV58" s="71"/>
      <c r="CW58" s="71"/>
      <c r="CX58" s="71"/>
      <c r="CY58" s="71"/>
      <c r="CZ58" s="71"/>
      <c r="DA58" s="71"/>
      <c r="DB58" s="71"/>
      <c r="DC58" s="71"/>
      <c r="DD58" s="71"/>
      <c r="DE58" s="71"/>
      <c r="DF58" s="71"/>
      <c r="DG58" s="71"/>
      <c r="DH58" s="71"/>
      <c r="DI58" s="71"/>
      <c r="DJ58" s="71"/>
      <c r="DK58" s="71"/>
      <c r="DL58" s="71"/>
      <c r="DM58" s="71"/>
      <c r="DN58" s="71"/>
      <c r="DO58" s="71"/>
      <c r="DP58" s="71"/>
      <c r="DQ58" s="71"/>
      <c r="DR58" s="71"/>
      <c r="DS58" s="71"/>
      <c r="DT58" s="71"/>
      <c r="DU58" s="71"/>
      <c r="DV58" s="71"/>
      <c r="DW58" s="71"/>
      <c r="DX58" s="71"/>
      <c r="DY58" s="71"/>
      <c r="DZ58" s="71"/>
      <c r="EA58" s="71"/>
      <c r="EB58" s="71"/>
      <c r="EC58" s="71"/>
      <c r="ED58" s="71"/>
      <c r="EE58" s="71"/>
      <c r="EF58" s="71"/>
      <c r="EG58" s="71"/>
      <c r="EH58" s="71"/>
      <c r="EI58" s="71"/>
      <c r="EJ58" s="71"/>
      <c r="EK58" s="71"/>
      <c r="EL58" s="71"/>
      <c r="EM58" s="71"/>
      <c r="EN58" s="71"/>
      <c r="EO58" s="71"/>
      <c r="EP58" s="71"/>
      <c r="EQ58" s="71"/>
      <c r="ER58" s="71"/>
      <c r="ES58" s="71"/>
      <c r="ET58" s="71"/>
      <c r="EU58" s="71"/>
      <c r="EV58" s="71"/>
      <c r="EW58" s="71"/>
      <c r="EX58" s="71"/>
      <c r="EY58" s="71"/>
    </row>
    <row r="59" spans="1:155" ht="13" x14ac:dyDescent="0.15">
      <c r="A59" s="71"/>
      <c r="B59" s="74" t="s">
        <v>71</v>
      </c>
      <c r="C59" s="75">
        <v>185637</v>
      </c>
      <c r="D59" s="75">
        <v>197801</v>
      </c>
      <c r="E59" s="75">
        <v>212774</v>
      </c>
      <c r="F59" s="75">
        <v>225616</v>
      </c>
      <c r="G59" s="75">
        <v>232845</v>
      </c>
      <c r="H59" s="75">
        <v>245464</v>
      </c>
      <c r="I59" s="75">
        <v>258101</v>
      </c>
      <c r="J59" s="75">
        <v>276259</v>
      </c>
      <c r="K59" s="75">
        <v>296031</v>
      </c>
      <c r="L59" s="75">
        <v>307920</v>
      </c>
      <c r="M59" s="75">
        <v>320073</v>
      </c>
      <c r="N59" s="75">
        <v>328598</v>
      </c>
      <c r="O59" s="75">
        <v>341871</v>
      </c>
      <c r="P59" s="75">
        <v>345961</v>
      </c>
      <c r="Q59" s="75">
        <v>355317</v>
      </c>
      <c r="R59" s="75">
        <v>367620</v>
      </c>
      <c r="S59" s="75">
        <v>370917</v>
      </c>
      <c r="T59" s="75">
        <v>386460</v>
      </c>
      <c r="U59" s="75">
        <v>398578</v>
      </c>
      <c r="V59" s="75">
        <v>412068</v>
      </c>
      <c r="W59" s="75">
        <v>425137</v>
      </c>
      <c r="X59" s="75">
        <v>415056</v>
      </c>
      <c r="Y59" s="75">
        <v>434458</v>
      </c>
      <c r="Z59" s="75">
        <v>457594</v>
      </c>
      <c r="AA59" s="75">
        <v>477932</v>
      </c>
      <c r="AB59" s="75">
        <v>489481</v>
      </c>
      <c r="AC59" s="75">
        <v>514739</v>
      </c>
      <c r="AD59" s="75">
        <v>533794</v>
      </c>
      <c r="AE59" s="75">
        <v>554819</v>
      </c>
      <c r="AF59" s="75">
        <v>551261</v>
      </c>
      <c r="AG59" s="75">
        <v>551722</v>
      </c>
      <c r="AH59" s="75">
        <v>571887</v>
      </c>
      <c r="AI59" s="75">
        <v>595360</v>
      </c>
      <c r="AJ59" s="75">
        <v>622057</v>
      </c>
      <c r="AK59" s="75">
        <v>647659</v>
      </c>
      <c r="AL59" s="75">
        <v>673099</v>
      </c>
      <c r="AM59" s="75">
        <v>703258</v>
      </c>
      <c r="AN59" s="75">
        <v>739629</v>
      </c>
      <c r="AO59" s="75">
        <v>769045</v>
      </c>
      <c r="AP59" s="75">
        <v>784017</v>
      </c>
      <c r="AQ59" s="75">
        <v>813542</v>
      </c>
      <c r="AR59" s="75">
        <v>839187</v>
      </c>
      <c r="AS59" s="75">
        <v>873197</v>
      </c>
      <c r="AT59" s="75">
        <v>896568</v>
      </c>
      <c r="AU59" s="75">
        <v>921747</v>
      </c>
      <c r="AV59" s="75">
        <v>952165</v>
      </c>
      <c r="AW59" s="75">
        <v>988091</v>
      </c>
      <c r="AX59" s="75">
        <v>1001590</v>
      </c>
      <c r="AY59" s="75">
        <v>1024924</v>
      </c>
      <c r="AZ59" s="71"/>
      <c r="BA59" s="71"/>
      <c r="BB59" s="71"/>
      <c r="BC59" s="71"/>
      <c r="BD59" s="71"/>
      <c r="BE59" s="71"/>
      <c r="BF59" s="71"/>
      <c r="BG59" s="71"/>
      <c r="BH59" s="71"/>
      <c r="BI59" s="71"/>
      <c r="BJ59" s="71"/>
      <c r="BK59" s="71"/>
      <c r="BL59" s="71"/>
      <c r="BM59" s="71"/>
      <c r="BN59" s="71"/>
      <c r="BO59" s="71"/>
      <c r="BP59" s="71"/>
      <c r="BQ59" s="71"/>
      <c r="BR59" s="71"/>
      <c r="BS59" s="71"/>
      <c r="BT59" s="71"/>
      <c r="BU59" s="71"/>
      <c r="BV59" s="71"/>
      <c r="BW59" s="71"/>
      <c r="BX59" s="71"/>
      <c r="BY59" s="71"/>
      <c r="BZ59" s="71"/>
      <c r="CA59" s="71"/>
      <c r="CB59" s="71"/>
      <c r="CC59" s="71"/>
      <c r="CD59" s="71"/>
      <c r="CE59" s="71"/>
      <c r="CF59" s="71"/>
      <c r="CG59" s="71"/>
      <c r="CH59" s="71"/>
      <c r="CI59" s="71"/>
      <c r="CJ59" s="71"/>
      <c r="CK59" s="71"/>
      <c r="CL59" s="71"/>
      <c r="CM59" s="71"/>
      <c r="CN59" s="71"/>
      <c r="CO59" s="71"/>
      <c r="CP59" s="71"/>
      <c r="CQ59" s="71"/>
      <c r="CR59" s="71"/>
      <c r="CS59" s="71"/>
      <c r="CT59" s="71"/>
      <c r="CU59" s="71"/>
      <c r="CV59" s="71"/>
      <c r="CW59" s="71"/>
      <c r="CX59" s="71"/>
      <c r="CY59" s="71"/>
      <c r="CZ59" s="71"/>
      <c r="DA59" s="71"/>
      <c r="DB59" s="71"/>
      <c r="DC59" s="71"/>
      <c r="DD59" s="71"/>
      <c r="DE59" s="71"/>
      <c r="DF59" s="71"/>
      <c r="DG59" s="71"/>
      <c r="DH59" s="71"/>
      <c r="DI59" s="71"/>
      <c r="DJ59" s="71"/>
      <c r="DK59" s="71"/>
      <c r="DL59" s="71"/>
      <c r="DM59" s="71"/>
      <c r="DN59" s="71"/>
      <c r="DO59" s="71"/>
      <c r="DP59" s="71"/>
      <c r="DQ59" s="71"/>
      <c r="DR59" s="71"/>
      <c r="DS59" s="71"/>
      <c r="DT59" s="71"/>
      <c r="DU59" s="71"/>
      <c r="DV59" s="71"/>
      <c r="DW59" s="71"/>
      <c r="DX59" s="71"/>
      <c r="DY59" s="71"/>
      <c r="DZ59" s="71"/>
      <c r="EA59" s="71"/>
      <c r="EB59" s="71"/>
      <c r="EC59" s="71"/>
      <c r="ED59" s="71"/>
      <c r="EE59" s="71"/>
      <c r="EF59" s="71"/>
      <c r="EG59" s="71"/>
      <c r="EH59" s="71"/>
      <c r="EI59" s="71"/>
      <c r="EJ59" s="71"/>
      <c r="EK59" s="71"/>
      <c r="EL59" s="71"/>
      <c r="EM59" s="71"/>
      <c r="EN59" s="71"/>
      <c r="EO59" s="71"/>
      <c r="EP59" s="71"/>
      <c r="EQ59" s="71"/>
      <c r="ER59" s="71"/>
      <c r="ES59" s="71"/>
      <c r="ET59" s="71"/>
      <c r="EU59" s="71"/>
      <c r="EV59" s="71"/>
      <c r="EW59" s="71"/>
      <c r="EX59" s="71"/>
      <c r="EY59" s="71"/>
    </row>
    <row r="60" spans="1:155" ht="13" x14ac:dyDescent="0.15">
      <c r="A60" s="71"/>
      <c r="B60" s="74" t="s">
        <v>72</v>
      </c>
      <c r="C60" s="75">
        <v>10701</v>
      </c>
      <c r="D60" s="75">
        <v>10907</v>
      </c>
      <c r="E60" s="75">
        <v>11122</v>
      </c>
      <c r="F60" s="75">
        <v>11341</v>
      </c>
      <c r="G60" s="75">
        <v>11599</v>
      </c>
      <c r="H60" s="75">
        <v>11799</v>
      </c>
      <c r="I60" s="75">
        <v>12009</v>
      </c>
      <c r="J60" s="75">
        <v>12263</v>
      </c>
      <c r="K60" s="75">
        <v>12507</v>
      </c>
      <c r="L60" s="75">
        <v>13067</v>
      </c>
      <c r="M60" s="75">
        <v>13304</v>
      </c>
      <c r="N60" s="75">
        <v>13505</v>
      </c>
      <c r="O60" s="75">
        <v>13723</v>
      </c>
      <c r="P60" s="75">
        <v>13893</v>
      </c>
      <c r="Q60" s="75">
        <v>14033</v>
      </c>
      <c r="R60" s="75">
        <v>14192</v>
      </c>
      <c r="S60" s="75">
        <v>14359</v>
      </c>
      <c r="T60" s="75">
        <v>14516</v>
      </c>
      <c r="U60" s="75">
        <v>14695</v>
      </c>
      <c r="V60" s="75">
        <v>14923</v>
      </c>
      <c r="W60" s="75">
        <v>15184</v>
      </c>
      <c r="X60" s="75">
        <v>15394</v>
      </c>
      <c r="Y60" s="75">
        <v>15579</v>
      </c>
      <c r="Z60" s="75">
        <v>15788</v>
      </c>
      <c r="AA60" s="75">
        <v>16018</v>
      </c>
      <c r="AB60" s="75">
        <v>16264</v>
      </c>
      <c r="AC60" s="75">
        <v>16532</v>
      </c>
      <c r="AD60" s="75">
        <v>16814</v>
      </c>
      <c r="AE60" s="75">
        <v>17065</v>
      </c>
      <c r="AF60" s="75">
        <v>17284</v>
      </c>
      <c r="AG60" s="75">
        <v>17495</v>
      </c>
      <c r="AH60" s="75">
        <v>17667</v>
      </c>
      <c r="AI60" s="75">
        <v>17855</v>
      </c>
      <c r="AJ60" s="75">
        <v>18072</v>
      </c>
      <c r="AK60" s="75">
        <v>18311</v>
      </c>
      <c r="AL60" s="75">
        <v>18518</v>
      </c>
      <c r="AM60" s="75">
        <v>18711</v>
      </c>
      <c r="AN60" s="75">
        <v>18926</v>
      </c>
      <c r="AO60" s="75">
        <v>19153</v>
      </c>
      <c r="AP60" s="75">
        <v>19413</v>
      </c>
      <c r="AQ60" s="75">
        <v>19641</v>
      </c>
      <c r="AR60" s="75">
        <v>19873</v>
      </c>
      <c r="AS60" s="75">
        <v>20092</v>
      </c>
      <c r="AT60" s="75">
        <v>20340</v>
      </c>
      <c r="AU60" s="75">
        <v>20605</v>
      </c>
      <c r="AV60" s="75">
        <v>21015</v>
      </c>
      <c r="AW60" s="75">
        <v>21384</v>
      </c>
      <c r="AX60" s="75">
        <v>21779</v>
      </c>
      <c r="AY60" s="75">
        <v>22065</v>
      </c>
      <c r="AZ60" s="71"/>
      <c r="BA60" s="71"/>
      <c r="BB60" s="71"/>
      <c r="BC60" s="71"/>
      <c r="BD60" s="71"/>
      <c r="BE60" s="71"/>
      <c r="BF60" s="71"/>
      <c r="BG60" s="71"/>
      <c r="BH60" s="71"/>
      <c r="BI60" s="71"/>
      <c r="BJ60" s="71"/>
      <c r="BK60" s="71"/>
      <c r="BL60" s="71"/>
      <c r="BM60" s="71"/>
      <c r="BN60" s="71"/>
      <c r="BO60" s="71"/>
      <c r="BP60" s="71"/>
      <c r="BQ60" s="71"/>
      <c r="BR60" s="71"/>
      <c r="BS60" s="71"/>
      <c r="BT60" s="71"/>
      <c r="BU60" s="71"/>
      <c r="BV60" s="71"/>
      <c r="BW60" s="71"/>
      <c r="BX60" s="71"/>
      <c r="BY60" s="71"/>
      <c r="BZ60" s="71"/>
      <c r="CA60" s="71"/>
      <c r="CB60" s="71"/>
      <c r="CC60" s="71"/>
      <c r="CD60" s="71"/>
      <c r="CE60" s="71"/>
      <c r="CF60" s="71"/>
      <c r="CG60" s="71"/>
      <c r="CH60" s="71"/>
      <c r="CI60" s="71"/>
      <c r="CJ60" s="71"/>
      <c r="CK60" s="71"/>
      <c r="CL60" s="71"/>
      <c r="CM60" s="71"/>
      <c r="CN60" s="71"/>
      <c r="CO60" s="71"/>
      <c r="CP60" s="71"/>
      <c r="CQ60" s="71"/>
      <c r="CR60" s="71"/>
      <c r="CS60" s="71"/>
      <c r="CT60" s="71"/>
      <c r="CU60" s="71"/>
      <c r="CV60" s="71"/>
      <c r="CW60" s="71"/>
      <c r="CX60" s="71"/>
      <c r="CY60" s="71"/>
      <c r="CZ60" s="71"/>
      <c r="DA60" s="71"/>
      <c r="DB60" s="71"/>
      <c r="DC60" s="71"/>
      <c r="DD60" s="71"/>
      <c r="DE60" s="71"/>
      <c r="DF60" s="71"/>
      <c r="DG60" s="71"/>
      <c r="DH60" s="71"/>
      <c r="DI60" s="71"/>
      <c r="DJ60" s="71"/>
      <c r="DK60" s="71"/>
      <c r="DL60" s="71"/>
      <c r="DM60" s="71"/>
      <c r="DN60" s="71"/>
      <c r="DO60" s="71"/>
      <c r="DP60" s="71"/>
      <c r="DQ60" s="71"/>
      <c r="DR60" s="71"/>
      <c r="DS60" s="71"/>
      <c r="DT60" s="71"/>
      <c r="DU60" s="71"/>
      <c r="DV60" s="71"/>
      <c r="DW60" s="71"/>
      <c r="DX60" s="71"/>
      <c r="DY60" s="71"/>
      <c r="DZ60" s="71"/>
      <c r="EA60" s="71"/>
      <c r="EB60" s="71"/>
      <c r="EC60" s="71"/>
      <c r="ED60" s="71"/>
      <c r="EE60" s="71"/>
      <c r="EF60" s="71"/>
      <c r="EG60" s="71"/>
      <c r="EH60" s="71"/>
      <c r="EI60" s="71"/>
      <c r="EJ60" s="71"/>
      <c r="EK60" s="71"/>
      <c r="EL60" s="71"/>
      <c r="EM60" s="71"/>
      <c r="EN60" s="71"/>
      <c r="EO60" s="71"/>
      <c r="EP60" s="71"/>
      <c r="EQ60" s="71"/>
      <c r="ER60" s="71"/>
      <c r="ES60" s="71"/>
      <c r="ET60" s="71"/>
      <c r="EU60" s="71"/>
      <c r="EV60" s="71"/>
      <c r="EW60" s="71"/>
      <c r="EX60" s="71"/>
      <c r="EY60" s="71"/>
    </row>
    <row r="61" spans="1:155" ht="13" x14ac:dyDescent="0.15">
      <c r="A61" s="71"/>
      <c r="B61" s="74" t="s">
        <v>73</v>
      </c>
      <c r="C61" s="75">
        <v>28372</v>
      </c>
      <c r="D61" s="75">
        <v>28553</v>
      </c>
      <c r="E61" s="75">
        <v>28877</v>
      </c>
      <c r="F61" s="75">
        <v>29007</v>
      </c>
      <c r="G61" s="75">
        <v>28791</v>
      </c>
      <c r="H61" s="75">
        <v>29109</v>
      </c>
      <c r="I61" s="75">
        <v>29534</v>
      </c>
      <c r="J61" s="75">
        <v>29581</v>
      </c>
      <c r="K61" s="75">
        <v>29907</v>
      </c>
      <c r="L61" s="75">
        <v>29180</v>
      </c>
      <c r="M61" s="75">
        <v>29474</v>
      </c>
      <c r="N61" s="75">
        <v>30080</v>
      </c>
      <c r="O61" s="75">
        <v>30507</v>
      </c>
      <c r="P61" s="75">
        <v>29734</v>
      </c>
      <c r="Q61" s="75">
        <v>29151</v>
      </c>
      <c r="R61" s="75">
        <v>28347</v>
      </c>
      <c r="S61" s="75">
        <v>27441</v>
      </c>
      <c r="T61" s="75">
        <v>26727</v>
      </c>
      <c r="U61" s="75">
        <v>26407</v>
      </c>
      <c r="V61" s="75">
        <v>26145</v>
      </c>
      <c r="W61" s="75">
        <v>25839</v>
      </c>
      <c r="X61" s="75">
        <v>25582</v>
      </c>
      <c r="Y61" s="75">
        <v>25389</v>
      </c>
      <c r="Z61" s="75">
        <v>25633</v>
      </c>
      <c r="AA61" s="75">
        <v>25278</v>
      </c>
      <c r="AB61" s="75">
        <v>24122</v>
      </c>
      <c r="AC61" s="75">
        <v>24473</v>
      </c>
      <c r="AD61" s="75">
        <v>24056</v>
      </c>
      <c r="AE61" s="75">
        <v>24240</v>
      </c>
      <c r="AF61" s="75">
        <v>24111</v>
      </c>
      <c r="AG61" s="75">
        <v>23852</v>
      </c>
      <c r="AH61" s="75">
        <v>23600</v>
      </c>
      <c r="AI61" s="75">
        <v>23870</v>
      </c>
      <c r="AJ61" s="75">
        <v>24350</v>
      </c>
      <c r="AK61" s="75">
        <v>25013</v>
      </c>
      <c r="AL61" s="75">
        <v>25055</v>
      </c>
      <c r="AM61" s="75">
        <v>24854</v>
      </c>
      <c r="AN61" s="75">
        <v>25109</v>
      </c>
      <c r="AO61" s="75">
        <v>25425</v>
      </c>
      <c r="AP61" s="75">
        <v>25654</v>
      </c>
      <c r="AQ61" s="75">
        <v>25972</v>
      </c>
      <c r="AR61" s="75">
        <v>25815</v>
      </c>
      <c r="AS61" s="75">
        <v>26839</v>
      </c>
      <c r="AT61" s="75">
        <v>26495</v>
      </c>
      <c r="AU61" s="75">
        <v>26691</v>
      </c>
      <c r="AV61" s="75">
        <v>25953</v>
      </c>
      <c r="AW61" s="75">
        <v>25994</v>
      </c>
      <c r="AX61" s="75">
        <v>26077</v>
      </c>
      <c r="AY61" s="75">
        <v>26309</v>
      </c>
      <c r="AZ61" s="71"/>
      <c r="BA61" s="71"/>
      <c r="BB61" s="71"/>
      <c r="BC61" s="71"/>
      <c r="BD61" s="71"/>
      <c r="BE61" s="71"/>
      <c r="BF61" s="71"/>
      <c r="BG61" s="71"/>
      <c r="BH61" s="71"/>
      <c r="BI61" s="71"/>
      <c r="BJ61" s="71"/>
      <c r="BK61" s="71"/>
      <c r="BL61" s="71"/>
      <c r="BM61" s="71"/>
      <c r="BN61" s="71"/>
      <c r="BO61" s="71"/>
      <c r="BP61" s="71"/>
      <c r="BQ61" s="71"/>
      <c r="BR61" s="71"/>
      <c r="BS61" s="71"/>
      <c r="BT61" s="71"/>
      <c r="BU61" s="71"/>
      <c r="BV61" s="71"/>
      <c r="BW61" s="71"/>
      <c r="BX61" s="71"/>
      <c r="BY61" s="71"/>
      <c r="BZ61" s="71"/>
      <c r="CA61" s="71"/>
      <c r="CB61" s="71"/>
      <c r="CC61" s="71"/>
      <c r="CD61" s="71"/>
      <c r="CE61" s="71"/>
      <c r="CF61" s="71"/>
      <c r="CG61" s="71"/>
      <c r="CH61" s="71"/>
      <c r="CI61" s="71"/>
      <c r="CJ61" s="71"/>
      <c r="CK61" s="71"/>
      <c r="CL61" s="71"/>
      <c r="CM61" s="71"/>
      <c r="CN61" s="71"/>
      <c r="CO61" s="71"/>
      <c r="CP61" s="71"/>
      <c r="CQ61" s="71"/>
      <c r="CR61" s="71"/>
      <c r="CS61" s="71"/>
      <c r="CT61" s="71"/>
      <c r="CU61" s="71"/>
      <c r="CV61" s="71"/>
      <c r="CW61" s="71"/>
      <c r="CX61" s="71"/>
      <c r="CY61" s="71"/>
      <c r="CZ61" s="71"/>
      <c r="DA61" s="71"/>
      <c r="DB61" s="71"/>
      <c r="DC61" s="71"/>
      <c r="DD61" s="71"/>
      <c r="DE61" s="71"/>
      <c r="DF61" s="71"/>
      <c r="DG61" s="71"/>
      <c r="DH61" s="71"/>
      <c r="DI61" s="71"/>
      <c r="DJ61" s="71"/>
      <c r="DK61" s="71"/>
      <c r="DL61" s="71"/>
      <c r="DM61" s="71"/>
      <c r="DN61" s="71"/>
      <c r="DO61" s="71"/>
      <c r="DP61" s="71"/>
      <c r="DQ61" s="71"/>
      <c r="DR61" s="71"/>
      <c r="DS61" s="71"/>
      <c r="DT61" s="71"/>
      <c r="DU61" s="71"/>
      <c r="DV61" s="71"/>
      <c r="DW61" s="71"/>
      <c r="DX61" s="71"/>
      <c r="DY61" s="71"/>
      <c r="DZ61" s="71"/>
      <c r="EA61" s="71"/>
      <c r="EB61" s="71"/>
      <c r="EC61" s="71"/>
      <c r="ED61" s="71"/>
      <c r="EE61" s="71"/>
      <c r="EF61" s="71"/>
      <c r="EG61" s="71"/>
      <c r="EH61" s="71"/>
      <c r="EI61" s="71"/>
      <c r="EJ61" s="71"/>
      <c r="EK61" s="71"/>
      <c r="EL61" s="71"/>
      <c r="EM61" s="71"/>
      <c r="EN61" s="71"/>
      <c r="EO61" s="71"/>
      <c r="EP61" s="71"/>
      <c r="EQ61" s="71"/>
      <c r="ER61" s="71"/>
      <c r="ES61" s="71"/>
      <c r="ET61" s="71"/>
      <c r="EU61" s="71"/>
      <c r="EV61" s="71"/>
      <c r="EW61" s="71"/>
      <c r="EX61" s="71"/>
      <c r="EY61" s="71"/>
    </row>
    <row r="62" spans="1:155" ht="13" x14ac:dyDescent="0.15">
      <c r="A62" s="71"/>
      <c r="B62" s="74" t="s">
        <v>74</v>
      </c>
      <c r="C62" s="75">
        <v>17348</v>
      </c>
      <c r="D62" s="75">
        <v>18135</v>
      </c>
      <c r="E62" s="75">
        <v>19131</v>
      </c>
      <c r="F62" s="75">
        <v>19894</v>
      </c>
      <c r="G62" s="75">
        <v>20075</v>
      </c>
      <c r="H62" s="75">
        <v>20804</v>
      </c>
      <c r="I62" s="75">
        <v>21492</v>
      </c>
      <c r="J62" s="75">
        <v>22528</v>
      </c>
      <c r="K62" s="75">
        <v>23669</v>
      </c>
      <c r="L62" s="75">
        <v>23565</v>
      </c>
      <c r="M62" s="75">
        <v>24058</v>
      </c>
      <c r="N62" s="75">
        <v>24332</v>
      </c>
      <c r="O62" s="75">
        <v>24912</v>
      </c>
      <c r="P62" s="75">
        <v>24902</v>
      </c>
      <c r="Q62" s="75">
        <v>25320</v>
      </c>
      <c r="R62" s="75">
        <v>25903</v>
      </c>
      <c r="S62" s="75">
        <v>25832</v>
      </c>
      <c r="T62" s="75">
        <v>26623</v>
      </c>
      <c r="U62" s="75">
        <v>27123</v>
      </c>
      <c r="V62" s="75">
        <v>27613</v>
      </c>
      <c r="W62" s="75">
        <v>27999</v>
      </c>
      <c r="X62" s="75">
        <v>26962</v>
      </c>
      <c r="Y62" s="75">
        <v>27887</v>
      </c>
      <c r="Z62" s="75">
        <v>28984</v>
      </c>
      <c r="AA62" s="75">
        <v>29837</v>
      </c>
      <c r="AB62" s="75">
        <v>30096</v>
      </c>
      <c r="AC62" s="75">
        <v>31136</v>
      </c>
      <c r="AD62" s="75">
        <v>31746</v>
      </c>
      <c r="AE62" s="75">
        <v>32512</v>
      </c>
      <c r="AF62" s="75">
        <v>31894</v>
      </c>
      <c r="AG62" s="75">
        <v>31537</v>
      </c>
      <c r="AH62" s="75">
        <v>32370</v>
      </c>
      <c r="AI62" s="75">
        <v>33345</v>
      </c>
      <c r="AJ62" s="75">
        <v>34421</v>
      </c>
      <c r="AK62" s="75">
        <v>35370</v>
      </c>
      <c r="AL62" s="75">
        <v>36349</v>
      </c>
      <c r="AM62" s="75">
        <v>37585</v>
      </c>
      <c r="AN62" s="75">
        <v>39080</v>
      </c>
      <c r="AO62" s="75">
        <v>40152</v>
      </c>
      <c r="AP62" s="75">
        <v>40386</v>
      </c>
      <c r="AQ62" s="75">
        <v>41421</v>
      </c>
      <c r="AR62" s="75">
        <v>42228</v>
      </c>
      <c r="AS62" s="75">
        <v>43461</v>
      </c>
      <c r="AT62" s="75">
        <v>44080</v>
      </c>
      <c r="AU62" s="75">
        <v>44733</v>
      </c>
      <c r="AV62" s="75">
        <v>45309</v>
      </c>
      <c r="AW62" s="75">
        <v>46207</v>
      </c>
      <c r="AX62" s="75">
        <v>45989</v>
      </c>
      <c r="AY62" s="75">
        <v>46450</v>
      </c>
      <c r="AZ62" s="71"/>
      <c r="BA62" s="71"/>
      <c r="BB62" s="71"/>
      <c r="BC62" s="71"/>
      <c r="BD62" s="71"/>
      <c r="BE62" s="71"/>
      <c r="BF62" s="71"/>
      <c r="BG62" s="71"/>
      <c r="BH62" s="71"/>
      <c r="BI62" s="71"/>
      <c r="BJ62" s="71"/>
      <c r="BK62" s="71"/>
      <c r="BL62" s="71"/>
      <c r="BM62" s="71"/>
      <c r="BN62" s="71"/>
      <c r="BO62" s="71"/>
      <c r="BP62" s="71"/>
      <c r="BQ62" s="71"/>
      <c r="BR62" s="71"/>
      <c r="BS62" s="71"/>
      <c r="BT62" s="71"/>
      <c r="BU62" s="71"/>
      <c r="BV62" s="71"/>
      <c r="BW62" s="71"/>
      <c r="BX62" s="71"/>
      <c r="BY62" s="71"/>
      <c r="BZ62" s="71"/>
      <c r="CA62" s="71"/>
      <c r="CB62" s="71"/>
      <c r="CC62" s="71"/>
      <c r="CD62" s="71"/>
      <c r="CE62" s="71"/>
      <c r="CF62" s="71"/>
      <c r="CG62" s="71"/>
      <c r="CH62" s="71"/>
      <c r="CI62" s="71"/>
      <c r="CJ62" s="71"/>
      <c r="CK62" s="71"/>
      <c r="CL62" s="71"/>
      <c r="CM62" s="71"/>
      <c r="CN62" s="71"/>
      <c r="CO62" s="71"/>
      <c r="CP62" s="71"/>
      <c r="CQ62" s="71"/>
      <c r="CR62" s="71"/>
      <c r="CS62" s="71"/>
      <c r="CT62" s="71"/>
      <c r="CU62" s="71"/>
      <c r="CV62" s="71"/>
      <c r="CW62" s="71"/>
      <c r="CX62" s="71"/>
      <c r="CY62" s="71"/>
      <c r="CZ62" s="71"/>
      <c r="DA62" s="71"/>
      <c r="DB62" s="71"/>
      <c r="DC62" s="71"/>
      <c r="DD62" s="71"/>
      <c r="DE62" s="71"/>
      <c r="DF62" s="71"/>
      <c r="DG62" s="71"/>
      <c r="DH62" s="71"/>
      <c r="DI62" s="71"/>
      <c r="DJ62" s="71"/>
      <c r="DK62" s="71"/>
      <c r="DL62" s="71"/>
      <c r="DM62" s="71"/>
      <c r="DN62" s="71"/>
      <c r="DO62" s="71"/>
      <c r="DP62" s="71"/>
      <c r="DQ62" s="71"/>
      <c r="DR62" s="71"/>
      <c r="DS62" s="71"/>
      <c r="DT62" s="71"/>
      <c r="DU62" s="71"/>
      <c r="DV62" s="71"/>
      <c r="DW62" s="71"/>
      <c r="DX62" s="71"/>
      <c r="DY62" s="71"/>
      <c r="DZ62" s="71"/>
      <c r="EA62" s="71"/>
      <c r="EB62" s="71"/>
      <c r="EC62" s="71"/>
      <c r="ED62" s="71"/>
      <c r="EE62" s="71"/>
      <c r="EF62" s="71"/>
      <c r="EG62" s="71"/>
      <c r="EH62" s="71"/>
      <c r="EI62" s="71"/>
      <c r="EJ62" s="71"/>
      <c r="EK62" s="71"/>
      <c r="EL62" s="71"/>
      <c r="EM62" s="71"/>
      <c r="EN62" s="71"/>
      <c r="EO62" s="71"/>
      <c r="EP62" s="71"/>
      <c r="EQ62" s="71"/>
      <c r="ER62" s="71"/>
      <c r="ES62" s="71"/>
      <c r="ET62" s="71"/>
      <c r="EU62" s="71"/>
      <c r="EV62" s="71"/>
      <c r="EW62" s="71"/>
      <c r="EX62" s="71"/>
      <c r="EY62" s="71"/>
    </row>
    <row r="63" spans="1:155" ht="13" x14ac:dyDescent="0.15">
      <c r="A63" s="71"/>
      <c r="B63" s="74" t="s">
        <v>75</v>
      </c>
      <c r="C63" s="75">
        <v>100</v>
      </c>
      <c r="D63" s="75">
        <v>102.6</v>
      </c>
      <c r="E63" s="75">
        <v>105.8</v>
      </c>
      <c r="F63" s="75">
        <v>108.4</v>
      </c>
      <c r="G63" s="75">
        <v>110</v>
      </c>
      <c r="H63" s="75">
        <v>113.1</v>
      </c>
      <c r="I63" s="75">
        <v>116.8</v>
      </c>
      <c r="J63" s="75">
        <v>119.5</v>
      </c>
      <c r="K63" s="75">
        <v>123.2</v>
      </c>
      <c r="L63" s="75">
        <v>125.6</v>
      </c>
      <c r="M63" s="75">
        <v>129.19999999999999</v>
      </c>
      <c r="N63" s="75">
        <v>133.80000000000001</v>
      </c>
      <c r="O63" s="75">
        <v>137.9</v>
      </c>
      <c r="P63" s="75">
        <v>136.1</v>
      </c>
      <c r="Q63" s="75">
        <v>134.69999999999999</v>
      </c>
      <c r="R63" s="75">
        <v>132.5</v>
      </c>
      <c r="S63" s="75">
        <v>129.80000000000001</v>
      </c>
      <c r="T63" s="75">
        <v>127.8</v>
      </c>
      <c r="U63" s="75">
        <v>127.8</v>
      </c>
      <c r="V63" s="75">
        <v>128.5</v>
      </c>
      <c r="W63" s="75">
        <v>129.19999999999999</v>
      </c>
      <c r="X63" s="75">
        <v>129.69999999999999</v>
      </c>
      <c r="Y63" s="75">
        <v>130.30000000000001</v>
      </c>
      <c r="Z63" s="75">
        <v>133.30000000000001</v>
      </c>
      <c r="AA63" s="75">
        <v>133.4</v>
      </c>
      <c r="AB63" s="75">
        <v>129.19999999999999</v>
      </c>
      <c r="AC63" s="75">
        <v>133.30000000000001</v>
      </c>
      <c r="AD63" s="75">
        <v>133.19999999999999</v>
      </c>
      <c r="AE63" s="75">
        <v>136.19999999999999</v>
      </c>
      <c r="AF63" s="75">
        <v>137.30000000000001</v>
      </c>
      <c r="AG63" s="75">
        <v>137.4</v>
      </c>
      <c r="AH63" s="75">
        <v>137.30000000000001</v>
      </c>
      <c r="AI63" s="75">
        <v>140.4</v>
      </c>
      <c r="AJ63" s="75">
        <v>144.9</v>
      </c>
      <c r="AK63" s="75">
        <v>150.9</v>
      </c>
      <c r="AL63" s="75">
        <v>152.80000000000001</v>
      </c>
      <c r="AM63" s="75">
        <v>153.19999999999999</v>
      </c>
      <c r="AN63" s="75">
        <v>156.5</v>
      </c>
      <c r="AO63" s="75">
        <v>160.4</v>
      </c>
      <c r="AP63" s="75">
        <v>164</v>
      </c>
      <c r="AQ63" s="75">
        <v>168</v>
      </c>
      <c r="AR63" s="75">
        <v>169</v>
      </c>
      <c r="AS63" s="75">
        <v>177.6</v>
      </c>
      <c r="AT63" s="75">
        <v>177.5</v>
      </c>
      <c r="AU63" s="75">
        <v>181.1</v>
      </c>
      <c r="AV63" s="75">
        <v>179.6</v>
      </c>
      <c r="AW63" s="75">
        <v>183.1</v>
      </c>
      <c r="AX63" s="75">
        <v>187.1</v>
      </c>
      <c r="AY63" s="75">
        <v>191.2</v>
      </c>
      <c r="AZ63" s="71"/>
      <c r="BA63" s="71"/>
      <c r="BB63" s="71"/>
      <c r="BC63" s="71"/>
      <c r="BD63" s="71"/>
      <c r="BE63" s="71"/>
      <c r="BF63" s="71"/>
      <c r="BG63" s="71"/>
      <c r="BH63" s="71"/>
      <c r="BI63" s="71"/>
      <c r="BJ63" s="71"/>
      <c r="BK63" s="71"/>
      <c r="BL63" s="71"/>
      <c r="BM63" s="71"/>
      <c r="BN63" s="71"/>
      <c r="BO63" s="71"/>
      <c r="BP63" s="71"/>
      <c r="BQ63" s="71"/>
      <c r="BR63" s="71"/>
      <c r="BS63" s="71"/>
      <c r="BT63" s="71"/>
      <c r="BU63" s="71"/>
      <c r="BV63" s="71"/>
      <c r="BW63" s="71"/>
      <c r="BX63" s="71"/>
      <c r="BY63" s="71"/>
      <c r="BZ63" s="71"/>
      <c r="CA63" s="71"/>
      <c r="CB63" s="71"/>
      <c r="CC63" s="71"/>
      <c r="CD63" s="71"/>
      <c r="CE63" s="71"/>
      <c r="CF63" s="71"/>
      <c r="CG63" s="71"/>
      <c r="CH63" s="71"/>
      <c r="CI63" s="71"/>
      <c r="CJ63" s="71"/>
      <c r="CK63" s="71"/>
      <c r="CL63" s="71"/>
      <c r="CM63" s="71"/>
      <c r="CN63" s="71"/>
      <c r="CO63" s="71"/>
      <c r="CP63" s="71"/>
      <c r="CQ63" s="71"/>
      <c r="CR63" s="71"/>
      <c r="CS63" s="71"/>
      <c r="CT63" s="71"/>
      <c r="CU63" s="71"/>
      <c r="CV63" s="71"/>
      <c r="CW63" s="71"/>
      <c r="CX63" s="71"/>
      <c r="CY63" s="71"/>
      <c r="CZ63" s="71"/>
      <c r="DA63" s="71"/>
      <c r="DB63" s="71"/>
      <c r="DC63" s="71"/>
      <c r="DD63" s="71"/>
      <c r="DE63" s="71"/>
      <c r="DF63" s="71"/>
      <c r="DG63" s="71"/>
      <c r="DH63" s="71"/>
      <c r="DI63" s="71"/>
      <c r="DJ63" s="71"/>
      <c r="DK63" s="71"/>
      <c r="DL63" s="71"/>
      <c r="DM63" s="71"/>
      <c r="DN63" s="71"/>
      <c r="DO63" s="71"/>
      <c r="DP63" s="71"/>
      <c r="DQ63" s="71"/>
      <c r="DR63" s="71"/>
      <c r="DS63" s="71"/>
      <c r="DT63" s="71"/>
      <c r="DU63" s="71"/>
      <c r="DV63" s="71"/>
      <c r="DW63" s="71"/>
      <c r="DX63" s="71"/>
      <c r="DY63" s="71"/>
      <c r="DZ63" s="71"/>
      <c r="EA63" s="71"/>
      <c r="EB63" s="71"/>
      <c r="EC63" s="71"/>
      <c r="ED63" s="71"/>
      <c r="EE63" s="71"/>
      <c r="EF63" s="71"/>
      <c r="EG63" s="71"/>
      <c r="EH63" s="71"/>
      <c r="EI63" s="71"/>
      <c r="EJ63" s="71"/>
      <c r="EK63" s="71"/>
      <c r="EL63" s="71"/>
      <c r="EM63" s="71"/>
      <c r="EN63" s="71"/>
      <c r="EO63" s="71"/>
      <c r="EP63" s="71"/>
      <c r="EQ63" s="71"/>
      <c r="ER63" s="71"/>
      <c r="ES63" s="71"/>
      <c r="ET63" s="71"/>
      <c r="EU63" s="71"/>
      <c r="EV63" s="71"/>
      <c r="EW63" s="71"/>
      <c r="EX63" s="71"/>
      <c r="EY63" s="71"/>
    </row>
    <row r="64" spans="1:155" ht="13" x14ac:dyDescent="0.15">
      <c r="A64" s="71"/>
      <c r="B64" s="74" t="s">
        <v>76</v>
      </c>
      <c r="C64" s="75">
        <v>100</v>
      </c>
      <c r="D64" s="75">
        <v>106.6</v>
      </c>
      <c r="E64" s="75">
        <v>114.6</v>
      </c>
      <c r="F64" s="75">
        <v>121.5</v>
      </c>
      <c r="G64" s="75">
        <v>125.4</v>
      </c>
      <c r="H64" s="75">
        <v>132.19999999999999</v>
      </c>
      <c r="I64" s="75">
        <v>139</v>
      </c>
      <c r="J64" s="75">
        <v>148.80000000000001</v>
      </c>
      <c r="K64" s="75">
        <v>159.5</v>
      </c>
      <c r="L64" s="75">
        <v>165.9</v>
      </c>
      <c r="M64" s="75">
        <v>172.4</v>
      </c>
      <c r="N64" s="75">
        <v>177</v>
      </c>
      <c r="O64" s="75">
        <v>184.2</v>
      </c>
      <c r="P64" s="75">
        <v>186.4</v>
      </c>
      <c r="Q64" s="75">
        <v>191.4</v>
      </c>
      <c r="R64" s="75">
        <v>198</v>
      </c>
      <c r="S64" s="75">
        <v>199.8</v>
      </c>
      <c r="T64" s="75">
        <v>208.2</v>
      </c>
      <c r="U64" s="75">
        <v>214.7</v>
      </c>
      <c r="V64" s="75">
        <v>222</v>
      </c>
      <c r="W64" s="75">
        <v>229</v>
      </c>
      <c r="X64" s="75">
        <v>223.6</v>
      </c>
      <c r="Y64" s="75">
        <v>234</v>
      </c>
      <c r="Z64" s="75">
        <v>246.5</v>
      </c>
      <c r="AA64" s="75">
        <v>257.5</v>
      </c>
      <c r="AB64" s="75">
        <v>263.7</v>
      </c>
      <c r="AC64" s="75">
        <v>277.3</v>
      </c>
      <c r="AD64" s="75">
        <v>287.5</v>
      </c>
      <c r="AE64" s="75">
        <v>298.89999999999998</v>
      </c>
      <c r="AF64" s="75">
        <v>297</v>
      </c>
      <c r="AG64" s="75">
        <v>297.2</v>
      </c>
      <c r="AH64" s="75">
        <v>308.10000000000002</v>
      </c>
      <c r="AI64" s="75">
        <v>320.7</v>
      </c>
      <c r="AJ64" s="75">
        <v>335.1</v>
      </c>
      <c r="AK64" s="75">
        <v>348.9</v>
      </c>
      <c r="AL64" s="75">
        <v>362.6</v>
      </c>
      <c r="AM64" s="75">
        <v>378.8</v>
      </c>
      <c r="AN64" s="75">
        <v>398.4</v>
      </c>
      <c r="AO64" s="75">
        <v>414.3</v>
      </c>
      <c r="AP64" s="75">
        <v>422.3</v>
      </c>
      <c r="AQ64" s="75">
        <v>438.2</v>
      </c>
      <c r="AR64" s="75">
        <v>452.1</v>
      </c>
      <c r="AS64" s="75">
        <v>470.4</v>
      </c>
      <c r="AT64" s="75">
        <v>483</v>
      </c>
      <c r="AU64" s="75">
        <v>496.5</v>
      </c>
      <c r="AV64" s="75">
        <v>512.9</v>
      </c>
      <c r="AW64" s="75">
        <v>532.29999999999995</v>
      </c>
      <c r="AX64" s="75">
        <v>539.5</v>
      </c>
      <c r="AY64" s="75">
        <v>552.1</v>
      </c>
      <c r="AZ64" s="71"/>
      <c r="BA64" s="71"/>
      <c r="BB64" s="71"/>
      <c r="BC64" s="71"/>
      <c r="BD64" s="71"/>
      <c r="BE64" s="71"/>
      <c r="BF64" s="71"/>
      <c r="BG64" s="71"/>
      <c r="BH64" s="71"/>
      <c r="BI64" s="71"/>
      <c r="BJ64" s="71"/>
      <c r="BK64" s="71"/>
      <c r="BL64" s="71"/>
      <c r="BM64" s="71"/>
      <c r="BN64" s="71"/>
      <c r="BO64" s="71"/>
      <c r="BP64" s="71"/>
      <c r="BQ64" s="71"/>
      <c r="BR64" s="71"/>
      <c r="BS64" s="71"/>
      <c r="BT64" s="71"/>
      <c r="BU64" s="71"/>
      <c r="BV64" s="71"/>
      <c r="BW64" s="71"/>
      <c r="BX64" s="71"/>
      <c r="BY64" s="71"/>
      <c r="BZ64" s="71"/>
      <c r="CA64" s="71"/>
      <c r="CB64" s="71"/>
      <c r="CC64" s="71"/>
      <c r="CD64" s="71"/>
      <c r="CE64" s="71"/>
      <c r="CF64" s="71"/>
      <c r="CG64" s="71"/>
      <c r="CH64" s="71"/>
      <c r="CI64" s="71"/>
      <c r="CJ64" s="71"/>
      <c r="CK64" s="71"/>
      <c r="CL64" s="71"/>
      <c r="CM64" s="71"/>
      <c r="CN64" s="71"/>
      <c r="CO64" s="71"/>
      <c r="CP64" s="71"/>
      <c r="CQ64" s="71"/>
      <c r="CR64" s="71"/>
      <c r="CS64" s="71"/>
      <c r="CT64" s="71"/>
      <c r="CU64" s="71"/>
      <c r="CV64" s="71"/>
      <c r="CW64" s="71"/>
      <c r="CX64" s="71"/>
      <c r="CY64" s="71"/>
      <c r="CZ64" s="71"/>
      <c r="DA64" s="71"/>
      <c r="DB64" s="71"/>
      <c r="DC64" s="71"/>
      <c r="DD64" s="71"/>
      <c r="DE64" s="71"/>
      <c r="DF64" s="71"/>
      <c r="DG64" s="71"/>
      <c r="DH64" s="71"/>
      <c r="DI64" s="71"/>
      <c r="DJ64" s="71"/>
      <c r="DK64" s="71"/>
      <c r="DL64" s="71"/>
      <c r="DM64" s="71"/>
      <c r="DN64" s="71"/>
      <c r="DO64" s="71"/>
      <c r="DP64" s="71"/>
      <c r="DQ64" s="71"/>
      <c r="DR64" s="71"/>
      <c r="DS64" s="71"/>
      <c r="DT64" s="71"/>
      <c r="DU64" s="71"/>
      <c r="DV64" s="71"/>
      <c r="DW64" s="71"/>
      <c r="DX64" s="71"/>
      <c r="DY64" s="71"/>
      <c r="DZ64" s="71"/>
      <c r="EA64" s="71"/>
      <c r="EB64" s="71"/>
      <c r="EC64" s="71"/>
      <c r="ED64" s="71"/>
      <c r="EE64" s="71"/>
      <c r="EF64" s="71"/>
      <c r="EG64" s="71"/>
      <c r="EH64" s="71"/>
      <c r="EI64" s="71"/>
      <c r="EJ64" s="71"/>
      <c r="EK64" s="71"/>
      <c r="EL64" s="71"/>
      <c r="EM64" s="71"/>
      <c r="EN64" s="71"/>
      <c r="EO64" s="71"/>
      <c r="EP64" s="71"/>
      <c r="EQ64" s="71"/>
      <c r="ER64" s="71"/>
      <c r="ES64" s="71"/>
      <c r="ET64" s="71"/>
      <c r="EU64" s="71"/>
      <c r="EV64" s="71"/>
      <c r="EW64" s="71"/>
      <c r="EX64" s="71"/>
      <c r="EY64" s="71"/>
    </row>
    <row r="65" spans="1:155" ht="13" x14ac:dyDescent="0.15">
      <c r="A65" s="71"/>
      <c r="B65" s="74" t="s">
        <v>73</v>
      </c>
      <c r="C65" s="75">
        <v>100</v>
      </c>
      <c r="D65" s="75">
        <v>100.6</v>
      </c>
      <c r="E65" s="75">
        <v>101.8</v>
      </c>
      <c r="F65" s="75">
        <v>102.2</v>
      </c>
      <c r="G65" s="75">
        <v>101.5</v>
      </c>
      <c r="H65" s="75">
        <v>102.6</v>
      </c>
      <c r="I65" s="75">
        <v>104.1</v>
      </c>
      <c r="J65" s="75">
        <v>104.3</v>
      </c>
      <c r="K65" s="75">
        <v>105.4</v>
      </c>
      <c r="L65" s="75">
        <v>102.8</v>
      </c>
      <c r="M65" s="75">
        <v>103.9</v>
      </c>
      <c r="N65" s="75">
        <v>106</v>
      </c>
      <c r="O65" s="75">
        <v>107.5</v>
      </c>
      <c r="P65" s="75">
        <v>104.8</v>
      </c>
      <c r="Q65" s="75">
        <v>102.7</v>
      </c>
      <c r="R65" s="75">
        <v>99.9</v>
      </c>
      <c r="S65" s="75">
        <v>96.7</v>
      </c>
      <c r="T65" s="75">
        <v>94.2</v>
      </c>
      <c r="U65" s="75">
        <v>93.1</v>
      </c>
      <c r="V65" s="75">
        <v>92.2</v>
      </c>
      <c r="W65" s="75">
        <v>91.1</v>
      </c>
      <c r="X65" s="75">
        <v>90.2</v>
      </c>
      <c r="Y65" s="75">
        <v>89.5</v>
      </c>
      <c r="Z65" s="75">
        <v>90.3</v>
      </c>
      <c r="AA65" s="75">
        <v>89.1</v>
      </c>
      <c r="AB65" s="75">
        <v>85</v>
      </c>
      <c r="AC65" s="75">
        <v>86.3</v>
      </c>
      <c r="AD65" s="75">
        <v>84.8</v>
      </c>
      <c r="AE65" s="75">
        <v>85.4</v>
      </c>
      <c r="AF65" s="75">
        <v>85</v>
      </c>
      <c r="AG65" s="75">
        <v>84.1</v>
      </c>
      <c r="AH65" s="75">
        <v>83.2</v>
      </c>
      <c r="AI65" s="75">
        <v>84.1</v>
      </c>
      <c r="AJ65" s="75">
        <v>85.8</v>
      </c>
      <c r="AK65" s="75">
        <v>88.2</v>
      </c>
      <c r="AL65" s="75">
        <v>88.3</v>
      </c>
      <c r="AM65" s="75">
        <v>87.6</v>
      </c>
      <c r="AN65" s="75">
        <v>88.5</v>
      </c>
      <c r="AO65" s="75">
        <v>89.6</v>
      </c>
      <c r="AP65" s="75">
        <v>90.4</v>
      </c>
      <c r="AQ65" s="75">
        <v>91.5</v>
      </c>
      <c r="AR65" s="75">
        <v>91</v>
      </c>
      <c r="AS65" s="75">
        <v>94.6</v>
      </c>
      <c r="AT65" s="75">
        <v>93.4</v>
      </c>
      <c r="AU65" s="75">
        <v>94.1</v>
      </c>
      <c r="AV65" s="75">
        <v>91.5</v>
      </c>
      <c r="AW65" s="75">
        <v>91.6</v>
      </c>
      <c r="AX65" s="75">
        <v>91.9</v>
      </c>
      <c r="AY65" s="75">
        <v>92.7</v>
      </c>
      <c r="AZ65" s="71"/>
      <c r="BA65" s="71"/>
      <c r="BB65" s="71"/>
      <c r="BC65" s="71"/>
      <c r="BD65" s="71"/>
      <c r="BE65" s="71"/>
      <c r="BF65" s="71"/>
      <c r="BG65" s="71"/>
      <c r="BH65" s="71"/>
      <c r="BI65" s="71"/>
      <c r="BJ65" s="71"/>
      <c r="BK65" s="71"/>
      <c r="BL65" s="71"/>
      <c r="BM65" s="71"/>
      <c r="BN65" s="71"/>
      <c r="BO65" s="71"/>
      <c r="BP65" s="71"/>
      <c r="BQ65" s="71"/>
      <c r="BR65" s="71"/>
      <c r="BS65" s="71"/>
      <c r="BT65" s="71"/>
      <c r="BU65" s="71"/>
      <c r="BV65" s="71"/>
      <c r="BW65" s="71"/>
      <c r="BX65" s="71"/>
      <c r="BY65" s="71"/>
      <c r="BZ65" s="71"/>
      <c r="CA65" s="71"/>
      <c r="CB65" s="71"/>
      <c r="CC65" s="71"/>
      <c r="CD65" s="71"/>
      <c r="CE65" s="71"/>
      <c r="CF65" s="71"/>
      <c r="CG65" s="71"/>
      <c r="CH65" s="71"/>
      <c r="CI65" s="71"/>
      <c r="CJ65" s="71"/>
      <c r="CK65" s="71"/>
      <c r="CL65" s="71"/>
      <c r="CM65" s="71"/>
      <c r="CN65" s="71"/>
      <c r="CO65" s="71"/>
      <c r="CP65" s="71"/>
      <c r="CQ65" s="71"/>
      <c r="CR65" s="71"/>
      <c r="CS65" s="71"/>
      <c r="CT65" s="71"/>
      <c r="CU65" s="71"/>
      <c r="CV65" s="71"/>
      <c r="CW65" s="71"/>
      <c r="CX65" s="71"/>
      <c r="CY65" s="71"/>
      <c r="CZ65" s="71"/>
      <c r="DA65" s="71"/>
      <c r="DB65" s="71"/>
      <c r="DC65" s="71"/>
      <c r="DD65" s="71"/>
      <c r="DE65" s="71"/>
      <c r="DF65" s="71"/>
      <c r="DG65" s="71"/>
      <c r="DH65" s="71"/>
      <c r="DI65" s="71"/>
      <c r="DJ65" s="71"/>
      <c r="DK65" s="71"/>
      <c r="DL65" s="71"/>
      <c r="DM65" s="71"/>
      <c r="DN65" s="71"/>
      <c r="DO65" s="71"/>
      <c r="DP65" s="71"/>
      <c r="DQ65" s="71"/>
      <c r="DR65" s="71"/>
      <c r="DS65" s="71"/>
      <c r="DT65" s="71"/>
      <c r="DU65" s="71"/>
      <c r="DV65" s="71"/>
      <c r="DW65" s="71"/>
      <c r="DX65" s="71"/>
      <c r="DY65" s="71"/>
      <c r="DZ65" s="71"/>
      <c r="EA65" s="71"/>
      <c r="EB65" s="71"/>
      <c r="EC65" s="71"/>
      <c r="ED65" s="71"/>
      <c r="EE65" s="71"/>
      <c r="EF65" s="71"/>
      <c r="EG65" s="71"/>
      <c r="EH65" s="71"/>
      <c r="EI65" s="71"/>
      <c r="EJ65" s="71"/>
      <c r="EK65" s="71"/>
      <c r="EL65" s="71"/>
      <c r="EM65" s="71"/>
      <c r="EN65" s="71"/>
      <c r="EO65" s="71"/>
      <c r="EP65" s="71"/>
      <c r="EQ65" s="71"/>
      <c r="ER65" s="71"/>
      <c r="ES65" s="71"/>
      <c r="ET65" s="71"/>
      <c r="EU65" s="71"/>
      <c r="EV65" s="71"/>
      <c r="EW65" s="71"/>
      <c r="EX65" s="71"/>
      <c r="EY65" s="71"/>
    </row>
    <row r="66" spans="1:155" ht="13" x14ac:dyDescent="0.15">
      <c r="A66" s="71"/>
      <c r="B66" s="74" t="s">
        <v>74</v>
      </c>
      <c r="C66" s="75">
        <v>100</v>
      </c>
      <c r="D66" s="75">
        <v>104.5</v>
      </c>
      <c r="E66" s="75">
        <v>110.3</v>
      </c>
      <c r="F66" s="75">
        <v>114.7</v>
      </c>
      <c r="G66" s="75">
        <v>115.7</v>
      </c>
      <c r="H66" s="75">
        <v>119.9</v>
      </c>
      <c r="I66" s="75">
        <v>123.9</v>
      </c>
      <c r="J66" s="75">
        <v>129.9</v>
      </c>
      <c r="K66" s="75">
        <v>136.4</v>
      </c>
      <c r="L66" s="75">
        <v>135.80000000000001</v>
      </c>
      <c r="M66" s="75">
        <v>138.69999999999999</v>
      </c>
      <c r="N66" s="75">
        <v>140.30000000000001</v>
      </c>
      <c r="O66" s="75">
        <v>143.6</v>
      </c>
      <c r="P66" s="75">
        <v>143.5</v>
      </c>
      <c r="Q66" s="75">
        <v>146</v>
      </c>
      <c r="R66" s="75">
        <v>149.30000000000001</v>
      </c>
      <c r="S66" s="75">
        <v>148.9</v>
      </c>
      <c r="T66" s="75">
        <v>153.5</v>
      </c>
      <c r="U66" s="75">
        <v>156.30000000000001</v>
      </c>
      <c r="V66" s="75">
        <v>159.19999999999999</v>
      </c>
      <c r="W66" s="75">
        <v>161.4</v>
      </c>
      <c r="X66" s="75">
        <v>155.4</v>
      </c>
      <c r="Y66" s="75">
        <v>160.80000000000001</v>
      </c>
      <c r="Z66" s="75">
        <v>167.1</v>
      </c>
      <c r="AA66" s="75">
        <v>172</v>
      </c>
      <c r="AB66" s="75">
        <v>173.5</v>
      </c>
      <c r="AC66" s="75">
        <v>179.5</v>
      </c>
      <c r="AD66" s="75">
        <v>183</v>
      </c>
      <c r="AE66" s="75">
        <v>187.4</v>
      </c>
      <c r="AF66" s="75">
        <v>183.8</v>
      </c>
      <c r="AG66" s="75">
        <v>181.8</v>
      </c>
      <c r="AH66" s="75">
        <v>186.6</v>
      </c>
      <c r="AI66" s="75">
        <v>192.2</v>
      </c>
      <c r="AJ66" s="75">
        <v>198.4</v>
      </c>
      <c r="AK66" s="75">
        <v>203.9</v>
      </c>
      <c r="AL66" s="75">
        <v>209.5</v>
      </c>
      <c r="AM66" s="75">
        <v>216.7</v>
      </c>
      <c r="AN66" s="75">
        <v>225.3</v>
      </c>
      <c r="AO66" s="75">
        <v>231.4</v>
      </c>
      <c r="AP66" s="75">
        <v>232.8</v>
      </c>
      <c r="AQ66" s="75">
        <v>238.8</v>
      </c>
      <c r="AR66" s="75">
        <v>243.4</v>
      </c>
      <c r="AS66" s="75">
        <v>250.5</v>
      </c>
      <c r="AT66" s="75">
        <v>254.1</v>
      </c>
      <c r="AU66" s="75">
        <v>257.89999999999998</v>
      </c>
      <c r="AV66" s="75">
        <v>261.2</v>
      </c>
      <c r="AW66" s="75">
        <v>266.39999999999998</v>
      </c>
      <c r="AX66" s="75">
        <v>265.10000000000002</v>
      </c>
      <c r="AY66" s="75">
        <v>267.8</v>
      </c>
      <c r="AZ66" s="71"/>
      <c r="BA66" s="71"/>
      <c r="BB66" s="71"/>
      <c r="BC66" s="71"/>
      <c r="BD66" s="71"/>
      <c r="BE66" s="71"/>
      <c r="BF66" s="71"/>
      <c r="BG66" s="71"/>
      <c r="BH66" s="71"/>
      <c r="BI66" s="71"/>
      <c r="BJ66" s="71"/>
      <c r="BK66" s="71"/>
      <c r="BL66" s="71"/>
      <c r="BM66" s="71"/>
      <c r="BN66" s="71"/>
      <c r="BO66" s="71"/>
      <c r="BP66" s="71"/>
      <c r="BQ66" s="71"/>
      <c r="BR66" s="71"/>
      <c r="BS66" s="71"/>
      <c r="BT66" s="71"/>
      <c r="BU66" s="71"/>
      <c r="BV66" s="71"/>
      <c r="BW66" s="71"/>
      <c r="BX66" s="71"/>
      <c r="BY66" s="71"/>
      <c r="BZ66" s="71"/>
      <c r="CA66" s="71"/>
      <c r="CB66" s="71"/>
      <c r="CC66" s="71"/>
      <c r="CD66" s="71"/>
      <c r="CE66" s="71"/>
      <c r="CF66" s="71"/>
      <c r="CG66" s="71"/>
      <c r="CH66" s="71"/>
      <c r="CI66" s="71"/>
      <c r="CJ66" s="71"/>
      <c r="CK66" s="71"/>
      <c r="CL66" s="71"/>
      <c r="CM66" s="71"/>
      <c r="CN66" s="71"/>
      <c r="CO66" s="71"/>
      <c r="CP66" s="71"/>
      <c r="CQ66" s="71"/>
      <c r="CR66" s="71"/>
      <c r="CS66" s="71"/>
      <c r="CT66" s="71"/>
      <c r="CU66" s="71"/>
      <c r="CV66" s="71"/>
      <c r="CW66" s="71"/>
      <c r="CX66" s="71"/>
      <c r="CY66" s="71"/>
      <c r="CZ66" s="71"/>
      <c r="DA66" s="71"/>
      <c r="DB66" s="71"/>
      <c r="DC66" s="71"/>
      <c r="DD66" s="71"/>
      <c r="DE66" s="71"/>
      <c r="DF66" s="71"/>
      <c r="DG66" s="71"/>
      <c r="DH66" s="71"/>
      <c r="DI66" s="71"/>
      <c r="DJ66" s="71"/>
      <c r="DK66" s="71"/>
      <c r="DL66" s="71"/>
      <c r="DM66" s="71"/>
      <c r="DN66" s="71"/>
      <c r="DO66" s="71"/>
      <c r="DP66" s="71"/>
      <c r="DQ66" s="71"/>
      <c r="DR66" s="71"/>
      <c r="DS66" s="71"/>
      <c r="DT66" s="71"/>
      <c r="DU66" s="71"/>
      <c r="DV66" s="71"/>
      <c r="DW66" s="71"/>
      <c r="DX66" s="71"/>
      <c r="DY66" s="71"/>
      <c r="DZ66" s="71"/>
      <c r="EA66" s="71"/>
      <c r="EB66" s="71"/>
      <c r="EC66" s="71"/>
      <c r="ED66" s="71"/>
      <c r="EE66" s="71"/>
      <c r="EF66" s="71"/>
      <c r="EG66" s="71"/>
      <c r="EH66" s="71"/>
      <c r="EI66" s="71"/>
      <c r="EJ66" s="71"/>
      <c r="EK66" s="71"/>
      <c r="EL66" s="71"/>
      <c r="EM66" s="71"/>
      <c r="EN66" s="71"/>
      <c r="EO66" s="71"/>
      <c r="EP66" s="71"/>
      <c r="EQ66" s="71"/>
      <c r="ER66" s="71"/>
      <c r="ES66" s="71"/>
      <c r="ET66" s="71"/>
      <c r="EU66" s="71"/>
      <c r="EV66" s="71"/>
      <c r="EW66" s="71"/>
      <c r="EX66" s="71"/>
      <c r="EY66" s="71"/>
    </row>
    <row r="67" spans="1:155" ht="13" x14ac:dyDescent="0.15">
      <c r="A67" s="69"/>
    </row>
    <row r="68" spans="1:155" ht="13" x14ac:dyDescent="0.15">
      <c r="A68" s="69"/>
      <c r="B68" s="1" t="s">
        <v>77</v>
      </c>
      <c r="C68" s="1">
        <f t="shared" ref="C68:AH68" si="21">C40*0.0625</f>
        <v>14.2283653875</v>
      </c>
      <c r="D68" s="1">
        <f t="shared" si="21"/>
        <v>15.1875</v>
      </c>
      <c r="E68" s="1">
        <f t="shared" si="21"/>
        <v>16.1875</v>
      </c>
      <c r="F68" s="1">
        <f t="shared" si="21"/>
        <v>17.024264706250001</v>
      </c>
      <c r="G68" s="1">
        <f t="shared" si="21"/>
        <v>17.482758618750001</v>
      </c>
      <c r="H68" s="1">
        <f t="shared" si="21"/>
        <v>18.839583331250001</v>
      </c>
      <c r="I68" s="1">
        <f t="shared" si="21"/>
        <v>19.80366848125</v>
      </c>
      <c r="J68" s="1">
        <f t="shared" si="21"/>
        <v>21.50723684375</v>
      </c>
      <c r="K68" s="1">
        <f t="shared" si="21"/>
        <v>23.021249999999998</v>
      </c>
      <c r="L68" s="1">
        <f t="shared" si="21"/>
        <v>23.536214956249999</v>
      </c>
      <c r="M68" s="1">
        <f t="shared" si="21"/>
        <v>24.809151787499999</v>
      </c>
      <c r="N68" s="1">
        <f t="shared" si="21"/>
        <v>24.661706349999999</v>
      </c>
      <c r="O68" s="1">
        <f t="shared" si="21"/>
        <v>25.61394558125</v>
      </c>
      <c r="P68" s="1">
        <f t="shared" si="21"/>
        <v>26.452752974999999</v>
      </c>
      <c r="Q68" s="1">
        <f t="shared" si="21"/>
        <v>27.07161458125</v>
      </c>
      <c r="R68" s="1">
        <f t="shared" si="21"/>
        <v>28.571130950000001</v>
      </c>
      <c r="S68" s="1">
        <f t="shared" si="21"/>
        <v>28.99059734375</v>
      </c>
      <c r="T68" s="1">
        <f t="shared" si="21"/>
        <v>29.742720881250001</v>
      </c>
      <c r="U68" s="1">
        <f t="shared" si="21"/>
        <v>30.867876837499999</v>
      </c>
      <c r="V68" s="1">
        <f t="shared" si="21"/>
        <v>31.471233443749998</v>
      </c>
      <c r="W68" s="1">
        <f t="shared" si="21"/>
        <v>32.651785712500001</v>
      </c>
      <c r="X68" s="1">
        <f t="shared" si="21"/>
        <v>32.371404112500002</v>
      </c>
      <c r="Y68" s="1">
        <f t="shared" si="21"/>
        <v>35.65625</v>
      </c>
      <c r="Z68" s="1">
        <f t="shared" si="21"/>
        <v>36.257253087499997</v>
      </c>
      <c r="AA68" s="1">
        <f t="shared" si="21"/>
        <v>36.632038287500002</v>
      </c>
      <c r="AB68" s="1">
        <f t="shared" si="21"/>
        <v>37.524684874999998</v>
      </c>
      <c r="AC68" s="1">
        <f t="shared" si="21"/>
        <v>39.558837893750002</v>
      </c>
      <c r="AD68" s="1">
        <f t="shared" si="21"/>
        <v>41.642323368749999</v>
      </c>
      <c r="AE68" s="1">
        <f t="shared" si="21"/>
        <v>42.804343218749999</v>
      </c>
      <c r="AF68" s="1">
        <f t="shared" si="21"/>
        <v>43.290901499999997</v>
      </c>
      <c r="AG68" s="1">
        <f t="shared" si="21"/>
        <v>43.989704656249998</v>
      </c>
      <c r="AH68" s="1">
        <f t="shared" si="21"/>
        <v>45.3512050625</v>
      </c>
      <c r="AI68" s="1">
        <f t="shared" ref="AI68:BB68" si="22">AI40*0.0625</f>
        <v>46.448546974999999</v>
      </c>
      <c r="AJ68" s="1">
        <f t="shared" si="22"/>
        <v>46.936837118749999</v>
      </c>
      <c r="AK68" s="1">
        <f t="shared" si="22"/>
        <v>49.352425375000003</v>
      </c>
      <c r="AL68" s="1">
        <f t="shared" si="22"/>
        <v>52.08233533125</v>
      </c>
      <c r="AM68" s="1">
        <f t="shared" si="22"/>
        <v>54.27037241875</v>
      </c>
      <c r="AN68" s="1">
        <f t="shared" si="22"/>
        <v>56.103020981249998</v>
      </c>
      <c r="AO68" s="1">
        <f t="shared" si="22"/>
        <v>56.496580025</v>
      </c>
      <c r="AP68" s="1">
        <f t="shared" si="22"/>
        <v>58.461124006250003</v>
      </c>
      <c r="AQ68" s="1">
        <f t="shared" si="22"/>
        <v>60.687177837500002</v>
      </c>
      <c r="AR68" s="1">
        <f t="shared" si="22"/>
        <v>62.963600624999998</v>
      </c>
      <c r="AS68" s="1">
        <f t="shared" si="22"/>
        <v>66.071702437499994</v>
      </c>
      <c r="AT68" s="1">
        <f t="shared" si="22"/>
        <v>68.785724937500007</v>
      </c>
      <c r="AU68" s="1">
        <f t="shared" si="22"/>
        <v>72.024249437500004</v>
      </c>
      <c r="AV68" s="1">
        <f t="shared" si="22"/>
        <v>76.250561187499997</v>
      </c>
      <c r="AW68" s="1">
        <f t="shared" si="22"/>
        <v>79.709280312499999</v>
      </c>
      <c r="AX68" s="1">
        <f t="shared" si="22"/>
        <v>83.382423125000003</v>
      </c>
      <c r="AY68" s="1">
        <f t="shared" si="22"/>
        <v>83.573722937499994</v>
      </c>
      <c r="AZ68" s="1">
        <f t="shared" si="22"/>
        <v>88.1678983125</v>
      </c>
      <c r="BA68" s="1">
        <f t="shared" si="22"/>
        <v>91.178186249999996</v>
      </c>
      <c r="BB68" s="1">
        <f t="shared" si="22"/>
        <v>90.705152687500004</v>
      </c>
    </row>
    <row r="69" spans="1:155" ht="13" x14ac:dyDescent="0.15">
      <c r="A69" s="69"/>
      <c r="B69" s="1" t="s">
        <v>78</v>
      </c>
      <c r="C69" s="7">
        <f t="shared" ref="C69:AH69" si="23">C4+C68</f>
        <v>153.97836538749999</v>
      </c>
      <c r="D69" s="7">
        <f t="shared" si="23"/>
        <v>164.50749999999999</v>
      </c>
      <c r="E69" s="7">
        <f t="shared" si="23"/>
        <v>173.79750000000001</v>
      </c>
      <c r="F69" s="7">
        <f t="shared" si="23"/>
        <v>180.75426470624998</v>
      </c>
      <c r="G69" s="7">
        <f t="shared" si="23"/>
        <v>186.85275861875002</v>
      </c>
      <c r="H69" s="7">
        <f t="shared" si="23"/>
        <v>196.89958333125</v>
      </c>
      <c r="I69" s="7">
        <f t="shared" si="23"/>
        <v>208.59366848125001</v>
      </c>
      <c r="J69" s="7">
        <f t="shared" si="23"/>
        <v>222.69723684375001</v>
      </c>
      <c r="K69" s="7">
        <f t="shared" si="23"/>
        <v>237.53125</v>
      </c>
      <c r="L69" s="7">
        <f t="shared" si="23"/>
        <v>247.29621495625</v>
      </c>
      <c r="M69" s="7">
        <f t="shared" si="23"/>
        <v>256.91915178750003</v>
      </c>
      <c r="N69" s="7">
        <f t="shared" si="23"/>
        <v>270.82170635</v>
      </c>
      <c r="O69" s="7">
        <f t="shared" si="23"/>
        <v>285.59394558125001</v>
      </c>
      <c r="P69" s="7">
        <f t="shared" si="23"/>
        <v>297.17275297500004</v>
      </c>
      <c r="Q69" s="7">
        <f t="shared" si="23"/>
        <v>308.13161458125001</v>
      </c>
      <c r="R69" s="7">
        <f t="shared" si="23"/>
        <v>313.46113094999998</v>
      </c>
      <c r="S69" s="7">
        <f t="shared" si="23"/>
        <v>321.20059734374996</v>
      </c>
      <c r="T69" s="7">
        <f t="shared" si="23"/>
        <v>326.75272088125001</v>
      </c>
      <c r="U69" s="7">
        <f t="shared" si="23"/>
        <v>336.50787683749996</v>
      </c>
      <c r="V69" s="7">
        <f t="shared" si="23"/>
        <v>350.78123344375001</v>
      </c>
      <c r="W69" s="7">
        <f t="shared" si="23"/>
        <v>362.93178571249996</v>
      </c>
      <c r="X69" s="7">
        <f t="shared" si="23"/>
        <v>364.38140411249998</v>
      </c>
      <c r="Y69" s="7">
        <f t="shared" si="23"/>
        <v>377.53625</v>
      </c>
      <c r="Z69" s="7">
        <f t="shared" si="23"/>
        <v>392.71725308749996</v>
      </c>
      <c r="AA69" s="7">
        <f t="shared" si="23"/>
        <v>400.2520382875</v>
      </c>
      <c r="AB69" s="7">
        <f t="shared" si="23"/>
        <v>408.00468487500001</v>
      </c>
      <c r="AC69" s="7">
        <f t="shared" si="23"/>
        <v>423.36883789375003</v>
      </c>
      <c r="AD69" s="7">
        <f t="shared" si="23"/>
        <v>442.13232336875001</v>
      </c>
      <c r="AE69" s="7">
        <f t="shared" si="23"/>
        <v>450.09434321875</v>
      </c>
      <c r="AF69" s="7">
        <f t="shared" si="23"/>
        <v>457.40090150000003</v>
      </c>
      <c r="AG69" s="7">
        <f t="shared" si="23"/>
        <v>473.29970465625001</v>
      </c>
      <c r="AH69" s="7">
        <f t="shared" si="23"/>
        <v>483.33120506250003</v>
      </c>
      <c r="AI69" s="7">
        <f t="shared" ref="AI69:BB69" si="24">AI4+AI68</f>
        <v>498.51854697499999</v>
      </c>
      <c r="AJ69" s="7">
        <f t="shared" si="24"/>
        <v>509.73683711875003</v>
      </c>
      <c r="AK69" s="7">
        <f t="shared" si="24"/>
        <v>522.77242537500001</v>
      </c>
      <c r="AL69" s="7">
        <f t="shared" si="24"/>
        <v>551.36233533124994</v>
      </c>
      <c r="AM69" s="7">
        <f t="shared" si="24"/>
        <v>579.29037241874994</v>
      </c>
      <c r="AN69" s="7">
        <f t="shared" si="24"/>
        <v>607.10302098124998</v>
      </c>
      <c r="AO69" s="7">
        <f t="shared" si="24"/>
        <v>620.17658002499991</v>
      </c>
      <c r="AP69" s="7">
        <f t="shared" si="24"/>
        <v>634.00112400624994</v>
      </c>
      <c r="AQ69" s="7">
        <f t="shared" si="24"/>
        <v>659.69717783750002</v>
      </c>
      <c r="AR69" s="7">
        <f t="shared" si="24"/>
        <v>683.03360062500008</v>
      </c>
      <c r="AS69" s="7">
        <f t="shared" si="24"/>
        <v>715.84170243749998</v>
      </c>
      <c r="AT69" s="7">
        <f t="shared" si="24"/>
        <v>736.01572493750007</v>
      </c>
      <c r="AU69" s="7">
        <f t="shared" si="24"/>
        <v>764.81424943749994</v>
      </c>
      <c r="AV69" s="7">
        <f t="shared" si="24"/>
        <v>814.12056118750002</v>
      </c>
      <c r="AW69" s="7">
        <f t="shared" si="24"/>
        <v>823.54928031250006</v>
      </c>
      <c r="AX69" s="7">
        <f t="shared" si="24"/>
        <v>839.42242312500002</v>
      </c>
      <c r="AY69" s="7">
        <f t="shared" si="24"/>
        <v>859.16372293749998</v>
      </c>
      <c r="AZ69" s="7">
        <f t="shared" si="24"/>
        <v>882.30789831250001</v>
      </c>
      <c r="BA69" s="7">
        <f t="shared" si="24"/>
        <v>911.25818624999999</v>
      </c>
      <c r="BB69" s="7">
        <f t="shared" si="24"/>
        <v>925.9551526875</v>
      </c>
    </row>
    <row r="70" spans="1:155" ht="13" x14ac:dyDescent="0.15">
      <c r="A70" s="69"/>
    </row>
    <row r="71" spans="1:155" ht="14" thickBot="1" x14ac:dyDescent="0.2">
      <c r="A71" s="69"/>
    </row>
    <row r="72" spans="1:155" ht="15" customHeight="1" thickBot="1" x14ac:dyDescent="0.2">
      <c r="A72" s="69"/>
      <c r="C72" s="76"/>
      <c r="D72" s="143" t="s">
        <v>89</v>
      </c>
      <c r="E72" s="144"/>
      <c r="F72" s="144"/>
      <c r="G72" s="144"/>
      <c r="H72" s="145"/>
    </row>
    <row r="73" spans="1:155" ht="15" customHeight="1" thickBot="1" x14ac:dyDescent="0.2">
      <c r="A73" s="69"/>
      <c r="C73" s="139" t="s">
        <v>79</v>
      </c>
      <c r="D73" s="141" t="s">
        <v>80</v>
      </c>
      <c r="E73" s="143" t="s">
        <v>81</v>
      </c>
      <c r="F73" s="144"/>
      <c r="G73" s="144"/>
      <c r="H73" s="145"/>
    </row>
    <row r="74" spans="1:155" ht="65" thickBot="1" x14ac:dyDescent="0.2">
      <c r="A74" s="69"/>
      <c r="C74" s="140"/>
      <c r="D74" s="142"/>
      <c r="E74" s="81" t="s">
        <v>75</v>
      </c>
      <c r="F74" s="90" t="s">
        <v>82</v>
      </c>
      <c r="G74" s="95" t="s">
        <v>83</v>
      </c>
      <c r="H74" s="100" t="s">
        <v>84</v>
      </c>
    </row>
    <row r="75" spans="1:155" ht="33" thickBot="1" x14ac:dyDescent="0.2">
      <c r="A75" s="69"/>
      <c r="C75" s="77" t="s">
        <v>85</v>
      </c>
      <c r="D75" s="86">
        <f>((P40-C40)/ABS(C40))*100</f>
        <v>85.915614721557901</v>
      </c>
      <c r="E75" s="82">
        <f>((P3-C3)/ABS(C3))*100</f>
        <v>67.384375781421866</v>
      </c>
      <c r="F75" s="91">
        <f>((P31-C31)/ABS(C31))*100</f>
        <v>141.15433319064547</v>
      </c>
      <c r="G75" s="96">
        <f>((P33-C33)/ABS(C33))*100</f>
        <v>-46.036233751112839</v>
      </c>
      <c r="H75" s="101">
        <f>((P35-C35)/ABS(C35))*100</f>
        <v>25.779441536355296</v>
      </c>
    </row>
    <row r="76" spans="1:155" ht="35" thickBot="1" x14ac:dyDescent="0.2">
      <c r="A76" s="69"/>
      <c r="C76" s="78" t="s">
        <v>86</v>
      </c>
      <c r="D76" s="87">
        <f>((AE40-Q40)/ABS(Q40))*100</f>
        <v>58.115220982780258</v>
      </c>
      <c r="E76" s="83">
        <f>((AE3-Q3)/ABS(Q3))*100</f>
        <v>27.177562906146374</v>
      </c>
      <c r="F76" s="92">
        <f>((AE31-Q31)/ABS(Q31))*100</f>
        <v>53.342320428463843</v>
      </c>
      <c r="G76" s="97">
        <f>((AE33-Q33)/ABS(Q33))*100</f>
        <v>-15.841184408574064</v>
      </c>
      <c r="H76" s="102">
        <f>((AE35-Q35)/ABS(Q35))*100</f>
        <v>9.2241859843914966</v>
      </c>
    </row>
    <row r="77" spans="1:155" ht="35" thickBot="1" x14ac:dyDescent="0.2">
      <c r="A77" s="69"/>
      <c r="C77" s="78" t="s">
        <v>87</v>
      </c>
      <c r="D77" s="87">
        <f>((AT40-AF40)/ABS(AF40))*100</f>
        <v>58.891874629822652</v>
      </c>
      <c r="E77" s="83">
        <f>((AT3-AF3)/ABS(AF3))*100</f>
        <v>44.955843101329137</v>
      </c>
      <c r="F77" s="92">
        <f>((AT31-AF31)/ABS(AF31))*100</f>
        <v>59.77250489270974</v>
      </c>
      <c r="G77" s="97">
        <f>((AT33-AF33)/ABS(AF33))*100</f>
        <v>-18.998233777689197</v>
      </c>
      <c r="H77" s="102">
        <f>((AT35-AF35)/ABS(AF35))*100</f>
        <v>-0.31910810952406121</v>
      </c>
    </row>
    <row r="78" spans="1:155" ht="35" thickBot="1" x14ac:dyDescent="0.2">
      <c r="A78" s="69"/>
      <c r="C78" s="78" t="s">
        <v>88</v>
      </c>
      <c r="D78" s="87">
        <f>((BB40-AU40)/ABS(AU40))*100</f>
        <v>25.936963447582471</v>
      </c>
      <c r="E78" s="83">
        <f>((BB3-AU3)/ABS(AU3))*100</f>
        <v>30.031908645847473</v>
      </c>
      <c r="F78" s="92">
        <f>((BB31-AU31)/ABS(AU31))*100</f>
        <v>20.324177148445457</v>
      </c>
      <c r="G78" s="97">
        <f>((BB33-AU33)/ABS(AU33))*100</f>
        <v>-15.876083218239526</v>
      </c>
      <c r="H78" s="102">
        <f>((BB35-AU35)/ABS(AU35))*100</f>
        <v>34.375034374728855</v>
      </c>
    </row>
    <row r="79" spans="1:155" ht="13" x14ac:dyDescent="0.15">
      <c r="A79" s="69"/>
      <c r="D79" s="88"/>
      <c r="E79" s="84"/>
      <c r="F79" s="93"/>
      <c r="G79" s="98"/>
      <c r="H79" s="103"/>
    </row>
    <row r="80" spans="1:155" ht="34" x14ac:dyDescent="0.15">
      <c r="A80" s="69"/>
      <c r="C80" s="79" t="s">
        <v>90</v>
      </c>
      <c r="D80" s="89">
        <f>((K40-C40)/K40)*100</f>
        <v>38.194644567519134</v>
      </c>
      <c r="E80" s="85">
        <f>((K3-C3)/K3)*100</f>
        <v>25.164867633000277</v>
      </c>
      <c r="F80" s="94">
        <f>((K31-C31)/K31)*100</f>
        <v>42.119580878444481</v>
      </c>
      <c r="G80" s="99">
        <f>((K33-C33)/K33)*100</f>
        <v>20.104210447241819</v>
      </c>
      <c r="H80" s="104">
        <f>((K35-C35)/K35)*100</f>
        <v>11.060076492175302</v>
      </c>
    </row>
    <row r="81" spans="1:8" ht="34" x14ac:dyDescent="0.15">
      <c r="A81" s="69"/>
      <c r="C81" s="79" t="s">
        <v>91</v>
      </c>
      <c r="D81" s="89">
        <f>((U40-L40)/U40)*100</f>
        <v>23.751753059812305</v>
      </c>
      <c r="E81" s="85">
        <f>((U3-L3)/U3)*100</f>
        <v>21.56646759420931</v>
      </c>
      <c r="F81" s="94">
        <f>((U31-L31)/U31)*100</f>
        <v>37.878387139446886</v>
      </c>
      <c r="G81" s="99">
        <f>((U33-L33)/U33)*100</f>
        <v>11.373973963656974</v>
      </c>
      <c r="H81" s="104">
        <f>((U35-L35)/U35)*100</f>
        <v>8.0233830581905252</v>
      </c>
    </row>
    <row r="82" spans="1:8" ht="34" x14ac:dyDescent="0.15">
      <c r="A82" s="69"/>
      <c r="C82" s="79" t="s">
        <v>92</v>
      </c>
      <c r="D82" s="89">
        <f>((AE40-V40)/V40)*100</f>
        <v>36.01101239090675</v>
      </c>
      <c r="E82" s="85">
        <f>((AE3-V3)/V3)*100</f>
        <v>21.047230811633785</v>
      </c>
      <c r="F82" s="94">
        <f>((AE31-V31)/V31)*100</f>
        <v>29.206068070227548</v>
      </c>
      <c r="G82" s="99">
        <f>((AE33-V33)/V33)*100</f>
        <v>15.307598568530514</v>
      </c>
      <c r="H82" s="104">
        <f>((AE35-V35)/V35)*100</f>
        <v>6.3181100592704693</v>
      </c>
    </row>
    <row r="83" spans="1:8" ht="34" x14ac:dyDescent="0.15">
      <c r="A83" s="69"/>
      <c r="C83" s="79" t="s">
        <v>93</v>
      </c>
      <c r="D83" s="89">
        <f>((AO40-AF40)/AO40)*100</f>
        <v>23.374297203753624</v>
      </c>
      <c r="E83" s="85">
        <f>((AO3-AF3)/AO3)*100</f>
        <v>14.55892093324525</v>
      </c>
      <c r="F83" s="94">
        <f>((AO40-AF40)/AO40)*100</f>
        <v>23.374297203753624</v>
      </c>
      <c r="G83" s="99">
        <f>((AO33-AF33)/AO33)*100</f>
        <v>4.7242128708612041</v>
      </c>
      <c r="H83" s="104">
        <f>((AO35-AF35)/AO35)*100</f>
        <v>-13.338356321900891</v>
      </c>
    </row>
    <row r="84" spans="1:8" ht="34" x14ac:dyDescent="0.15">
      <c r="A84" s="69"/>
      <c r="C84" s="79" t="s">
        <v>94</v>
      </c>
      <c r="D84" s="89">
        <f>((BB40-AP40)/BB40)*100</f>
        <v>35.548177502482197</v>
      </c>
      <c r="E84" s="85">
        <f>((BB3-AP3)/BB3)*100</f>
        <v>36.657238319193553</v>
      </c>
      <c r="F84" s="94">
        <f>((BB31-AP31)/BB31)*100</f>
        <v>31.303824803737974</v>
      </c>
      <c r="G84" s="99">
        <f>((BB33-AP33)/BB33)*100</f>
        <v>21.754575949795857</v>
      </c>
      <c r="H84" s="104">
        <f>((BB35-AP35)/BB35)*100</f>
        <v>28.678035652445153</v>
      </c>
    </row>
    <row r="85" spans="1:8" ht="13" x14ac:dyDescent="0.15">
      <c r="A85" s="69"/>
    </row>
    <row r="86" spans="1:8" ht="13" x14ac:dyDescent="0.15">
      <c r="A86" s="69"/>
    </row>
    <row r="87" spans="1:8" ht="13" x14ac:dyDescent="0.15">
      <c r="A87" s="69"/>
    </row>
    <row r="88" spans="1:8" ht="13" x14ac:dyDescent="0.15">
      <c r="A88" s="69"/>
    </row>
    <row r="89" spans="1:8" ht="13" x14ac:dyDescent="0.15">
      <c r="A89" s="69"/>
    </row>
    <row r="90" spans="1:8" ht="13" x14ac:dyDescent="0.15">
      <c r="A90" s="69"/>
    </row>
    <row r="91" spans="1:8" ht="13" x14ac:dyDescent="0.15">
      <c r="A91" s="69"/>
    </row>
    <row r="92" spans="1:8" ht="13" x14ac:dyDescent="0.15">
      <c r="A92" s="69"/>
    </row>
    <row r="93" spans="1:8" ht="13" x14ac:dyDescent="0.15">
      <c r="A93" s="69"/>
    </row>
    <row r="94" spans="1:8" ht="13" x14ac:dyDescent="0.15">
      <c r="A94" s="69"/>
    </row>
    <row r="95" spans="1:8" ht="13" x14ac:dyDescent="0.15">
      <c r="A95" s="69"/>
    </row>
    <row r="96" spans="1:8" ht="13" x14ac:dyDescent="0.15">
      <c r="A96" s="69"/>
    </row>
    <row r="97" spans="1:1" ht="13" x14ac:dyDescent="0.15">
      <c r="A97" s="69"/>
    </row>
    <row r="98" spans="1:1" ht="13" x14ac:dyDescent="0.15">
      <c r="A98" s="69"/>
    </row>
    <row r="99" spans="1:1" ht="13" x14ac:dyDescent="0.15">
      <c r="A99" s="69"/>
    </row>
    <row r="100" spans="1:1" ht="13" x14ac:dyDescent="0.15">
      <c r="A100" s="69"/>
    </row>
    <row r="101" spans="1:1" ht="13" x14ac:dyDescent="0.15">
      <c r="A101" s="69"/>
    </row>
    <row r="102" spans="1:1" ht="13" x14ac:dyDescent="0.15">
      <c r="A102" s="69"/>
    </row>
    <row r="103" spans="1:1" ht="13" x14ac:dyDescent="0.15">
      <c r="A103" s="69"/>
    </row>
    <row r="104" spans="1:1" ht="13" x14ac:dyDescent="0.15">
      <c r="A104" s="69"/>
    </row>
    <row r="105" spans="1:1" ht="13" x14ac:dyDescent="0.15">
      <c r="A105" s="69"/>
    </row>
    <row r="106" spans="1:1" ht="13" x14ac:dyDescent="0.15">
      <c r="A106" s="69"/>
    </row>
    <row r="107" spans="1:1" ht="13" x14ac:dyDescent="0.15">
      <c r="A107" s="69"/>
    </row>
    <row r="108" spans="1:1" ht="13" x14ac:dyDescent="0.15">
      <c r="A108" s="69"/>
    </row>
    <row r="109" spans="1:1" ht="13" x14ac:dyDescent="0.15">
      <c r="A109" s="69"/>
    </row>
    <row r="110" spans="1:1" ht="13" x14ac:dyDescent="0.15">
      <c r="A110" s="69"/>
    </row>
    <row r="111" spans="1:1" ht="13" x14ac:dyDescent="0.15">
      <c r="A111" s="69"/>
    </row>
    <row r="112" spans="1:1" ht="13" x14ac:dyDescent="0.15">
      <c r="A112" s="69"/>
    </row>
    <row r="113" spans="1:1" ht="13" x14ac:dyDescent="0.15">
      <c r="A113" s="69"/>
    </row>
    <row r="114" spans="1:1" ht="13" x14ac:dyDescent="0.15">
      <c r="A114" s="69"/>
    </row>
    <row r="115" spans="1:1" ht="13" x14ac:dyDescent="0.15">
      <c r="A115" s="69"/>
    </row>
    <row r="116" spans="1:1" ht="13" x14ac:dyDescent="0.15">
      <c r="A116" s="69"/>
    </row>
    <row r="117" spans="1:1" ht="13" x14ac:dyDescent="0.15">
      <c r="A117" s="69"/>
    </row>
    <row r="118" spans="1:1" ht="13" x14ac:dyDescent="0.15">
      <c r="A118" s="69"/>
    </row>
    <row r="119" spans="1:1" ht="13" x14ac:dyDescent="0.15">
      <c r="A119" s="69"/>
    </row>
    <row r="120" spans="1:1" ht="13" x14ac:dyDescent="0.15">
      <c r="A120" s="69"/>
    </row>
    <row r="121" spans="1:1" ht="13" x14ac:dyDescent="0.15">
      <c r="A121" s="69"/>
    </row>
    <row r="122" spans="1:1" ht="13" x14ac:dyDescent="0.15">
      <c r="A122" s="69"/>
    </row>
    <row r="123" spans="1:1" ht="13" x14ac:dyDescent="0.15">
      <c r="A123" s="69"/>
    </row>
    <row r="124" spans="1:1" ht="13" x14ac:dyDescent="0.15">
      <c r="A124" s="69"/>
    </row>
    <row r="125" spans="1:1" ht="13" x14ac:dyDescent="0.15">
      <c r="A125" s="69"/>
    </row>
    <row r="126" spans="1:1" ht="13" x14ac:dyDescent="0.15">
      <c r="A126" s="69"/>
    </row>
    <row r="127" spans="1:1" ht="13" x14ac:dyDescent="0.15">
      <c r="A127" s="69"/>
    </row>
    <row r="128" spans="1:1" ht="13" x14ac:dyDescent="0.15">
      <c r="A128" s="69"/>
    </row>
    <row r="129" spans="1:1" ht="13" x14ac:dyDescent="0.15">
      <c r="A129" s="69"/>
    </row>
    <row r="130" spans="1:1" ht="13" x14ac:dyDescent="0.15">
      <c r="A130" s="69"/>
    </row>
    <row r="131" spans="1:1" ht="13" x14ac:dyDescent="0.15">
      <c r="A131" s="69"/>
    </row>
    <row r="132" spans="1:1" ht="13" x14ac:dyDescent="0.15">
      <c r="A132" s="69"/>
    </row>
    <row r="133" spans="1:1" ht="13" x14ac:dyDescent="0.15">
      <c r="A133" s="69"/>
    </row>
    <row r="134" spans="1:1" ht="13" x14ac:dyDescent="0.15">
      <c r="A134" s="69"/>
    </row>
    <row r="135" spans="1:1" ht="13" x14ac:dyDescent="0.15">
      <c r="A135" s="69"/>
    </row>
    <row r="136" spans="1:1" ht="13" x14ac:dyDescent="0.15">
      <c r="A136" s="69"/>
    </row>
    <row r="137" spans="1:1" ht="13" x14ac:dyDescent="0.15">
      <c r="A137" s="69"/>
    </row>
    <row r="138" spans="1:1" ht="13" x14ac:dyDescent="0.15">
      <c r="A138" s="69"/>
    </row>
    <row r="139" spans="1:1" ht="13" x14ac:dyDescent="0.15">
      <c r="A139" s="69"/>
    </row>
    <row r="140" spans="1:1" ht="13" x14ac:dyDescent="0.15">
      <c r="A140" s="69"/>
    </row>
    <row r="141" spans="1:1" ht="13" x14ac:dyDescent="0.15">
      <c r="A141" s="69"/>
    </row>
    <row r="142" spans="1:1" ht="13" x14ac:dyDescent="0.15">
      <c r="A142" s="69"/>
    </row>
    <row r="143" spans="1:1" ht="13" x14ac:dyDescent="0.15">
      <c r="A143" s="69"/>
    </row>
    <row r="144" spans="1:1" ht="13" x14ac:dyDescent="0.15">
      <c r="A144" s="69"/>
    </row>
    <row r="145" spans="1:1" ht="13" x14ac:dyDescent="0.15">
      <c r="A145" s="69"/>
    </row>
    <row r="146" spans="1:1" ht="13" x14ac:dyDescent="0.15">
      <c r="A146" s="69"/>
    </row>
    <row r="147" spans="1:1" ht="13" x14ac:dyDescent="0.15">
      <c r="A147" s="69"/>
    </row>
    <row r="148" spans="1:1" ht="13" x14ac:dyDescent="0.15">
      <c r="A148" s="69"/>
    </row>
    <row r="149" spans="1:1" ht="13" x14ac:dyDescent="0.15">
      <c r="A149" s="69"/>
    </row>
    <row r="150" spans="1:1" ht="13" x14ac:dyDescent="0.15">
      <c r="A150" s="69"/>
    </row>
    <row r="151" spans="1:1" ht="13" x14ac:dyDescent="0.15">
      <c r="A151" s="69"/>
    </row>
    <row r="152" spans="1:1" ht="13" x14ac:dyDescent="0.15">
      <c r="A152" s="69"/>
    </row>
    <row r="153" spans="1:1" ht="13" x14ac:dyDescent="0.15">
      <c r="A153" s="69"/>
    </row>
    <row r="154" spans="1:1" ht="13" x14ac:dyDescent="0.15">
      <c r="A154" s="69"/>
    </row>
    <row r="155" spans="1:1" ht="13" x14ac:dyDescent="0.15">
      <c r="A155" s="69"/>
    </row>
    <row r="156" spans="1:1" ht="13" x14ac:dyDescent="0.15">
      <c r="A156" s="69"/>
    </row>
    <row r="157" spans="1:1" ht="13" x14ac:dyDescent="0.15">
      <c r="A157" s="69"/>
    </row>
    <row r="158" spans="1:1" ht="13" x14ac:dyDescent="0.15">
      <c r="A158" s="69"/>
    </row>
    <row r="159" spans="1:1" ht="13" x14ac:dyDescent="0.15">
      <c r="A159" s="69"/>
    </row>
    <row r="160" spans="1:1" ht="13" x14ac:dyDescent="0.15">
      <c r="A160" s="69"/>
    </row>
    <row r="161" spans="1:1" ht="13" x14ac:dyDescent="0.15">
      <c r="A161" s="69"/>
    </row>
    <row r="162" spans="1:1" ht="13" x14ac:dyDescent="0.15">
      <c r="A162" s="69"/>
    </row>
    <row r="163" spans="1:1" ht="13" x14ac:dyDescent="0.15">
      <c r="A163" s="69"/>
    </row>
    <row r="164" spans="1:1" ht="13" x14ac:dyDescent="0.15">
      <c r="A164" s="69"/>
    </row>
    <row r="165" spans="1:1" ht="13" x14ac:dyDescent="0.15">
      <c r="A165" s="69"/>
    </row>
    <row r="166" spans="1:1" ht="13" x14ac:dyDescent="0.15">
      <c r="A166" s="69"/>
    </row>
    <row r="167" spans="1:1" ht="13" x14ac:dyDescent="0.15">
      <c r="A167" s="69"/>
    </row>
    <row r="168" spans="1:1" ht="13" x14ac:dyDescent="0.15">
      <c r="A168" s="69"/>
    </row>
    <row r="169" spans="1:1" ht="13" x14ac:dyDescent="0.15">
      <c r="A169" s="69"/>
    </row>
    <row r="170" spans="1:1" ht="13" x14ac:dyDescent="0.15">
      <c r="A170" s="69"/>
    </row>
    <row r="171" spans="1:1" ht="13" x14ac:dyDescent="0.15">
      <c r="A171" s="69"/>
    </row>
    <row r="172" spans="1:1" ht="13" x14ac:dyDescent="0.15">
      <c r="A172" s="69"/>
    </row>
    <row r="173" spans="1:1" ht="13" x14ac:dyDescent="0.15">
      <c r="A173" s="69"/>
    </row>
    <row r="174" spans="1:1" ht="13" x14ac:dyDescent="0.15">
      <c r="A174" s="69"/>
    </row>
    <row r="175" spans="1:1" ht="13" x14ac:dyDescent="0.15">
      <c r="A175" s="69"/>
    </row>
    <row r="176" spans="1:1" ht="13" x14ac:dyDescent="0.15">
      <c r="A176" s="69"/>
    </row>
    <row r="177" spans="1:1" ht="13" x14ac:dyDescent="0.15">
      <c r="A177" s="69"/>
    </row>
    <row r="178" spans="1:1" ht="13" x14ac:dyDescent="0.15">
      <c r="A178" s="69"/>
    </row>
    <row r="179" spans="1:1" ht="13" x14ac:dyDescent="0.15">
      <c r="A179" s="69"/>
    </row>
    <row r="180" spans="1:1" ht="13" x14ac:dyDescent="0.15">
      <c r="A180" s="69"/>
    </row>
    <row r="181" spans="1:1" ht="13" x14ac:dyDescent="0.15">
      <c r="A181" s="69"/>
    </row>
    <row r="182" spans="1:1" ht="13" x14ac:dyDescent="0.15">
      <c r="A182" s="69"/>
    </row>
    <row r="183" spans="1:1" ht="13" x14ac:dyDescent="0.15">
      <c r="A183" s="69"/>
    </row>
    <row r="184" spans="1:1" ht="13" x14ac:dyDescent="0.15">
      <c r="A184" s="69"/>
    </row>
    <row r="185" spans="1:1" ht="13" x14ac:dyDescent="0.15">
      <c r="A185" s="69"/>
    </row>
    <row r="186" spans="1:1" ht="13" x14ac:dyDescent="0.15">
      <c r="A186" s="69"/>
    </row>
    <row r="187" spans="1:1" ht="13" x14ac:dyDescent="0.15">
      <c r="A187" s="69"/>
    </row>
    <row r="188" spans="1:1" ht="13" x14ac:dyDescent="0.15">
      <c r="A188" s="69"/>
    </row>
    <row r="189" spans="1:1" ht="13" x14ac:dyDescent="0.15">
      <c r="A189" s="69"/>
    </row>
    <row r="190" spans="1:1" ht="13" x14ac:dyDescent="0.15">
      <c r="A190" s="69"/>
    </row>
    <row r="191" spans="1:1" ht="13" x14ac:dyDescent="0.15">
      <c r="A191" s="69"/>
    </row>
    <row r="192" spans="1:1" ht="13" x14ac:dyDescent="0.15">
      <c r="A192" s="69"/>
    </row>
    <row r="193" spans="1:1" ht="13" x14ac:dyDescent="0.15">
      <c r="A193" s="69"/>
    </row>
    <row r="194" spans="1:1" ht="13" x14ac:dyDescent="0.15">
      <c r="A194" s="69"/>
    </row>
    <row r="195" spans="1:1" ht="13" x14ac:dyDescent="0.15">
      <c r="A195" s="69"/>
    </row>
    <row r="196" spans="1:1" ht="13" x14ac:dyDescent="0.15">
      <c r="A196" s="69"/>
    </row>
    <row r="197" spans="1:1" ht="13" x14ac:dyDescent="0.15">
      <c r="A197" s="69"/>
    </row>
    <row r="198" spans="1:1" ht="13" x14ac:dyDescent="0.15">
      <c r="A198" s="69"/>
    </row>
    <row r="199" spans="1:1" ht="13" x14ac:dyDescent="0.15">
      <c r="A199" s="69"/>
    </row>
    <row r="200" spans="1:1" ht="13" x14ac:dyDescent="0.15">
      <c r="A200" s="69"/>
    </row>
    <row r="201" spans="1:1" ht="13" x14ac:dyDescent="0.15">
      <c r="A201" s="69"/>
    </row>
    <row r="202" spans="1:1" ht="13" x14ac:dyDescent="0.15">
      <c r="A202" s="69"/>
    </row>
    <row r="203" spans="1:1" ht="13" x14ac:dyDescent="0.15">
      <c r="A203" s="69"/>
    </row>
    <row r="204" spans="1:1" ht="13" x14ac:dyDescent="0.15">
      <c r="A204" s="69"/>
    </row>
    <row r="205" spans="1:1" ht="13" x14ac:dyDescent="0.15">
      <c r="A205" s="69"/>
    </row>
    <row r="206" spans="1:1" ht="13" x14ac:dyDescent="0.15">
      <c r="A206" s="69"/>
    </row>
    <row r="207" spans="1:1" ht="13" x14ac:dyDescent="0.15">
      <c r="A207" s="69"/>
    </row>
    <row r="208" spans="1:1" ht="13" x14ac:dyDescent="0.15">
      <c r="A208" s="69"/>
    </row>
    <row r="209" spans="1:1" ht="13" x14ac:dyDescent="0.15">
      <c r="A209" s="69"/>
    </row>
    <row r="210" spans="1:1" ht="13" x14ac:dyDescent="0.15">
      <c r="A210" s="69"/>
    </row>
    <row r="211" spans="1:1" ht="13" x14ac:dyDescent="0.15">
      <c r="A211" s="69"/>
    </row>
    <row r="212" spans="1:1" ht="13" x14ac:dyDescent="0.15">
      <c r="A212" s="69"/>
    </row>
    <row r="213" spans="1:1" ht="13" x14ac:dyDescent="0.15">
      <c r="A213" s="69"/>
    </row>
    <row r="214" spans="1:1" ht="13" x14ac:dyDescent="0.15">
      <c r="A214" s="69"/>
    </row>
    <row r="215" spans="1:1" ht="13" x14ac:dyDescent="0.15">
      <c r="A215" s="69"/>
    </row>
    <row r="216" spans="1:1" ht="13" x14ac:dyDescent="0.15">
      <c r="A216" s="69"/>
    </row>
    <row r="217" spans="1:1" ht="13" x14ac:dyDescent="0.15">
      <c r="A217" s="69"/>
    </row>
    <row r="218" spans="1:1" ht="13" x14ac:dyDescent="0.15">
      <c r="A218" s="69"/>
    </row>
    <row r="219" spans="1:1" ht="13" x14ac:dyDescent="0.15">
      <c r="A219" s="69"/>
    </row>
    <row r="220" spans="1:1" ht="13" x14ac:dyDescent="0.15">
      <c r="A220" s="69"/>
    </row>
    <row r="221" spans="1:1" ht="13" x14ac:dyDescent="0.15">
      <c r="A221" s="69"/>
    </row>
    <row r="222" spans="1:1" ht="13" x14ac:dyDescent="0.15">
      <c r="A222" s="69"/>
    </row>
    <row r="223" spans="1:1" ht="13" x14ac:dyDescent="0.15">
      <c r="A223" s="69"/>
    </row>
    <row r="224" spans="1:1" ht="13" x14ac:dyDescent="0.15">
      <c r="A224" s="69"/>
    </row>
    <row r="225" spans="1:1" ht="13" x14ac:dyDescent="0.15">
      <c r="A225" s="69"/>
    </row>
    <row r="226" spans="1:1" ht="13" x14ac:dyDescent="0.15">
      <c r="A226" s="69"/>
    </row>
    <row r="227" spans="1:1" ht="13" x14ac:dyDescent="0.15">
      <c r="A227" s="69"/>
    </row>
    <row r="228" spans="1:1" ht="13" x14ac:dyDescent="0.15">
      <c r="A228" s="69"/>
    </row>
    <row r="229" spans="1:1" ht="13" x14ac:dyDescent="0.15">
      <c r="A229" s="69"/>
    </row>
    <row r="230" spans="1:1" ht="13" x14ac:dyDescent="0.15">
      <c r="A230" s="69"/>
    </row>
    <row r="231" spans="1:1" ht="13" x14ac:dyDescent="0.15">
      <c r="A231" s="69"/>
    </row>
    <row r="232" spans="1:1" ht="13" x14ac:dyDescent="0.15">
      <c r="A232" s="69"/>
    </row>
    <row r="233" spans="1:1" ht="13" x14ac:dyDescent="0.15">
      <c r="A233" s="69"/>
    </row>
    <row r="234" spans="1:1" ht="13" x14ac:dyDescent="0.15">
      <c r="A234" s="69"/>
    </row>
    <row r="235" spans="1:1" ht="13" x14ac:dyDescent="0.15">
      <c r="A235" s="69"/>
    </row>
    <row r="236" spans="1:1" ht="13" x14ac:dyDescent="0.15">
      <c r="A236" s="69"/>
    </row>
    <row r="237" spans="1:1" ht="13" x14ac:dyDescent="0.15">
      <c r="A237" s="69"/>
    </row>
    <row r="238" spans="1:1" ht="13" x14ac:dyDescent="0.15">
      <c r="A238" s="69"/>
    </row>
    <row r="239" spans="1:1" ht="13" x14ac:dyDescent="0.15">
      <c r="A239" s="69"/>
    </row>
    <row r="240" spans="1:1" ht="13" x14ac:dyDescent="0.15">
      <c r="A240" s="69"/>
    </row>
    <row r="241" spans="1:1" ht="13" x14ac:dyDescent="0.15">
      <c r="A241" s="69"/>
    </row>
    <row r="242" spans="1:1" ht="13" x14ac:dyDescent="0.15">
      <c r="A242" s="69"/>
    </row>
    <row r="243" spans="1:1" ht="13" x14ac:dyDescent="0.15">
      <c r="A243" s="69"/>
    </row>
    <row r="244" spans="1:1" ht="13" x14ac:dyDescent="0.15">
      <c r="A244" s="69"/>
    </row>
    <row r="245" spans="1:1" ht="13" x14ac:dyDescent="0.15">
      <c r="A245" s="69"/>
    </row>
    <row r="246" spans="1:1" ht="13" x14ac:dyDescent="0.15">
      <c r="A246" s="69"/>
    </row>
    <row r="247" spans="1:1" ht="13" x14ac:dyDescent="0.15">
      <c r="A247" s="69"/>
    </row>
    <row r="248" spans="1:1" ht="13" x14ac:dyDescent="0.15">
      <c r="A248" s="69"/>
    </row>
    <row r="249" spans="1:1" ht="13" x14ac:dyDescent="0.15">
      <c r="A249" s="69"/>
    </row>
    <row r="250" spans="1:1" ht="13" x14ac:dyDescent="0.15">
      <c r="A250" s="69"/>
    </row>
    <row r="251" spans="1:1" ht="13" x14ac:dyDescent="0.15">
      <c r="A251" s="69"/>
    </row>
    <row r="252" spans="1:1" ht="13" x14ac:dyDescent="0.15">
      <c r="A252" s="69"/>
    </row>
    <row r="253" spans="1:1" ht="13" x14ac:dyDescent="0.15">
      <c r="A253" s="69"/>
    </row>
    <row r="254" spans="1:1" ht="13" x14ac:dyDescent="0.15">
      <c r="A254" s="69"/>
    </row>
    <row r="255" spans="1:1" ht="13" x14ac:dyDescent="0.15">
      <c r="A255" s="69"/>
    </row>
    <row r="256" spans="1:1" ht="13" x14ac:dyDescent="0.15">
      <c r="A256" s="69"/>
    </row>
    <row r="257" spans="1:1" ht="13" x14ac:dyDescent="0.15">
      <c r="A257" s="69"/>
    </row>
    <row r="258" spans="1:1" ht="13" x14ac:dyDescent="0.15">
      <c r="A258" s="69"/>
    </row>
    <row r="259" spans="1:1" ht="13" x14ac:dyDescent="0.15">
      <c r="A259" s="69"/>
    </row>
    <row r="260" spans="1:1" ht="13" x14ac:dyDescent="0.15">
      <c r="A260" s="69"/>
    </row>
    <row r="261" spans="1:1" ht="13" x14ac:dyDescent="0.15">
      <c r="A261" s="69"/>
    </row>
    <row r="262" spans="1:1" ht="13" x14ac:dyDescent="0.15">
      <c r="A262" s="69"/>
    </row>
    <row r="263" spans="1:1" ht="13" x14ac:dyDescent="0.15">
      <c r="A263" s="69"/>
    </row>
    <row r="264" spans="1:1" ht="13" x14ac:dyDescent="0.15">
      <c r="A264" s="69"/>
    </row>
    <row r="265" spans="1:1" ht="13" x14ac:dyDescent="0.15">
      <c r="A265" s="69"/>
    </row>
    <row r="266" spans="1:1" ht="13" x14ac:dyDescent="0.15">
      <c r="A266" s="69"/>
    </row>
    <row r="267" spans="1:1" ht="13" x14ac:dyDescent="0.15">
      <c r="A267" s="69"/>
    </row>
    <row r="268" spans="1:1" ht="13" x14ac:dyDescent="0.15">
      <c r="A268" s="69"/>
    </row>
    <row r="269" spans="1:1" ht="13" x14ac:dyDescent="0.15">
      <c r="A269" s="69"/>
    </row>
    <row r="270" spans="1:1" ht="13" x14ac:dyDescent="0.15">
      <c r="A270" s="69"/>
    </row>
    <row r="271" spans="1:1" ht="13" x14ac:dyDescent="0.15">
      <c r="A271" s="69"/>
    </row>
    <row r="272" spans="1:1" ht="13" x14ac:dyDescent="0.15">
      <c r="A272" s="69"/>
    </row>
    <row r="273" spans="1:1" ht="13" x14ac:dyDescent="0.15">
      <c r="A273" s="69"/>
    </row>
    <row r="274" spans="1:1" ht="13" x14ac:dyDescent="0.15">
      <c r="A274" s="69"/>
    </row>
    <row r="275" spans="1:1" ht="13" x14ac:dyDescent="0.15">
      <c r="A275" s="69"/>
    </row>
    <row r="276" spans="1:1" ht="13" x14ac:dyDescent="0.15">
      <c r="A276" s="69"/>
    </row>
    <row r="277" spans="1:1" ht="13" x14ac:dyDescent="0.15">
      <c r="A277" s="69"/>
    </row>
    <row r="278" spans="1:1" ht="13" x14ac:dyDescent="0.15">
      <c r="A278" s="69"/>
    </row>
    <row r="279" spans="1:1" ht="13" x14ac:dyDescent="0.15">
      <c r="A279" s="69"/>
    </row>
    <row r="280" spans="1:1" ht="13" x14ac:dyDescent="0.15">
      <c r="A280" s="69"/>
    </row>
    <row r="281" spans="1:1" ht="13" x14ac:dyDescent="0.15">
      <c r="A281" s="69"/>
    </row>
    <row r="282" spans="1:1" ht="13" x14ac:dyDescent="0.15">
      <c r="A282" s="69"/>
    </row>
    <row r="283" spans="1:1" ht="13" x14ac:dyDescent="0.15">
      <c r="A283" s="69"/>
    </row>
    <row r="284" spans="1:1" ht="13" x14ac:dyDescent="0.15">
      <c r="A284" s="69"/>
    </row>
    <row r="285" spans="1:1" ht="13" x14ac:dyDescent="0.15">
      <c r="A285" s="69"/>
    </row>
    <row r="286" spans="1:1" ht="13" x14ac:dyDescent="0.15">
      <c r="A286" s="69"/>
    </row>
    <row r="287" spans="1:1" ht="13" x14ac:dyDescent="0.15">
      <c r="A287" s="69"/>
    </row>
    <row r="288" spans="1:1" ht="13" x14ac:dyDescent="0.15">
      <c r="A288" s="69"/>
    </row>
    <row r="289" spans="1:1" ht="13" x14ac:dyDescent="0.15">
      <c r="A289" s="69"/>
    </row>
    <row r="290" spans="1:1" ht="13" x14ac:dyDescent="0.15">
      <c r="A290" s="69"/>
    </row>
    <row r="291" spans="1:1" ht="13" x14ac:dyDescent="0.15">
      <c r="A291" s="69"/>
    </row>
    <row r="292" spans="1:1" ht="13" x14ac:dyDescent="0.15">
      <c r="A292" s="69"/>
    </row>
    <row r="293" spans="1:1" ht="13" x14ac:dyDescent="0.15">
      <c r="A293" s="69"/>
    </row>
    <row r="294" spans="1:1" ht="13" x14ac:dyDescent="0.15">
      <c r="A294" s="69"/>
    </row>
    <row r="295" spans="1:1" ht="13" x14ac:dyDescent="0.15">
      <c r="A295" s="69"/>
    </row>
    <row r="296" spans="1:1" ht="13" x14ac:dyDescent="0.15">
      <c r="A296" s="69"/>
    </row>
    <row r="297" spans="1:1" ht="13" x14ac:dyDescent="0.15">
      <c r="A297" s="69"/>
    </row>
    <row r="298" spans="1:1" ht="13" x14ac:dyDescent="0.15">
      <c r="A298" s="69"/>
    </row>
    <row r="299" spans="1:1" ht="13" x14ac:dyDescent="0.15">
      <c r="A299" s="69"/>
    </row>
    <row r="300" spans="1:1" ht="13" x14ac:dyDescent="0.15">
      <c r="A300" s="69"/>
    </row>
    <row r="301" spans="1:1" ht="13" x14ac:dyDescent="0.15">
      <c r="A301" s="69"/>
    </row>
    <row r="302" spans="1:1" ht="13" x14ac:dyDescent="0.15">
      <c r="A302" s="69"/>
    </row>
    <row r="303" spans="1:1" ht="13" x14ac:dyDescent="0.15">
      <c r="A303" s="69"/>
    </row>
    <row r="304" spans="1:1" ht="13" x14ac:dyDescent="0.15">
      <c r="A304" s="69"/>
    </row>
    <row r="305" spans="1:1" ht="13" x14ac:dyDescent="0.15">
      <c r="A305" s="69"/>
    </row>
    <row r="306" spans="1:1" ht="13" x14ac:dyDescent="0.15">
      <c r="A306" s="69"/>
    </row>
    <row r="307" spans="1:1" ht="13" x14ac:dyDescent="0.15">
      <c r="A307" s="69"/>
    </row>
    <row r="308" spans="1:1" ht="13" x14ac:dyDescent="0.15">
      <c r="A308" s="69"/>
    </row>
    <row r="309" spans="1:1" ht="13" x14ac:dyDescent="0.15">
      <c r="A309" s="69"/>
    </row>
    <row r="310" spans="1:1" ht="13" x14ac:dyDescent="0.15">
      <c r="A310" s="69"/>
    </row>
    <row r="311" spans="1:1" ht="13" x14ac:dyDescent="0.15">
      <c r="A311" s="69"/>
    </row>
    <row r="312" spans="1:1" ht="13" x14ac:dyDescent="0.15">
      <c r="A312" s="69"/>
    </row>
    <row r="313" spans="1:1" ht="13" x14ac:dyDescent="0.15">
      <c r="A313" s="69"/>
    </row>
    <row r="314" spans="1:1" ht="13" x14ac:dyDescent="0.15">
      <c r="A314" s="69"/>
    </row>
    <row r="315" spans="1:1" ht="13" x14ac:dyDescent="0.15">
      <c r="A315" s="69"/>
    </row>
    <row r="316" spans="1:1" ht="13" x14ac:dyDescent="0.15">
      <c r="A316" s="69"/>
    </row>
    <row r="317" spans="1:1" ht="13" x14ac:dyDescent="0.15">
      <c r="A317" s="69"/>
    </row>
    <row r="318" spans="1:1" ht="13" x14ac:dyDescent="0.15">
      <c r="A318" s="69"/>
    </row>
    <row r="319" spans="1:1" ht="13" x14ac:dyDescent="0.15">
      <c r="A319" s="69"/>
    </row>
    <row r="320" spans="1:1" ht="13" x14ac:dyDescent="0.15">
      <c r="A320" s="69"/>
    </row>
    <row r="321" spans="1:1" ht="13" x14ac:dyDescent="0.15">
      <c r="A321" s="69"/>
    </row>
    <row r="322" spans="1:1" ht="13" x14ac:dyDescent="0.15">
      <c r="A322" s="69"/>
    </row>
    <row r="323" spans="1:1" ht="13" x14ac:dyDescent="0.15">
      <c r="A323" s="69"/>
    </row>
    <row r="324" spans="1:1" ht="13" x14ac:dyDescent="0.15">
      <c r="A324" s="69"/>
    </row>
    <row r="325" spans="1:1" ht="13" x14ac:dyDescent="0.15">
      <c r="A325" s="69"/>
    </row>
    <row r="326" spans="1:1" ht="13" x14ac:dyDescent="0.15">
      <c r="A326" s="69"/>
    </row>
    <row r="327" spans="1:1" ht="13" x14ac:dyDescent="0.15">
      <c r="A327" s="69"/>
    </row>
    <row r="328" spans="1:1" ht="13" x14ac:dyDescent="0.15">
      <c r="A328" s="69"/>
    </row>
    <row r="329" spans="1:1" ht="13" x14ac:dyDescent="0.15">
      <c r="A329" s="69"/>
    </row>
    <row r="330" spans="1:1" ht="13" x14ac:dyDescent="0.15">
      <c r="A330" s="69"/>
    </row>
    <row r="331" spans="1:1" ht="13" x14ac:dyDescent="0.15">
      <c r="A331" s="69"/>
    </row>
    <row r="332" spans="1:1" ht="13" x14ac:dyDescent="0.15">
      <c r="A332" s="69"/>
    </row>
    <row r="333" spans="1:1" ht="13" x14ac:dyDescent="0.15">
      <c r="A333" s="69"/>
    </row>
    <row r="334" spans="1:1" ht="13" x14ac:dyDescent="0.15">
      <c r="A334" s="69"/>
    </row>
    <row r="335" spans="1:1" ht="13" x14ac:dyDescent="0.15">
      <c r="A335" s="69"/>
    </row>
    <row r="336" spans="1:1" ht="13" x14ac:dyDescent="0.15">
      <c r="A336" s="69"/>
    </row>
    <row r="337" spans="1:1" ht="13" x14ac:dyDescent="0.15">
      <c r="A337" s="69"/>
    </row>
    <row r="338" spans="1:1" ht="13" x14ac:dyDescent="0.15">
      <c r="A338" s="69"/>
    </row>
    <row r="339" spans="1:1" ht="13" x14ac:dyDescent="0.15">
      <c r="A339" s="69"/>
    </row>
    <row r="340" spans="1:1" ht="13" x14ac:dyDescent="0.15">
      <c r="A340" s="69"/>
    </row>
    <row r="341" spans="1:1" ht="13" x14ac:dyDescent="0.15">
      <c r="A341" s="69"/>
    </row>
    <row r="342" spans="1:1" ht="13" x14ac:dyDescent="0.15">
      <c r="A342" s="69"/>
    </row>
    <row r="343" spans="1:1" ht="13" x14ac:dyDescent="0.15">
      <c r="A343" s="69"/>
    </row>
    <row r="344" spans="1:1" ht="13" x14ac:dyDescent="0.15">
      <c r="A344" s="69"/>
    </row>
    <row r="345" spans="1:1" ht="13" x14ac:dyDescent="0.15">
      <c r="A345" s="69"/>
    </row>
    <row r="346" spans="1:1" ht="13" x14ac:dyDescent="0.15">
      <c r="A346" s="69"/>
    </row>
    <row r="347" spans="1:1" ht="13" x14ac:dyDescent="0.15">
      <c r="A347" s="69"/>
    </row>
    <row r="348" spans="1:1" ht="13" x14ac:dyDescent="0.15">
      <c r="A348" s="69"/>
    </row>
    <row r="349" spans="1:1" ht="13" x14ac:dyDescent="0.15">
      <c r="A349" s="69"/>
    </row>
    <row r="350" spans="1:1" ht="13" x14ac:dyDescent="0.15">
      <c r="A350" s="69"/>
    </row>
    <row r="351" spans="1:1" ht="13" x14ac:dyDescent="0.15">
      <c r="A351" s="69"/>
    </row>
    <row r="352" spans="1:1" ht="13" x14ac:dyDescent="0.15">
      <c r="A352" s="69"/>
    </row>
    <row r="353" spans="1:1" ht="13" x14ac:dyDescent="0.15">
      <c r="A353" s="69"/>
    </row>
    <row r="354" spans="1:1" ht="13" x14ac:dyDescent="0.15">
      <c r="A354" s="69"/>
    </row>
    <row r="355" spans="1:1" ht="13" x14ac:dyDescent="0.15">
      <c r="A355" s="69"/>
    </row>
    <row r="356" spans="1:1" ht="13" x14ac:dyDescent="0.15">
      <c r="A356" s="69"/>
    </row>
    <row r="357" spans="1:1" ht="13" x14ac:dyDescent="0.15">
      <c r="A357" s="69"/>
    </row>
    <row r="358" spans="1:1" ht="13" x14ac:dyDescent="0.15">
      <c r="A358" s="69"/>
    </row>
    <row r="359" spans="1:1" ht="13" x14ac:dyDescent="0.15">
      <c r="A359" s="69"/>
    </row>
    <row r="360" spans="1:1" ht="13" x14ac:dyDescent="0.15">
      <c r="A360" s="69"/>
    </row>
    <row r="361" spans="1:1" ht="13" x14ac:dyDescent="0.15">
      <c r="A361" s="69"/>
    </row>
    <row r="362" spans="1:1" ht="13" x14ac:dyDescent="0.15">
      <c r="A362" s="69"/>
    </row>
    <row r="363" spans="1:1" ht="13" x14ac:dyDescent="0.15">
      <c r="A363" s="69"/>
    </row>
    <row r="364" spans="1:1" ht="13" x14ac:dyDescent="0.15">
      <c r="A364" s="69"/>
    </row>
    <row r="365" spans="1:1" ht="13" x14ac:dyDescent="0.15">
      <c r="A365" s="69"/>
    </row>
    <row r="366" spans="1:1" ht="13" x14ac:dyDescent="0.15">
      <c r="A366" s="69"/>
    </row>
    <row r="367" spans="1:1" ht="13" x14ac:dyDescent="0.15">
      <c r="A367" s="69"/>
    </row>
    <row r="368" spans="1:1" ht="13" x14ac:dyDescent="0.15">
      <c r="A368" s="69"/>
    </row>
    <row r="369" spans="1:1" ht="13" x14ac:dyDescent="0.15">
      <c r="A369" s="69"/>
    </row>
    <row r="370" spans="1:1" ht="13" x14ac:dyDescent="0.15">
      <c r="A370" s="69"/>
    </row>
    <row r="371" spans="1:1" ht="13" x14ac:dyDescent="0.15">
      <c r="A371" s="69"/>
    </row>
    <row r="372" spans="1:1" ht="13" x14ac:dyDescent="0.15">
      <c r="A372" s="69"/>
    </row>
    <row r="373" spans="1:1" ht="13" x14ac:dyDescent="0.15">
      <c r="A373" s="69"/>
    </row>
    <row r="374" spans="1:1" ht="13" x14ac:dyDescent="0.15">
      <c r="A374" s="69"/>
    </row>
    <row r="375" spans="1:1" ht="13" x14ac:dyDescent="0.15">
      <c r="A375" s="69"/>
    </row>
    <row r="376" spans="1:1" ht="13" x14ac:dyDescent="0.15">
      <c r="A376" s="69"/>
    </row>
    <row r="377" spans="1:1" ht="13" x14ac:dyDescent="0.15">
      <c r="A377" s="69"/>
    </row>
    <row r="378" spans="1:1" ht="13" x14ac:dyDescent="0.15">
      <c r="A378" s="69"/>
    </row>
    <row r="379" spans="1:1" ht="13" x14ac:dyDescent="0.15">
      <c r="A379" s="69"/>
    </row>
    <row r="380" spans="1:1" ht="13" x14ac:dyDescent="0.15">
      <c r="A380" s="69"/>
    </row>
    <row r="381" spans="1:1" ht="13" x14ac:dyDescent="0.15">
      <c r="A381" s="69"/>
    </row>
    <row r="382" spans="1:1" ht="13" x14ac:dyDescent="0.15">
      <c r="A382" s="69"/>
    </row>
    <row r="383" spans="1:1" ht="13" x14ac:dyDescent="0.15">
      <c r="A383" s="69"/>
    </row>
    <row r="384" spans="1:1" ht="13" x14ac:dyDescent="0.15">
      <c r="A384" s="69"/>
    </row>
    <row r="385" spans="1:1" ht="13" x14ac:dyDescent="0.15">
      <c r="A385" s="69"/>
    </row>
    <row r="386" spans="1:1" ht="13" x14ac:dyDescent="0.15">
      <c r="A386" s="69"/>
    </row>
    <row r="387" spans="1:1" ht="13" x14ac:dyDescent="0.15">
      <c r="A387" s="69"/>
    </row>
    <row r="388" spans="1:1" ht="13" x14ac:dyDescent="0.15">
      <c r="A388" s="69"/>
    </row>
    <row r="389" spans="1:1" ht="13" x14ac:dyDescent="0.15">
      <c r="A389" s="69"/>
    </row>
    <row r="390" spans="1:1" ht="13" x14ac:dyDescent="0.15">
      <c r="A390" s="69"/>
    </row>
    <row r="391" spans="1:1" ht="13" x14ac:dyDescent="0.15">
      <c r="A391" s="69"/>
    </row>
    <row r="392" spans="1:1" ht="13" x14ac:dyDescent="0.15">
      <c r="A392" s="69"/>
    </row>
    <row r="393" spans="1:1" ht="13" x14ac:dyDescent="0.15">
      <c r="A393" s="69"/>
    </row>
    <row r="394" spans="1:1" ht="13" x14ac:dyDescent="0.15">
      <c r="A394" s="69"/>
    </row>
    <row r="395" spans="1:1" ht="13" x14ac:dyDescent="0.15">
      <c r="A395" s="69"/>
    </row>
    <row r="396" spans="1:1" ht="13" x14ac:dyDescent="0.15">
      <c r="A396" s="69"/>
    </row>
    <row r="397" spans="1:1" ht="13" x14ac:dyDescent="0.15">
      <c r="A397" s="69"/>
    </row>
    <row r="398" spans="1:1" ht="13" x14ac:dyDescent="0.15">
      <c r="A398" s="69"/>
    </row>
    <row r="399" spans="1:1" ht="13" x14ac:dyDescent="0.15">
      <c r="A399" s="69"/>
    </row>
    <row r="400" spans="1:1" ht="13" x14ac:dyDescent="0.15">
      <c r="A400" s="69"/>
    </row>
    <row r="401" spans="1:1" ht="13" x14ac:dyDescent="0.15">
      <c r="A401" s="69"/>
    </row>
    <row r="402" spans="1:1" ht="13" x14ac:dyDescent="0.15">
      <c r="A402" s="69"/>
    </row>
    <row r="403" spans="1:1" ht="13" x14ac:dyDescent="0.15">
      <c r="A403" s="69"/>
    </row>
    <row r="404" spans="1:1" ht="13" x14ac:dyDescent="0.15">
      <c r="A404" s="69"/>
    </row>
    <row r="405" spans="1:1" ht="13" x14ac:dyDescent="0.15">
      <c r="A405" s="69"/>
    </row>
    <row r="406" spans="1:1" ht="13" x14ac:dyDescent="0.15">
      <c r="A406" s="69"/>
    </row>
    <row r="407" spans="1:1" ht="13" x14ac:dyDescent="0.15">
      <c r="A407" s="69"/>
    </row>
    <row r="408" spans="1:1" ht="13" x14ac:dyDescent="0.15">
      <c r="A408" s="69"/>
    </row>
    <row r="409" spans="1:1" ht="13" x14ac:dyDescent="0.15">
      <c r="A409" s="69"/>
    </row>
    <row r="410" spans="1:1" ht="13" x14ac:dyDescent="0.15">
      <c r="A410" s="69"/>
    </row>
    <row r="411" spans="1:1" ht="13" x14ac:dyDescent="0.15">
      <c r="A411" s="69"/>
    </row>
    <row r="412" spans="1:1" ht="13" x14ac:dyDescent="0.15">
      <c r="A412" s="69"/>
    </row>
    <row r="413" spans="1:1" ht="13" x14ac:dyDescent="0.15">
      <c r="A413" s="69"/>
    </row>
    <row r="414" spans="1:1" ht="13" x14ac:dyDescent="0.15">
      <c r="A414" s="69"/>
    </row>
    <row r="415" spans="1:1" ht="13" x14ac:dyDescent="0.15">
      <c r="A415" s="69"/>
    </row>
    <row r="416" spans="1:1" ht="13" x14ac:dyDescent="0.15">
      <c r="A416" s="69"/>
    </row>
    <row r="417" spans="1:1" ht="13" x14ac:dyDescent="0.15">
      <c r="A417" s="69"/>
    </row>
    <row r="418" spans="1:1" ht="13" x14ac:dyDescent="0.15">
      <c r="A418" s="69"/>
    </row>
    <row r="419" spans="1:1" ht="13" x14ac:dyDescent="0.15">
      <c r="A419" s="69"/>
    </row>
    <row r="420" spans="1:1" ht="13" x14ac:dyDescent="0.15">
      <c r="A420" s="69"/>
    </row>
    <row r="421" spans="1:1" ht="13" x14ac:dyDescent="0.15">
      <c r="A421" s="69"/>
    </row>
    <row r="422" spans="1:1" ht="13" x14ac:dyDescent="0.15">
      <c r="A422" s="69"/>
    </row>
    <row r="423" spans="1:1" ht="13" x14ac:dyDescent="0.15">
      <c r="A423" s="69"/>
    </row>
    <row r="424" spans="1:1" ht="13" x14ac:dyDescent="0.15">
      <c r="A424" s="69"/>
    </row>
    <row r="425" spans="1:1" ht="13" x14ac:dyDescent="0.15">
      <c r="A425" s="69"/>
    </row>
    <row r="426" spans="1:1" ht="13" x14ac:dyDescent="0.15">
      <c r="A426" s="69"/>
    </row>
    <row r="427" spans="1:1" ht="13" x14ac:dyDescent="0.15">
      <c r="A427" s="69"/>
    </row>
    <row r="428" spans="1:1" ht="13" x14ac:dyDescent="0.15">
      <c r="A428" s="69"/>
    </row>
    <row r="429" spans="1:1" ht="13" x14ac:dyDescent="0.15">
      <c r="A429" s="69"/>
    </row>
    <row r="430" spans="1:1" ht="13" x14ac:dyDescent="0.15">
      <c r="A430" s="69"/>
    </row>
    <row r="431" spans="1:1" ht="13" x14ac:dyDescent="0.15">
      <c r="A431" s="69"/>
    </row>
    <row r="432" spans="1:1" ht="13" x14ac:dyDescent="0.15">
      <c r="A432" s="69"/>
    </row>
    <row r="433" spans="1:1" ht="13" x14ac:dyDescent="0.15">
      <c r="A433" s="69"/>
    </row>
    <row r="434" spans="1:1" ht="13" x14ac:dyDescent="0.15">
      <c r="A434" s="69"/>
    </row>
    <row r="435" spans="1:1" ht="13" x14ac:dyDescent="0.15">
      <c r="A435" s="69"/>
    </row>
    <row r="436" spans="1:1" ht="13" x14ac:dyDescent="0.15">
      <c r="A436" s="69"/>
    </row>
    <row r="437" spans="1:1" ht="13" x14ac:dyDescent="0.15">
      <c r="A437" s="69"/>
    </row>
    <row r="438" spans="1:1" ht="13" x14ac:dyDescent="0.15">
      <c r="A438" s="69"/>
    </row>
    <row r="439" spans="1:1" ht="13" x14ac:dyDescent="0.15">
      <c r="A439" s="69"/>
    </row>
    <row r="440" spans="1:1" ht="13" x14ac:dyDescent="0.15">
      <c r="A440" s="69"/>
    </row>
    <row r="441" spans="1:1" ht="13" x14ac:dyDescent="0.15">
      <c r="A441" s="69"/>
    </row>
    <row r="442" spans="1:1" ht="13" x14ac:dyDescent="0.15">
      <c r="A442" s="69"/>
    </row>
    <row r="443" spans="1:1" ht="13" x14ac:dyDescent="0.15">
      <c r="A443" s="69"/>
    </row>
    <row r="444" spans="1:1" ht="13" x14ac:dyDescent="0.15">
      <c r="A444" s="69"/>
    </row>
    <row r="445" spans="1:1" ht="13" x14ac:dyDescent="0.15">
      <c r="A445" s="69"/>
    </row>
    <row r="446" spans="1:1" ht="13" x14ac:dyDescent="0.15">
      <c r="A446" s="69"/>
    </row>
    <row r="447" spans="1:1" ht="13" x14ac:dyDescent="0.15">
      <c r="A447" s="69"/>
    </row>
    <row r="448" spans="1:1" ht="13" x14ac:dyDescent="0.15">
      <c r="A448" s="69"/>
    </row>
    <row r="449" spans="1:1" ht="13" x14ac:dyDescent="0.15">
      <c r="A449" s="69"/>
    </row>
    <row r="450" spans="1:1" ht="13" x14ac:dyDescent="0.15">
      <c r="A450" s="69"/>
    </row>
    <row r="451" spans="1:1" ht="13" x14ac:dyDescent="0.15">
      <c r="A451" s="69"/>
    </row>
    <row r="452" spans="1:1" ht="13" x14ac:dyDescent="0.15">
      <c r="A452" s="69"/>
    </row>
    <row r="453" spans="1:1" ht="13" x14ac:dyDescent="0.15">
      <c r="A453" s="69"/>
    </row>
    <row r="454" spans="1:1" ht="13" x14ac:dyDescent="0.15">
      <c r="A454" s="69"/>
    </row>
    <row r="455" spans="1:1" ht="13" x14ac:dyDescent="0.15">
      <c r="A455" s="69"/>
    </row>
    <row r="456" spans="1:1" ht="13" x14ac:dyDescent="0.15">
      <c r="A456" s="69"/>
    </row>
    <row r="457" spans="1:1" ht="13" x14ac:dyDescent="0.15">
      <c r="A457" s="69"/>
    </row>
    <row r="458" spans="1:1" ht="13" x14ac:dyDescent="0.15">
      <c r="A458" s="69"/>
    </row>
    <row r="459" spans="1:1" ht="13" x14ac:dyDescent="0.15">
      <c r="A459" s="69"/>
    </row>
    <row r="460" spans="1:1" ht="13" x14ac:dyDescent="0.15">
      <c r="A460" s="69"/>
    </row>
    <row r="461" spans="1:1" ht="13" x14ac:dyDescent="0.15">
      <c r="A461" s="69"/>
    </row>
    <row r="462" spans="1:1" ht="13" x14ac:dyDescent="0.15">
      <c r="A462" s="69"/>
    </row>
    <row r="463" spans="1:1" ht="13" x14ac:dyDescent="0.15">
      <c r="A463" s="69"/>
    </row>
    <row r="464" spans="1:1" ht="13" x14ac:dyDescent="0.15">
      <c r="A464" s="69"/>
    </row>
    <row r="465" spans="1:1" ht="13" x14ac:dyDescent="0.15">
      <c r="A465" s="69"/>
    </row>
    <row r="466" spans="1:1" ht="13" x14ac:dyDescent="0.15">
      <c r="A466" s="69"/>
    </row>
    <row r="467" spans="1:1" ht="13" x14ac:dyDescent="0.15">
      <c r="A467" s="69"/>
    </row>
    <row r="468" spans="1:1" ht="13" x14ac:dyDescent="0.15">
      <c r="A468" s="69"/>
    </row>
    <row r="469" spans="1:1" ht="13" x14ac:dyDescent="0.15">
      <c r="A469" s="69"/>
    </row>
    <row r="470" spans="1:1" ht="13" x14ac:dyDescent="0.15">
      <c r="A470" s="69"/>
    </row>
    <row r="471" spans="1:1" ht="13" x14ac:dyDescent="0.15">
      <c r="A471" s="69"/>
    </row>
    <row r="472" spans="1:1" ht="13" x14ac:dyDescent="0.15">
      <c r="A472" s="69"/>
    </row>
    <row r="473" spans="1:1" ht="13" x14ac:dyDescent="0.15">
      <c r="A473" s="69"/>
    </row>
    <row r="474" spans="1:1" ht="13" x14ac:dyDescent="0.15">
      <c r="A474" s="69"/>
    </row>
    <row r="475" spans="1:1" ht="13" x14ac:dyDescent="0.15">
      <c r="A475" s="69"/>
    </row>
    <row r="476" spans="1:1" ht="13" x14ac:dyDescent="0.15">
      <c r="A476" s="69"/>
    </row>
    <row r="477" spans="1:1" ht="13" x14ac:dyDescent="0.15">
      <c r="A477" s="69"/>
    </row>
    <row r="478" spans="1:1" ht="13" x14ac:dyDescent="0.15">
      <c r="A478" s="69"/>
    </row>
    <row r="479" spans="1:1" ht="13" x14ac:dyDescent="0.15">
      <c r="A479" s="69"/>
    </row>
    <row r="480" spans="1:1" ht="13" x14ac:dyDescent="0.15">
      <c r="A480" s="69"/>
    </row>
    <row r="481" spans="1:1" ht="13" x14ac:dyDescent="0.15">
      <c r="A481" s="69"/>
    </row>
    <row r="482" spans="1:1" ht="13" x14ac:dyDescent="0.15">
      <c r="A482" s="69"/>
    </row>
    <row r="483" spans="1:1" ht="13" x14ac:dyDescent="0.15">
      <c r="A483" s="69"/>
    </row>
    <row r="484" spans="1:1" ht="13" x14ac:dyDescent="0.15">
      <c r="A484" s="69"/>
    </row>
    <row r="485" spans="1:1" ht="13" x14ac:dyDescent="0.15">
      <c r="A485" s="69"/>
    </row>
    <row r="486" spans="1:1" ht="13" x14ac:dyDescent="0.15">
      <c r="A486" s="69"/>
    </row>
    <row r="487" spans="1:1" ht="13" x14ac:dyDescent="0.15">
      <c r="A487" s="69"/>
    </row>
    <row r="488" spans="1:1" ht="13" x14ac:dyDescent="0.15">
      <c r="A488" s="69"/>
    </row>
    <row r="489" spans="1:1" ht="13" x14ac:dyDescent="0.15">
      <c r="A489" s="69"/>
    </row>
    <row r="490" spans="1:1" ht="13" x14ac:dyDescent="0.15">
      <c r="A490" s="69"/>
    </row>
    <row r="491" spans="1:1" ht="13" x14ac:dyDescent="0.15">
      <c r="A491" s="69"/>
    </row>
    <row r="492" spans="1:1" ht="13" x14ac:dyDescent="0.15">
      <c r="A492" s="69"/>
    </row>
    <row r="493" spans="1:1" ht="13" x14ac:dyDescent="0.15">
      <c r="A493" s="69"/>
    </row>
    <row r="494" spans="1:1" ht="13" x14ac:dyDescent="0.15">
      <c r="A494" s="69"/>
    </row>
    <row r="495" spans="1:1" ht="13" x14ac:dyDescent="0.15">
      <c r="A495" s="69"/>
    </row>
    <row r="496" spans="1:1" ht="13" x14ac:dyDescent="0.15">
      <c r="A496" s="69"/>
    </row>
    <row r="497" spans="1:1" ht="13" x14ac:dyDescent="0.15">
      <c r="A497" s="69"/>
    </row>
    <row r="498" spans="1:1" ht="13" x14ac:dyDescent="0.15">
      <c r="A498" s="69"/>
    </row>
    <row r="499" spans="1:1" ht="13" x14ac:dyDescent="0.15">
      <c r="A499" s="69"/>
    </row>
    <row r="500" spans="1:1" ht="13" x14ac:dyDescent="0.15">
      <c r="A500" s="69"/>
    </row>
    <row r="501" spans="1:1" ht="13" x14ac:dyDescent="0.15">
      <c r="A501" s="69"/>
    </row>
    <row r="502" spans="1:1" ht="13" x14ac:dyDescent="0.15">
      <c r="A502" s="69"/>
    </row>
    <row r="503" spans="1:1" ht="13" x14ac:dyDescent="0.15">
      <c r="A503" s="69"/>
    </row>
    <row r="504" spans="1:1" ht="13" x14ac:dyDescent="0.15">
      <c r="A504" s="69"/>
    </row>
    <row r="505" spans="1:1" ht="13" x14ac:dyDescent="0.15">
      <c r="A505" s="69"/>
    </row>
    <row r="506" spans="1:1" ht="13" x14ac:dyDescent="0.15">
      <c r="A506" s="69"/>
    </row>
    <row r="507" spans="1:1" ht="13" x14ac:dyDescent="0.15">
      <c r="A507" s="69"/>
    </row>
    <row r="508" spans="1:1" ht="13" x14ac:dyDescent="0.15">
      <c r="A508" s="69"/>
    </row>
    <row r="509" spans="1:1" ht="13" x14ac:dyDescent="0.15">
      <c r="A509" s="69"/>
    </row>
    <row r="510" spans="1:1" ht="13" x14ac:dyDescent="0.15">
      <c r="A510" s="69"/>
    </row>
    <row r="511" spans="1:1" ht="13" x14ac:dyDescent="0.15">
      <c r="A511" s="69"/>
    </row>
    <row r="512" spans="1:1" ht="13" x14ac:dyDescent="0.15">
      <c r="A512" s="69"/>
    </row>
    <row r="513" spans="1:1" ht="13" x14ac:dyDescent="0.15">
      <c r="A513" s="69"/>
    </row>
    <row r="514" spans="1:1" ht="13" x14ac:dyDescent="0.15">
      <c r="A514" s="69"/>
    </row>
    <row r="515" spans="1:1" ht="13" x14ac:dyDescent="0.15">
      <c r="A515" s="69"/>
    </row>
    <row r="516" spans="1:1" ht="13" x14ac:dyDescent="0.15">
      <c r="A516" s="69"/>
    </row>
    <row r="517" spans="1:1" ht="13" x14ac:dyDescent="0.15">
      <c r="A517" s="69"/>
    </row>
    <row r="518" spans="1:1" ht="13" x14ac:dyDescent="0.15">
      <c r="A518" s="69"/>
    </row>
    <row r="519" spans="1:1" ht="13" x14ac:dyDescent="0.15">
      <c r="A519" s="69"/>
    </row>
    <row r="520" spans="1:1" ht="13" x14ac:dyDescent="0.15">
      <c r="A520" s="69"/>
    </row>
    <row r="521" spans="1:1" ht="13" x14ac:dyDescent="0.15">
      <c r="A521" s="69"/>
    </row>
    <row r="522" spans="1:1" ht="13" x14ac:dyDescent="0.15">
      <c r="A522" s="69"/>
    </row>
    <row r="523" spans="1:1" ht="13" x14ac:dyDescent="0.15">
      <c r="A523" s="69"/>
    </row>
    <row r="524" spans="1:1" ht="13" x14ac:dyDescent="0.15">
      <c r="A524" s="69"/>
    </row>
    <row r="525" spans="1:1" ht="13" x14ac:dyDescent="0.15">
      <c r="A525" s="69"/>
    </row>
    <row r="526" spans="1:1" ht="13" x14ac:dyDescent="0.15">
      <c r="A526" s="69"/>
    </row>
    <row r="527" spans="1:1" ht="13" x14ac:dyDescent="0.15">
      <c r="A527" s="69"/>
    </row>
    <row r="528" spans="1:1" ht="13" x14ac:dyDescent="0.15">
      <c r="A528" s="69"/>
    </row>
    <row r="529" spans="1:1" ht="13" x14ac:dyDescent="0.15">
      <c r="A529" s="69"/>
    </row>
    <row r="530" spans="1:1" ht="13" x14ac:dyDescent="0.15">
      <c r="A530" s="69"/>
    </row>
    <row r="531" spans="1:1" ht="13" x14ac:dyDescent="0.15">
      <c r="A531" s="69"/>
    </row>
    <row r="532" spans="1:1" ht="13" x14ac:dyDescent="0.15">
      <c r="A532" s="69"/>
    </row>
    <row r="533" spans="1:1" ht="13" x14ac:dyDescent="0.15">
      <c r="A533" s="69"/>
    </row>
    <row r="534" spans="1:1" ht="13" x14ac:dyDescent="0.15">
      <c r="A534" s="69"/>
    </row>
    <row r="535" spans="1:1" ht="13" x14ac:dyDescent="0.15">
      <c r="A535" s="69"/>
    </row>
    <row r="536" spans="1:1" ht="13" x14ac:dyDescent="0.15">
      <c r="A536" s="69"/>
    </row>
    <row r="537" spans="1:1" ht="13" x14ac:dyDescent="0.15">
      <c r="A537" s="69"/>
    </row>
    <row r="538" spans="1:1" ht="13" x14ac:dyDescent="0.15">
      <c r="A538" s="69"/>
    </row>
    <row r="539" spans="1:1" ht="13" x14ac:dyDescent="0.15">
      <c r="A539" s="69"/>
    </row>
    <row r="540" spans="1:1" ht="13" x14ac:dyDescent="0.15">
      <c r="A540" s="69"/>
    </row>
    <row r="541" spans="1:1" ht="13" x14ac:dyDescent="0.15">
      <c r="A541" s="69"/>
    </row>
    <row r="542" spans="1:1" ht="13" x14ac:dyDescent="0.15">
      <c r="A542" s="69"/>
    </row>
    <row r="543" spans="1:1" ht="13" x14ac:dyDescent="0.15">
      <c r="A543" s="69"/>
    </row>
    <row r="544" spans="1:1" ht="13" x14ac:dyDescent="0.15">
      <c r="A544" s="69"/>
    </row>
    <row r="545" spans="1:1" ht="13" x14ac:dyDescent="0.15">
      <c r="A545" s="69"/>
    </row>
    <row r="546" spans="1:1" ht="13" x14ac:dyDescent="0.15">
      <c r="A546" s="69"/>
    </row>
    <row r="547" spans="1:1" ht="13" x14ac:dyDescent="0.15">
      <c r="A547" s="69"/>
    </row>
    <row r="548" spans="1:1" ht="13" x14ac:dyDescent="0.15">
      <c r="A548" s="69"/>
    </row>
    <row r="549" spans="1:1" ht="13" x14ac:dyDescent="0.15">
      <c r="A549" s="69"/>
    </row>
    <row r="550" spans="1:1" ht="13" x14ac:dyDescent="0.15">
      <c r="A550" s="69"/>
    </row>
    <row r="551" spans="1:1" ht="13" x14ac:dyDescent="0.15">
      <c r="A551" s="69"/>
    </row>
    <row r="552" spans="1:1" ht="13" x14ac:dyDescent="0.15">
      <c r="A552" s="69"/>
    </row>
    <row r="553" spans="1:1" ht="13" x14ac:dyDescent="0.15">
      <c r="A553" s="69"/>
    </row>
    <row r="554" spans="1:1" ht="13" x14ac:dyDescent="0.15">
      <c r="A554" s="69"/>
    </row>
    <row r="555" spans="1:1" ht="13" x14ac:dyDescent="0.15">
      <c r="A555" s="69"/>
    </row>
    <row r="556" spans="1:1" ht="13" x14ac:dyDescent="0.15">
      <c r="A556" s="69"/>
    </row>
    <row r="557" spans="1:1" ht="13" x14ac:dyDescent="0.15">
      <c r="A557" s="69"/>
    </row>
    <row r="558" spans="1:1" ht="13" x14ac:dyDescent="0.15">
      <c r="A558" s="69"/>
    </row>
    <row r="559" spans="1:1" ht="13" x14ac:dyDescent="0.15">
      <c r="A559" s="69"/>
    </row>
    <row r="560" spans="1:1" ht="13" x14ac:dyDescent="0.15">
      <c r="A560" s="69"/>
    </row>
    <row r="561" spans="1:1" ht="13" x14ac:dyDescent="0.15">
      <c r="A561" s="69"/>
    </row>
    <row r="562" spans="1:1" ht="13" x14ac:dyDescent="0.15">
      <c r="A562" s="69"/>
    </row>
    <row r="563" spans="1:1" ht="13" x14ac:dyDescent="0.15">
      <c r="A563" s="69"/>
    </row>
    <row r="564" spans="1:1" ht="13" x14ac:dyDescent="0.15">
      <c r="A564" s="69"/>
    </row>
    <row r="565" spans="1:1" ht="13" x14ac:dyDescent="0.15">
      <c r="A565" s="69"/>
    </row>
    <row r="566" spans="1:1" ht="13" x14ac:dyDescent="0.15">
      <c r="A566" s="69"/>
    </row>
    <row r="567" spans="1:1" ht="13" x14ac:dyDescent="0.15">
      <c r="A567" s="69"/>
    </row>
    <row r="568" spans="1:1" ht="13" x14ac:dyDescent="0.15">
      <c r="A568" s="69"/>
    </row>
    <row r="569" spans="1:1" ht="13" x14ac:dyDescent="0.15">
      <c r="A569" s="69"/>
    </row>
    <row r="570" spans="1:1" ht="13" x14ac:dyDescent="0.15">
      <c r="A570" s="69"/>
    </row>
    <row r="571" spans="1:1" ht="13" x14ac:dyDescent="0.15">
      <c r="A571" s="69"/>
    </row>
    <row r="572" spans="1:1" ht="13" x14ac:dyDescent="0.15">
      <c r="A572" s="69"/>
    </row>
    <row r="573" spans="1:1" ht="13" x14ac:dyDescent="0.15">
      <c r="A573" s="69"/>
    </row>
    <row r="574" spans="1:1" ht="13" x14ac:dyDescent="0.15">
      <c r="A574" s="69"/>
    </row>
    <row r="575" spans="1:1" ht="13" x14ac:dyDescent="0.15">
      <c r="A575" s="69"/>
    </row>
    <row r="576" spans="1:1" ht="13" x14ac:dyDescent="0.15">
      <c r="A576" s="69"/>
    </row>
    <row r="577" spans="1:1" ht="13" x14ac:dyDescent="0.15">
      <c r="A577" s="69"/>
    </row>
    <row r="578" spans="1:1" ht="13" x14ac:dyDescent="0.15">
      <c r="A578" s="69"/>
    </row>
    <row r="579" spans="1:1" ht="13" x14ac:dyDescent="0.15">
      <c r="A579" s="69"/>
    </row>
    <row r="580" spans="1:1" ht="13" x14ac:dyDescent="0.15">
      <c r="A580" s="69"/>
    </row>
    <row r="581" spans="1:1" ht="13" x14ac:dyDescent="0.15">
      <c r="A581" s="69"/>
    </row>
    <row r="582" spans="1:1" ht="13" x14ac:dyDescent="0.15">
      <c r="A582" s="69"/>
    </row>
    <row r="583" spans="1:1" ht="13" x14ac:dyDescent="0.15">
      <c r="A583" s="69"/>
    </row>
    <row r="584" spans="1:1" ht="13" x14ac:dyDescent="0.15">
      <c r="A584" s="69"/>
    </row>
    <row r="585" spans="1:1" ht="13" x14ac:dyDescent="0.15">
      <c r="A585" s="69"/>
    </row>
    <row r="586" spans="1:1" ht="13" x14ac:dyDescent="0.15">
      <c r="A586" s="69"/>
    </row>
    <row r="587" spans="1:1" ht="13" x14ac:dyDescent="0.15">
      <c r="A587" s="69"/>
    </row>
    <row r="588" spans="1:1" ht="13" x14ac:dyDescent="0.15">
      <c r="A588" s="69"/>
    </row>
    <row r="589" spans="1:1" ht="13" x14ac:dyDescent="0.15">
      <c r="A589" s="69"/>
    </row>
    <row r="590" spans="1:1" ht="13" x14ac:dyDescent="0.15">
      <c r="A590" s="69"/>
    </row>
    <row r="591" spans="1:1" ht="13" x14ac:dyDescent="0.15">
      <c r="A591" s="69"/>
    </row>
    <row r="592" spans="1:1" ht="13" x14ac:dyDescent="0.15">
      <c r="A592" s="69"/>
    </row>
    <row r="593" spans="1:1" ht="13" x14ac:dyDescent="0.15">
      <c r="A593" s="69"/>
    </row>
    <row r="594" spans="1:1" ht="13" x14ac:dyDescent="0.15">
      <c r="A594" s="69"/>
    </row>
    <row r="595" spans="1:1" ht="13" x14ac:dyDescent="0.15">
      <c r="A595" s="69"/>
    </row>
    <row r="596" spans="1:1" ht="13" x14ac:dyDescent="0.15">
      <c r="A596" s="69"/>
    </row>
    <row r="597" spans="1:1" ht="13" x14ac:dyDescent="0.15">
      <c r="A597" s="69"/>
    </row>
    <row r="598" spans="1:1" ht="13" x14ac:dyDescent="0.15">
      <c r="A598" s="69"/>
    </row>
    <row r="599" spans="1:1" ht="13" x14ac:dyDescent="0.15">
      <c r="A599" s="69"/>
    </row>
    <row r="600" spans="1:1" ht="13" x14ac:dyDescent="0.15">
      <c r="A600" s="69"/>
    </row>
    <row r="601" spans="1:1" ht="13" x14ac:dyDescent="0.15">
      <c r="A601" s="69"/>
    </row>
    <row r="602" spans="1:1" ht="13" x14ac:dyDescent="0.15">
      <c r="A602" s="69"/>
    </row>
    <row r="603" spans="1:1" ht="13" x14ac:dyDescent="0.15">
      <c r="A603" s="69"/>
    </row>
    <row r="604" spans="1:1" ht="13" x14ac:dyDescent="0.15">
      <c r="A604" s="69"/>
    </row>
    <row r="605" spans="1:1" ht="13" x14ac:dyDescent="0.15">
      <c r="A605" s="69"/>
    </row>
    <row r="606" spans="1:1" ht="13" x14ac:dyDescent="0.15">
      <c r="A606" s="69"/>
    </row>
    <row r="607" spans="1:1" ht="13" x14ac:dyDescent="0.15">
      <c r="A607" s="69"/>
    </row>
    <row r="608" spans="1:1" ht="13" x14ac:dyDescent="0.15">
      <c r="A608" s="69"/>
    </row>
    <row r="609" spans="1:1" ht="13" x14ac:dyDescent="0.15">
      <c r="A609" s="69"/>
    </row>
    <row r="610" spans="1:1" ht="13" x14ac:dyDescent="0.15">
      <c r="A610" s="69"/>
    </row>
    <row r="611" spans="1:1" ht="13" x14ac:dyDescent="0.15">
      <c r="A611" s="69"/>
    </row>
    <row r="612" spans="1:1" ht="13" x14ac:dyDescent="0.15">
      <c r="A612" s="69"/>
    </row>
    <row r="613" spans="1:1" ht="13" x14ac:dyDescent="0.15">
      <c r="A613" s="69"/>
    </row>
    <row r="614" spans="1:1" ht="13" x14ac:dyDescent="0.15">
      <c r="A614" s="69"/>
    </row>
    <row r="615" spans="1:1" ht="13" x14ac:dyDescent="0.15">
      <c r="A615" s="69"/>
    </row>
    <row r="616" spans="1:1" ht="13" x14ac:dyDescent="0.15">
      <c r="A616" s="69"/>
    </row>
    <row r="617" spans="1:1" ht="13" x14ac:dyDescent="0.15">
      <c r="A617" s="69"/>
    </row>
    <row r="618" spans="1:1" ht="13" x14ac:dyDescent="0.15">
      <c r="A618" s="69"/>
    </row>
    <row r="619" spans="1:1" ht="13" x14ac:dyDescent="0.15">
      <c r="A619" s="69"/>
    </row>
    <row r="620" spans="1:1" ht="13" x14ac:dyDescent="0.15">
      <c r="A620" s="69"/>
    </row>
    <row r="621" spans="1:1" ht="13" x14ac:dyDescent="0.15">
      <c r="A621" s="69"/>
    </row>
    <row r="622" spans="1:1" ht="13" x14ac:dyDescent="0.15">
      <c r="A622" s="69"/>
    </row>
    <row r="623" spans="1:1" ht="13" x14ac:dyDescent="0.15">
      <c r="A623" s="69"/>
    </row>
    <row r="624" spans="1:1" ht="13" x14ac:dyDescent="0.15">
      <c r="A624" s="69"/>
    </row>
    <row r="625" spans="1:1" ht="13" x14ac:dyDescent="0.15">
      <c r="A625" s="69"/>
    </row>
    <row r="626" spans="1:1" ht="13" x14ac:dyDescent="0.15">
      <c r="A626" s="69"/>
    </row>
    <row r="627" spans="1:1" ht="13" x14ac:dyDescent="0.15">
      <c r="A627" s="69"/>
    </row>
    <row r="628" spans="1:1" ht="13" x14ac:dyDescent="0.15">
      <c r="A628" s="69"/>
    </row>
    <row r="629" spans="1:1" ht="13" x14ac:dyDescent="0.15">
      <c r="A629" s="69"/>
    </row>
    <row r="630" spans="1:1" ht="13" x14ac:dyDescent="0.15">
      <c r="A630" s="69"/>
    </row>
    <row r="631" spans="1:1" ht="13" x14ac:dyDescent="0.15">
      <c r="A631" s="69"/>
    </row>
    <row r="632" spans="1:1" ht="13" x14ac:dyDescent="0.15">
      <c r="A632" s="69"/>
    </row>
    <row r="633" spans="1:1" ht="13" x14ac:dyDescent="0.15">
      <c r="A633" s="69"/>
    </row>
    <row r="634" spans="1:1" ht="13" x14ac:dyDescent="0.15">
      <c r="A634" s="69"/>
    </row>
    <row r="635" spans="1:1" ht="13" x14ac:dyDescent="0.15">
      <c r="A635" s="69"/>
    </row>
    <row r="636" spans="1:1" ht="13" x14ac:dyDescent="0.15">
      <c r="A636" s="69"/>
    </row>
    <row r="637" spans="1:1" ht="13" x14ac:dyDescent="0.15">
      <c r="A637" s="69"/>
    </row>
    <row r="638" spans="1:1" ht="13" x14ac:dyDescent="0.15">
      <c r="A638" s="69"/>
    </row>
    <row r="639" spans="1:1" ht="13" x14ac:dyDescent="0.15">
      <c r="A639" s="69"/>
    </row>
    <row r="640" spans="1:1" ht="13" x14ac:dyDescent="0.15">
      <c r="A640" s="69"/>
    </row>
    <row r="641" spans="1:1" ht="13" x14ac:dyDescent="0.15">
      <c r="A641" s="69"/>
    </row>
    <row r="642" spans="1:1" ht="13" x14ac:dyDescent="0.15">
      <c r="A642" s="69"/>
    </row>
    <row r="643" spans="1:1" ht="13" x14ac:dyDescent="0.15">
      <c r="A643" s="69"/>
    </row>
    <row r="644" spans="1:1" ht="13" x14ac:dyDescent="0.15">
      <c r="A644" s="69"/>
    </row>
    <row r="645" spans="1:1" ht="13" x14ac:dyDescent="0.15">
      <c r="A645" s="69"/>
    </row>
    <row r="646" spans="1:1" ht="13" x14ac:dyDescent="0.15">
      <c r="A646" s="69"/>
    </row>
    <row r="647" spans="1:1" ht="13" x14ac:dyDescent="0.15">
      <c r="A647" s="69"/>
    </row>
    <row r="648" spans="1:1" ht="13" x14ac:dyDescent="0.15">
      <c r="A648" s="69"/>
    </row>
    <row r="649" spans="1:1" ht="13" x14ac:dyDescent="0.15">
      <c r="A649" s="69"/>
    </row>
    <row r="650" spans="1:1" ht="13" x14ac:dyDescent="0.15">
      <c r="A650" s="69"/>
    </row>
    <row r="651" spans="1:1" ht="13" x14ac:dyDescent="0.15">
      <c r="A651" s="69"/>
    </row>
    <row r="652" spans="1:1" ht="13" x14ac:dyDescent="0.15">
      <c r="A652" s="69"/>
    </row>
    <row r="653" spans="1:1" ht="13" x14ac:dyDescent="0.15">
      <c r="A653" s="69"/>
    </row>
    <row r="654" spans="1:1" ht="13" x14ac:dyDescent="0.15">
      <c r="A654" s="69"/>
    </row>
    <row r="655" spans="1:1" ht="13" x14ac:dyDescent="0.15">
      <c r="A655" s="69"/>
    </row>
    <row r="656" spans="1:1" ht="13" x14ac:dyDescent="0.15">
      <c r="A656" s="69"/>
    </row>
    <row r="657" spans="1:1" ht="13" x14ac:dyDescent="0.15">
      <c r="A657" s="69"/>
    </row>
    <row r="658" spans="1:1" ht="13" x14ac:dyDescent="0.15">
      <c r="A658" s="69"/>
    </row>
    <row r="659" spans="1:1" ht="13" x14ac:dyDescent="0.15">
      <c r="A659" s="69"/>
    </row>
    <row r="660" spans="1:1" ht="13" x14ac:dyDescent="0.15">
      <c r="A660" s="69"/>
    </row>
    <row r="661" spans="1:1" ht="13" x14ac:dyDescent="0.15">
      <c r="A661" s="69"/>
    </row>
    <row r="662" spans="1:1" ht="13" x14ac:dyDescent="0.15">
      <c r="A662" s="69"/>
    </row>
    <row r="663" spans="1:1" ht="13" x14ac:dyDescent="0.15">
      <c r="A663" s="69"/>
    </row>
    <row r="664" spans="1:1" ht="13" x14ac:dyDescent="0.15">
      <c r="A664" s="69"/>
    </row>
    <row r="665" spans="1:1" ht="13" x14ac:dyDescent="0.15">
      <c r="A665" s="69"/>
    </row>
    <row r="666" spans="1:1" ht="13" x14ac:dyDescent="0.15">
      <c r="A666" s="69"/>
    </row>
    <row r="667" spans="1:1" ht="13" x14ac:dyDescent="0.15">
      <c r="A667" s="69"/>
    </row>
    <row r="668" spans="1:1" ht="13" x14ac:dyDescent="0.15">
      <c r="A668" s="69"/>
    </row>
    <row r="669" spans="1:1" ht="13" x14ac:dyDescent="0.15">
      <c r="A669" s="69"/>
    </row>
    <row r="670" spans="1:1" ht="13" x14ac:dyDescent="0.15">
      <c r="A670" s="69"/>
    </row>
    <row r="671" spans="1:1" ht="13" x14ac:dyDescent="0.15">
      <c r="A671" s="69"/>
    </row>
    <row r="672" spans="1:1" ht="13" x14ac:dyDescent="0.15">
      <c r="A672" s="69"/>
    </row>
    <row r="673" spans="1:1" ht="13" x14ac:dyDescent="0.15">
      <c r="A673" s="69"/>
    </row>
    <row r="674" spans="1:1" ht="13" x14ac:dyDescent="0.15">
      <c r="A674" s="69"/>
    </row>
    <row r="675" spans="1:1" ht="13" x14ac:dyDescent="0.15">
      <c r="A675" s="69"/>
    </row>
    <row r="676" spans="1:1" ht="13" x14ac:dyDescent="0.15">
      <c r="A676" s="69"/>
    </row>
    <row r="677" spans="1:1" ht="13" x14ac:dyDescent="0.15">
      <c r="A677" s="69"/>
    </row>
    <row r="678" spans="1:1" ht="13" x14ac:dyDescent="0.15">
      <c r="A678" s="69"/>
    </row>
    <row r="679" spans="1:1" ht="13" x14ac:dyDescent="0.15">
      <c r="A679" s="69"/>
    </row>
    <row r="680" spans="1:1" ht="13" x14ac:dyDescent="0.15">
      <c r="A680" s="69"/>
    </row>
    <row r="681" spans="1:1" ht="13" x14ac:dyDescent="0.15">
      <c r="A681" s="69"/>
    </row>
    <row r="682" spans="1:1" ht="13" x14ac:dyDescent="0.15">
      <c r="A682" s="69"/>
    </row>
    <row r="683" spans="1:1" ht="13" x14ac:dyDescent="0.15">
      <c r="A683" s="69"/>
    </row>
    <row r="684" spans="1:1" ht="13" x14ac:dyDescent="0.15">
      <c r="A684" s="69"/>
    </row>
    <row r="685" spans="1:1" ht="13" x14ac:dyDescent="0.15">
      <c r="A685" s="69"/>
    </row>
    <row r="686" spans="1:1" ht="13" x14ac:dyDescent="0.15">
      <c r="A686" s="69"/>
    </row>
    <row r="687" spans="1:1" ht="13" x14ac:dyDescent="0.15">
      <c r="A687" s="69"/>
    </row>
    <row r="688" spans="1:1" ht="13" x14ac:dyDescent="0.15">
      <c r="A688" s="69"/>
    </row>
    <row r="689" spans="1:1" ht="13" x14ac:dyDescent="0.15">
      <c r="A689" s="69"/>
    </row>
    <row r="690" spans="1:1" ht="13" x14ac:dyDescent="0.15">
      <c r="A690" s="69"/>
    </row>
    <row r="691" spans="1:1" ht="13" x14ac:dyDescent="0.15">
      <c r="A691" s="69"/>
    </row>
    <row r="692" spans="1:1" ht="13" x14ac:dyDescent="0.15">
      <c r="A692" s="69"/>
    </row>
    <row r="693" spans="1:1" ht="13" x14ac:dyDescent="0.15">
      <c r="A693" s="69"/>
    </row>
    <row r="694" spans="1:1" ht="13" x14ac:dyDescent="0.15">
      <c r="A694" s="69"/>
    </row>
    <row r="695" spans="1:1" ht="13" x14ac:dyDescent="0.15">
      <c r="A695" s="69"/>
    </row>
    <row r="696" spans="1:1" ht="13" x14ac:dyDescent="0.15">
      <c r="A696" s="69"/>
    </row>
    <row r="697" spans="1:1" ht="13" x14ac:dyDescent="0.15">
      <c r="A697" s="69"/>
    </row>
    <row r="698" spans="1:1" ht="13" x14ac:dyDescent="0.15">
      <c r="A698" s="69"/>
    </row>
    <row r="699" spans="1:1" ht="13" x14ac:dyDescent="0.15">
      <c r="A699" s="69"/>
    </row>
    <row r="700" spans="1:1" ht="13" x14ac:dyDescent="0.15">
      <c r="A700" s="69"/>
    </row>
    <row r="701" spans="1:1" ht="13" x14ac:dyDescent="0.15">
      <c r="A701" s="69"/>
    </row>
    <row r="702" spans="1:1" ht="13" x14ac:dyDescent="0.15">
      <c r="A702" s="69"/>
    </row>
    <row r="703" spans="1:1" ht="13" x14ac:dyDescent="0.15">
      <c r="A703" s="69"/>
    </row>
    <row r="704" spans="1:1" ht="13" x14ac:dyDescent="0.15">
      <c r="A704" s="69"/>
    </row>
    <row r="705" spans="1:1" ht="13" x14ac:dyDescent="0.15">
      <c r="A705" s="69"/>
    </row>
    <row r="706" spans="1:1" ht="13" x14ac:dyDescent="0.15">
      <c r="A706" s="69"/>
    </row>
    <row r="707" spans="1:1" ht="13" x14ac:dyDescent="0.15">
      <c r="A707" s="69"/>
    </row>
    <row r="708" spans="1:1" ht="13" x14ac:dyDescent="0.15">
      <c r="A708" s="69"/>
    </row>
    <row r="709" spans="1:1" ht="13" x14ac:dyDescent="0.15">
      <c r="A709" s="69"/>
    </row>
    <row r="710" spans="1:1" ht="13" x14ac:dyDescent="0.15">
      <c r="A710" s="69"/>
    </row>
    <row r="711" spans="1:1" ht="13" x14ac:dyDescent="0.15">
      <c r="A711" s="69"/>
    </row>
    <row r="712" spans="1:1" ht="13" x14ac:dyDescent="0.15">
      <c r="A712" s="69"/>
    </row>
    <row r="713" spans="1:1" ht="13" x14ac:dyDescent="0.15">
      <c r="A713" s="69"/>
    </row>
    <row r="714" spans="1:1" ht="13" x14ac:dyDescent="0.15">
      <c r="A714" s="69"/>
    </row>
    <row r="715" spans="1:1" ht="13" x14ac:dyDescent="0.15">
      <c r="A715" s="69"/>
    </row>
    <row r="716" spans="1:1" ht="13" x14ac:dyDescent="0.15">
      <c r="A716" s="69"/>
    </row>
    <row r="717" spans="1:1" ht="13" x14ac:dyDescent="0.15">
      <c r="A717" s="69"/>
    </row>
    <row r="718" spans="1:1" ht="13" x14ac:dyDescent="0.15">
      <c r="A718" s="69"/>
    </row>
    <row r="719" spans="1:1" ht="13" x14ac:dyDescent="0.15">
      <c r="A719" s="69"/>
    </row>
    <row r="720" spans="1:1" ht="13" x14ac:dyDescent="0.15">
      <c r="A720" s="69"/>
    </row>
    <row r="721" spans="1:1" ht="13" x14ac:dyDescent="0.15">
      <c r="A721" s="69"/>
    </row>
    <row r="722" spans="1:1" ht="13" x14ac:dyDescent="0.15">
      <c r="A722" s="69"/>
    </row>
    <row r="723" spans="1:1" ht="13" x14ac:dyDescent="0.15">
      <c r="A723" s="69"/>
    </row>
    <row r="724" spans="1:1" ht="13" x14ac:dyDescent="0.15">
      <c r="A724" s="69"/>
    </row>
    <row r="725" spans="1:1" ht="13" x14ac:dyDescent="0.15">
      <c r="A725" s="69"/>
    </row>
    <row r="726" spans="1:1" ht="13" x14ac:dyDescent="0.15">
      <c r="A726" s="69"/>
    </row>
    <row r="727" spans="1:1" ht="13" x14ac:dyDescent="0.15">
      <c r="A727" s="69"/>
    </row>
    <row r="728" spans="1:1" ht="13" x14ac:dyDescent="0.15">
      <c r="A728" s="69"/>
    </row>
    <row r="729" spans="1:1" ht="13" x14ac:dyDescent="0.15">
      <c r="A729" s="69"/>
    </row>
    <row r="730" spans="1:1" ht="13" x14ac:dyDescent="0.15">
      <c r="A730" s="69"/>
    </row>
    <row r="731" spans="1:1" ht="13" x14ac:dyDescent="0.15">
      <c r="A731" s="69"/>
    </row>
    <row r="732" spans="1:1" ht="13" x14ac:dyDescent="0.15">
      <c r="A732" s="69"/>
    </row>
    <row r="733" spans="1:1" ht="13" x14ac:dyDescent="0.15">
      <c r="A733" s="69"/>
    </row>
    <row r="734" spans="1:1" ht="13" x14ac:dyDescent="0.15">
      <c r="A734" s="69"/>
    </row>
    <row r="735" spans="1:1" ht="13" x14ac:dyDescent="0.15">
      <c r="A735" s="69"/>
    </row>
    <row r="736" spans="1:1" ht="13" x14ac:dyDescent="0.15">
      <c r="A736" s="69"/>
    </row>
    <row r="737" spans="1:1" ht="13" x14ac:dyDescent="0.15">
      <c r="A737" s="69"/>
    </row>
    <row r="738" spans="1:1" ht="13" x14ac:dyDescent="0.15">
      <c r="A738" s="69"/>
    </row>
    <row r="739" spans="1:1" ht="13" x14ac:dyDescent="0.15">
      <c r="A739" s="69"/>
    </row>
    <row r="740" spans="1:1" ht="13" x14ac:dyDescent="0.15">
      <c r="A740" s="69"/>
    </row>
    <row r="741" spans="1:1" ht="13" x14ac:dyDescent="0.15">
      <c r="A741" s="69"/>
    </row>
    <row r="742" spans="1:1" ht="13" x14ac:dyDescent="0.15">
      <c r="A742" s="69"/>
    </row>
    <row r="743" spans="1:1" ht="13" x14ac:dyDescent="0.15">
      <c r="A743" s="69"/>
    </row>
    <row r="744" spans="1:1" ht="13" x14ac:dyDescent="0.15">
      <c r="A744" s="69"/>
    </row>
    <row r="745" spans="1:1" ht="13" x14ac:dyDescent="0.15">
      <c r="A745" s="69"/>
    </row>
    <row r="746" spans="1:1" ht="13" x14ac:dyDescent="0.15">
      <c r="A746" s="69"/>
    </row>
    <row r="747" spans="1:1" ht="13" x14ac:dyDescent="0.15">
      <c r="A747" s="69"/>
    </row>
    <row r="748" spans="1:1" ht="13" x14ac:dyDescent="0.15">
      <c r="A748" s="69"/>
    </row>
    <row r="749" spans="1:1" ht="13" x14ac:dyDescent="0.15">
      <c r="A749" s="69"/>
    </row>
    <row r="750" spans="1:1" ht="13" x14ac:dyDescent="0.15">
      <c r="A750" s="69"/>
    </row>
    <row r="751" spans="1:1" ht="13" x14ac:dyDescent="0.15">
      <c r="A751" s="69"/>
    </row>
    <row r="752" spans="1:1" ht="13" x14ac:dyDescent="0.15">
      <c r="A752" s="69"/>
    </row>
    <row r="753" spans="1:1" ht="13" x14ac:dyDescent="0.15">
      <c r="A753" s="69"/>
    </row>
    <row r="754" spans="1:1" ht="13" x14ac:dyDescent="0.15">
      <c r="A754" s="69"/>
    </row>
    <row r="755" spans="1:1" ht="13" x14ac:dyDescent="0.15">
      <c r="A755" s="69"/>
    </row>
    <row r="756" spans="1:1" ht="13" x14ac:dyDescent="0.15">
      <c r="A756" s="69"/>
    </row>
    <row r="757" spans="1:1" ht="13" x14ac:dyDescent="0.15">
      <c r="A757" s="69"/>
    </row>
    <row r="758" spans="1:1" ht="13" x14ac:dyDescent="0.15">
      <c r="A758" s="69"/>
    </row>
    <row r="759" spans="1:1" ht="13" x14ac:dyDescent="0.15">
      <c r="A759" s="69"/>
    </row>
    <row r="760" spans="1:1" ht="13" x14ac:dyDescent="0.15">
      <c r="A760" s="69"/>
    </row>
    <row r="761" spans="1:1" ht="13" x14ac:dyDescent="0.15">
      <c r="A761" s="69"/>
    </row>
    <row r="762" spans="1:1" ht="13" x14ac:dyDescent="0.15">
      <c r="A762" s="69"/>
    </row>
    <row r="763" spans="1:1" ht="13" x14ac:dyDescent="0.15">
      <c r="A763" s="69"/>
    </row>
    <row r="764" spans="1:1" ht="13" x14ac:dyDescent="0.15">
      <c r="A764" s="69"/>
    </row>
    <row r="765" spans="1:1" ht="13" x14ac:dyDescent="0.15">
      <c r="A765" s="69"/>
    </row>
    <row r="766" spans="1:1" ht="13" x14ac:dyDescent="0.15">
      <c r="A766" s="69"/>
    </row>
    <row r="767" spans="1:1" ht="13" x14ac:dyDescent="0.15">
      <c r="A767" s="69"/>
    </row>
    <row r="768" spans="1:1" ht="13" x14ac:dyDescent="0.15">
      <c r="A768" s="69"/>
    </row>
    <row r="769" spans="1:1" ht="13" x14ac:dyDescent="0.15">
      <c r="A769" s="69"/>
    </row>
    <row r="770" spans="1:1" ht="13" x14ac:dyDescent="0.15">
      <c r="A770" s="69"/>
    </row>
    <row r="771" spans="1:1" ht="13" x14ac:dyDescent="0.15">
      <c r="A771" s="69"/>
    </row>
    <row r="772" spans="1:1" ht="13" x14ac:dyDescent="0.15">
      <c r="A772" s="69"/>
    </row>
    <row r="773" spans="1:1" ht="13" x14ac:dyDescent="0.15">
      <c r="A773" s="69"/>
    </row>
    <row r="774" spans="1:1" ht="13" x14ac:dyDescent="0.15">
      <c r="A774" s="69"/>
    </row>
    <row r="775" spans="1:1" ht="13" x14ac:dyDescent="0.15">
      <c r="A775" s="69"/>
    </row>
    <row r="776" spans="1:1" ht="13" x14ac:dyDescent="0.15">
      <c r="A776" s="69"/>
    </row>
    <row r="777" spans="1:1" ht="13" x14ac:dyDescent="0.15">
      <c r="A777" s="69"/>
    </row>
    <row r="778" spans="1:1" ht="13" x14ac:dyDescent="0.15">
      <c r="A778" s="69"/>
    </row>
    <row r="779" spans="1:1" ht="13" x14ac:dyDescent="0.15">
      <c r="A779" s="69"/>
    </row>
    <row r="780" spans="1:1" ht="13" x14ac:dyDescent="0.15">
      <c r="A780" s="69"/>
    </row>
    <row r="781" spans="1:1" ht="13" x14ac:dyDescent="0.15">
      <c r="A781" s="69"/>
    </row>
    <row r="782" spans="1:1" ht="13" x14ac:dyDescent="0.15">
      <c r="A782" s="69"/>
    </row>
    <row r="783" spans="1:1" ht="13" x14ac:dyDescent="0.15">
      <c r="A783" s="69"/>
    </row>
    <row r="784" spans="1:1" ht="13" x14ac:dyDescent="0.15">
      <c r="A784" s="69"/>
    </row>
    <row r="785" spans="1:1" ht="13" x14ac:dyDescent="0.15">
      <c r="A785" s="69"/>
    </row>
    <row r="786" spans="1:1" ht="13" x14ac:dyDescent="0.15">
      <c r="A786" s="69"/>
    </row>
    <row r="787" spans="1:1" ht="13" x14ac:dyDescent="0.15">
      <c r="A787" s="69"/>
    </row>
    <row r="788" spans="1:1" ht="13" x14ac:dyDescent="0.15">
      <c r="A788" s="69"/>
    </row>
    <row r="789" spans="1:1" ht="13" x14ac:dyDescent="0.15">
      <c r="A789" s="69"/>
    </row>
    <row r="790" spans="1:1" ht="13" x14ac:dyDescent="0.15">
      <c r="A790" s="69"/>
    </row>
    <row r="791" spans="1:1" ht="13" x14ac:dyDescent="0.15">
      <c r="A791" s="69"/>
    </row>
    <row r="792" spans="1:1" ht="13" x14ac:dyDescent="0.15">
      <c r="A792" s="69"/>
    </row>
    <row r="793" spans="1:1" ht="13" x14ac:dyDescent="0.15">
      <c r="A793" s="69"/>
    </row>
    <row r="794" spans="1:1" ht="13" x14ac:dyDescent="0.15">
      <c r="A794" s="69"/>
    </row>
    <row r="795" spans="1:1" ht="13" x14ac:dyDescent="0.15">
      <c r="A795" s="69"/>
    </row>
    <row r="796" spans="1:1" ht="13" x14ac:dyDescent="0.15">
      <c r="A796" s="69"/>
    </row>
    <row r="797" spans="1:1" ht="13" x14ac:dyDescent="0.15">
      <c r="A797" s="69"/>
    </row>
    <row r="798" spans="1:1" ht="13" x14ac:dyDescent="0.15">
      <c r="A798" s="69"/>
    </row>
    <row r="799" spans="1:1" ht="13" x14ac:dyDescent="0.15">
      <c r="A799" s="69"/>
    </row>
    <row r="800" spans="1:1" ht="13" x14ac:dyDescent="0.15">
      <c r="A800" s="69"/>
    </row>
    <row r="801" spans="1:1" ht="13" x14ac:dyDescent="0.15">
      <c r="A801" s="69"/>
    </row>
    <row r="802" spans="1:1" ht="13" x14ac:dyDescent="0.15">
      <c r="A802" s="69"/>
    </row>
    <row r="803" spans="1:1" ht="13" x14ac:dyDescent="0.15">
      <c r="A803" s="69"/>
    </row>
    <row r="804" spans="1:1" ht="13" x14ac:dyDescent="0.15">
      <c r="A804" s="69"/>
    </row>
    <row r="805" spans="1:1" ht="13" x14ac:dyDescent="0.15">
      <c r="A805" s="69"/>
    </row>
    <row r="806" spans="1:1" ht="13" x14ac:dyDescent="0.15">
      <c r="A806" s="69"/>
    </row>
    <row r="807" spans="1:1" ht="13" x14ac:dyDescent="0.15">
      <c r="A807" s="69"/>
    </row>
    <row r="808" spans="1:1" ht="13" x14ac:dyDescent="0.15">
      <c r="A808" s="69"/>
    </row>
    <row r="809" spans="1:1" ht="13" x14ac:dyDescent="0.15">
      <c r="A809" s="69"/>
    </row>
    <row r="810" spans="1:1" ht="13" x14ac:dyDescent="0.15">
      <c r="A810" s="69"/>
    </row>
    <row r="811" spans="1:1" ht="13" x14ac:dyDescent="0.15">
      <c r="A811" s="69"/>
    </row>
    <row r="812" spans="1:1" ht="13" x14ac:dyDescent="0.15">
      <c r="A812" s="69"/>
    </row>
    <row r="813" spans="1:1" ht="13" x14ac:dyDescent="0.15">
      <c r="A813" s="69"/>
    </row>
    <row r="814" spans="1:1" ht="13" x14ac:dyDescent="0.15">
      <c r="A814" s="69"/>
    </row>
    <row r="815" spans="1:1" ht="13" x14ac:dyDescent="0.15">
      <c r="A815" s="69"/>
    </row>
    <row r="816" spans="1:1" ht="13" x14ac:dyDescent="0.15">
      <c r="A816" s="69"/>
    </row>
    <row r="817" spans="1:1" ht="13" x14ac:dyDescent="0.15">
      <c r="A817" s="69"/>
    </row>
    <row r="818" spans="1:1" ht="13" x14ac:dyDescent="0.15">
      <c r="A818" s="69"/>
    </row>
    <row r="819" spans="1:1" ht="13" x14ac:dyDescent="0.15">
      <c r="A819" s="69"/>
    </row>
    <row r="820" spans="1:1" ht="13" x14ac:dyDescent="0.15">
      <c r="A820" s="69"/>
    </row>
    <row r="821" spans="1:1" ht="13" x14ac:dyDescent="0.15">
      <c r="A821" s="69"/>
    </row>
    <row r="822" spans="1:1" ht="13" x14ac:dyDescent="0.15">
      <c r="A822" s="69"/>
    </row>
    <row r="823" spans="1:1" ht="13" x14ac:dyDescent="0.15">
      <c r="A823" s="69"/>
    </row>
    <row r="824" spans="1:1" ht="13" x14ac:dyDescent="0.15">
      <c r="A824" s="69"/>
    </row>
    <row r="825" spans="1:1" ht="13" x14ac:dyDescent="0.15">
      <c r="A825" s="69"/>
    </row>
    <row r="826" spans="1:1" ht="13" x14ac:dyDescent="0.15">
      <c r="A826" s="69"/>
    </row>
    <row r="827" spans="1:1" ht="13" x14ac:dyDescent="0.15">
      <c r="A827" s="69"/>
    </row>
    <row r="828" spans="1:1" ht="13" x14ac:dyDescent="0.15">
      <c r="A828" s="69"/>
    </row>
    <row r="829" spans="1:1" ht="13" x14ac:dyDescent="0.15">
      <c r="A829" s="69"/>
    </row>
    <row r="830" spans="1:1" ht="13" x14ac:dyDescent="0.15">
      <c r="A830" s="69"/>
    </row>
    <row r="831" spans="1:1" ht="13" x14ac:dyDescent="0.15">
      <c r="A831" s="69"/>
    </row>
    <row r="832" spans="1:1" ht="13" x14ac:dyDescent="0.15">
      <c r="A832" s="69"/>
    </row>
    <row r="833" spans="1:1" ht="13" x14ac:dyDescent="0.15">
      <c r="A833" s="69"/>
    </row>
    <row r="834" spans="1:1" ht="13" x14ac:dyDescent="0.15">
      <c r="A834" s="69"/>
    </row>
    <row r="835" spans="1:1" ht="13" x14ac:dyDescent="0.15">
      <c r="A835" s="69"/>
    </row>
    <row r="836" spans="1:1" ht="13" x14ac:dyDescent="0.15">
      <c r="A836" s="69"/>
    </row>
    <row r="837" spans="1:1" ht="13" x14ac:dyDescent="0.15">
      <c r="A837" s="69"/>
    </row>
    <row r="838" spans="1:1" ht="13" x14ac:dyDescent="0.15">
      <c r="A838" s="69"/>
    </row>
    <row r="839" spans="1:1" ht="13" x14ac:dyDescent="0.15">
      <c r="A839" s="69"/>
    </row>
    <row r="840" spans="1:1" ht="13" x14ac:dyDescent="0.15">
      <c r="A840" s="69"/>
    </row>
    <row r="841" spans="1:1" ht="13" x14ac:dyDescent="0.15">
      <c r="A841" s="69"/>
    </row>
    <row r="842" spans="1:1" ht="13" x14ac:dyDescent="0.15">
      <c r="A842" s="69"/>
    </row>
    <row r="843" spans="1:1" ht="13" x14ac:dyDescent="0.15">
      <c r="A843" s="69"/>
    </row>
    <row r="844" spans="1:1" ht="13" x14ac:dyDescent="0.15">
      <c r="A844" s="69"/>
    </row>
    <row r="845" spans="1:1" ht="13" x14ac:dyDescent="0.15">
      <c r="A845" s="69"/>
    </row>
    <row r="846" spans="1:1" ht="13" x14ac:dyDescent="0.15">
      <c r="A846" s="69"/>
    </row>
    <row r="847" spans="1:1" ht="13" x14ac:dyDescent="0.15">
      <c r="A847" s="69"/>
    </row>
    <row r="848" spans="1:1" ht="13" x14ac:dyDescent="0.15">
      <c r="A848" s="69"/>
    </row>
    <row r="849" spans="1:1" ht="13" x14ac:dyDescent="0.15">
      <c r="A849" s="69"/>
    </row>
    <row r="850" spans="1:1" ht="13" x14ac:dyDescent="0.15">
      <c r="A850" s="69"/>
    </row>
    <row r="851" spans="1:1" ht="13" x14ac:dyDescent="0.15">
      <c r="A851" s="69"/>
    </row>
    <row r="852" spans="1:1" ht="13" x14ac:dyDescent="0.15">
      <c r="A852" s="69"/>
    </row>
    <row r="853" spans="1:1" ht="13" x14ac:dyDescent="0.15">
      <c r="A853" s="69"/>
    </row>
    <row r="854" spans="1:1" ht="13" x14ac:dyDescent="0.15">
      <c r="A854" s="69"/>
    </row>
    <row r="855" spans="1:1" ht="13" x14ac:dyDescent="0.15">
      <c r="A855" s="69"/>
    </row>
    <row r="856" spans="1:1" ht="13" x14ac:dyDescent="0.15">
      <c r="A856" s="69"/>
    </row>
    <row r="857" spans="1:1" ht="13" x14ac:dyDescent="0.15">
      <c r="A857" s="69"/>
    </row>
    <row r="858" spans="1:1" ht="13" x14ac:dyDescent="0.15">
      <c r="A858" s="69"/>
    </row>
    <row r="859" spans="1:1" ht="13" x14ac:dyDescent="0.15">
      <c r="A859" s="69"/>
    </row>
    <row r="860" spans="1:1" ht="13" x14ac:dyDescent="0.15">
      <c r="A860" s="69"/>
    </row>
    <row r="861" spans="1:1" ht="13" x14ac:dyDescent="0.15">
      <c r="A861" s="69"/>
    </row>
    <row r="862" spans="1:1" ht="13" x14ac:dyDescent="0.15">
      <c r="A862" s="69"/>
    </row>
    <row r="863" spans="1:1" ht="13" x14ac:dyDescent="0.15">
      <c r="A863" s="69"/>
    </row>
    <row r="864" spans="1:1" ht="13" x14ac:dyDescent="0.15">
      <c r="A864" s="69"/>
    </row>
    <row r="865" spans="1:1" ht="13" x14ac:dyDescent="0.15">
      <c r="A865" s="69"/>
    </row>
    <row r="866" spans="1:1" ht="13" x14ac:dyDescent="0.15">
      <c r="A866" s="69"/>
    </row>
    <row r="867" spans="1:1" ht="13" x14ac:dyDescent="0.15">
      <c r="A867" s="69"/>
    </row>
    <row r="868" spans="1:1" ht="13" x14ac:dyDescent="0.15">
      <c r="A868" s="69"/>
    </row>
    <row r="869" spans="1:1" ht="13" x14ac:dyDescent="0.15">
      <c r="A869" s="69"/>
    </row>
    <row r="870" spans="1:1" ht="13" x14ac:dyDescent="0.15">
      <c r="A870" s="69"/>
    </row>
    <row r="871" spans="1:1" ht="13" x14ac:dyDescent="0.15">
      <c r="A871" s="69"/>
    </row>
    <row r="872" spans="1:1" ht="13" x14ac:dyDescent="0.15">
      <c r="A872" s="69"/>
    </row>
    <row r="873" spans="1:1" ht="13" x14ac:dyDescent="0.15">
      <c r="A873" s="69"/>
    </row>
    <row r="874" spans="1:1" ht="13" x14ac:dyDescent="0.15">
      <c r="A874" s="69"/>
    </row>
    <row r="875" spans="1:1" ht="13" x14ac:dyDescent="0.15">
      <c r="A875" s="69"/>
    </row>
    <row r="876" spans="1:1" ht="13" x14ac:dyDescent="0.15">
      <c r="A876" s="69"/>
    </row>
    <row r="877" spans="1:1" ht="13" x14ac:dyDescent="0.15">
      <c r="A877" s="69"/>
    </row>
    <row r="878" spans="1:1" ht="13" x14ac:dyDescent="0.15">
      <c r="A878" s="69"/>
    </row>
    <row r="879" spans="1:1" ht="13" x14ac:dyDescent="0.15">
      <c r="A879" s="69"/>
    </row>
    <row r="880" spans="1:1" ht="13" x14ac:dyDescent="0.15">
      <c r="A880" s="69"/>
    </row>
    <row r="881" spans="1:1" ht="13" x14ac:dyDescent="0.15">
      <c r="A881" s="69"/>
    </row>
    <row r="882" spans="1:1" ht="13" x14ac:dyDescent="0.15">
      <c r="A882" s="69"/>
    </row>
    <row r="883" spans="1:1" ht="13" x14ac:dyDescent="0.15">
      <c r="A883" s="69"/>
    </row>
    <row r="884" spans="1:1" ht="13" x14ac:dyDescent="0.15">
      <c r="A884" s="69"/>
    </row>
    <row r="885" spans="1:1" ht="13" x14ac:dyDescent="0.15">
      <c r="A885" s="69"/>
    </row>
    <row r="886" spans="1:1" ht="13" x14ac:dyDescent="0.15">
      <c r="A886" s="69"/>
    </row>
    <row r="887" spans="1:1" ht="13" x14ac:dyDescent="0.15">
      <c r="A887" s="69"/>
    </row>
    <row r="888" spans="1:1" ht="13" x14ac:dyDescent="0.15">
      <c r="A888" s="69"/>
    </row>
    <row r="889" spans="1:1" ht="13" x14ac:dyDescent="0.15">
      <c r="A889" s="69"/>
    </row>
    <row r="890" spans="1:1" ht="13" x14ac:dyDescent="0.15">
      <c r="A890" s="69"/>
    </row>
    <row r="891" spans="1:1" ht="13" x14ac:dyDescent="0.15">
      <c r="A891" s="69"/>
    </row>
    <row r="892" spans="1:1" ht="13" x14ac:dyDescent="0.15">
      <c r="A892" s="69"/>
    </row>
    <row r="893" spans="1:1" ht="13" x14ac:dyDescent="0.15">
      <c r="A893" s="69"/>
    </row>
    <row r="894" spans="1:1" ht="13" x14ac:dyDescent="0.15">
      <c r="A894" s="69"/>
    </row>
    <row r="895" spans="1:1" ht="13" x14ac:dyDescent="0.15">
      <c r="A895" s="69"/>
    </row>
    <row r="896" spans="1:1" ht="13" x14ac:dyDescent="0.15">
      <c r="A896" s="69"/>
    </row>
    <row r="897" spans="1:1" ht="13" x14ac:dyDescent="0.15">
      <c r="A897" s="69"/>
    </row>
    <row r="898" spans="1:1" ht="13" x14ac:dyDescent="0.15">
      <c r="A898" s="69"/>
    </row>
    <row r="899" spans="1:1" ht="13" x14ac:dyDescent="0.15">
      <c r="A899" s="69"/>
    </row>
    <row r="900" spans="1:1" ht="13" x14ac:dyDescent="0.15">
      <c r="A900" s="69"/>
    </row>
    <row r="901" spans="1:1" ht="13" x14ac:dyDescent="0.15">
      <c r="A901" s="69"/>
    </row>
    <row r="902" spans="1:1" ht="13" x14ac:dyDescent="0.15">
      <c r="A902" s="69"/>
    </row>
    <row r="903" spans="1:1" ht="13" x14ac:dyDescent="0.15">
      <c r="A903" s="69"/>
    </row>
    <row r="904" spans="1:1" ht="13" x14ac:dyDescent="0.15">
      <c r="A904" s="69"/>
    </row>
    <row r="905" spans="1:1" ht="13" x14ac:dyDescent="0.15">
      <c r="A905" s="69"/>
    </row>
    <row r="906" spans="1:1" ht="13" x14ac:dyDescent="0.15">
      <c r="A906" s="69"/>
    </row>
    <row r="907" spans="1:1" ht="13" x14ac:dyDescent="0.15">
      <c r="A907" s="69"/>
    </row>
    <row r="908" spans="1:1" ht="13" x14ac:dyDescent="0.15">
      <c r="A908" s="69"/>
    </row>
    <row r="909" spans="1:1" ht="13" x14ac:dyDescent="0.15">
      <c r="A909" s="69"/>
    </row>
    <row r="910" spans="1:1" ht="13" x14ac:dyDescent="0.15">
      <c r="A910" s="69"/>
    </row>
    <row r="911" spans="1:1" ht="13" x14ac:dyDescent="0.15">
      <c r="A911" s="69"/>
    </row>
    <row r="912" spans="1:1" ht="13" x14ac:dyDescent="0.15">
      <c r="A912" s="69"/>
    </row>
    <row r="913" spans="1:1" ht="13" x14ac:dyDescent="0.15">
      <c r="A913" s="69"/>
    </row>
    <row r="914" spans="1:1" ht="13" x14ac:dyDescent="0.15">
      <c r="A914" s="69"/>
    </row>
    <row r="915" spans="1:1" ht="13" x14ac:dyDescent="0.15">
      <c r="A915" s="69"/>
    </row>
    <row r="916" spans="1:1" ht="13" x14ac:dyDescent="0.15">
      <c r="A916" s="69"/>
    </row>
    <row r="917" spans="1:1" ht="13" x14ac:dyDescent="0.15">
      <c r="A917" s="69"/>
    </row>
    <row r="918" spans="1:1" ht="13" x14ac:dyDescent="0.15">
      <c r="A918" s="69"/>
    </row>
    <row r="919" spans="1:1" ht="13" x14ac:dyDescent="0.15">
      <c r="A919" s="69"/>
    </row>
    <row r="920" spans="1:1" ht="13" x14ac:dyDescent="0.15">
      <c r="A920" s="69"/>
    </row>
    <row r="921" spans="1:1" ht="13" x14ac:dyDescent="0.15">
      <c r="A921" s="69"/>
    </row>
    <row r="922" spans="1:1" ht="13" x14ac:dyDescent="0.15">
      <c r="A922" s="69"/>
    </row>
    <row r="923" spans="1:1" ht="13" x14ac:dyDescent="0.15">
      <c r="A923" s="69"/>
    </row>
    <row r="924" spans="1:1" ht="13" x14ac:dyDescent="0.15">
      <c r="A924" s="69"/>
    </row>
    <row r="925" spans="1:1" ht="13" x14ac:dyDescent="0.15">
      <c r="A925" s="69"/>
    </row>
    <row r="926" spans="1:1" ht="13" x14ac:dyDescent="0.15">
      <c r="A926" s="69"/>
    </row>
    <row r="927" spans="1:1" ht="13" x14ac:dyDescent="0.15">
      <c r="A927" s="69"/>
    </row>
    <row r="928" spans="1:1" ht="13" x14ac:dyDescent="0.15">
      <c r="A928" s="69"/>
    </row>
    <row r="929" spans="1:1" ht="13" x14ac:dyDescent="0.15">
      <c r="A929" s="69"/>
    </row>
    <row r="930" spans="1:1" ht="13" x14ac:dyDescent="0.15">
      <c r="A930" s="69"/>
    </row>
    <row r="931" spans="1:1" ht="13" x14ac:dyDescent="0.15">
      <c r="A931" s="69"/>
    </row>
    <row r="932" spans="1:1" ht="13" x14ac:dyDescent="0.15">
      <c r="A932" s="69"/>
    </row>
    <row r="933" spans="1:1" ht="13" x14ac:dyDescent="0.15">
      <c r="A933" s="69"/>
    </row>
    <row r="934" spans="1:1" ht="13" x14ac:dyDescent="0.15">
      <c r="A934" s="69"/>
    </row>
    <row r="935" spans="1:1" ht="13" x14ac:dyDescent="0.15">
      <c r="A935" s="69"/>
    </row>
    <row r="936" spans="1:1" ht="13" x14ac:dyDescent="0.15">
      <c r="A936" s="69"/>
    </row>
    <row r="937" spans="1:1" ht="13" x14ac:dyDescent="0.15">
      <c r="A937" s="69"/>
    </row>
    <row r="938" spans="1:1" ht="13" x14ac:dyDescent="0.15">
      <c r="A938" s="69"/>
    </row>
    <row r="939" spans="1:1" ht="13" x14ac:dyDescent="0.15">
      <c r="A939" s="69"/>
    </row>
    <row r="940" spans="1:1" ht="13" x14ac:dyDescent="0.15">
      <c r="A940" s="69"/>
    </row>
    <row r="941" spans="1:1" ht="13" x14ac:dyDescent="0.15">
      <c r="A941" s="69"/>
    </row>
    <row r="942" spans="1:1" ht="13" x14ac:dyDescent="0.15">
      <c r="A942" s="69"/>
    </row>
    <row r="943" spans="1:1" ht="13" x14ac:dyDescent="0.15">
      <c r="A943" s="69"/>
    </row>
    <row r="944" spans="1:1" ht="13" x14ac:dyDescent="0.15">
      <c r="A944" s="69"/>
    </row>
    <row r="945" spans="1:1" ht="13" x14ac:dyDescent="0.15">
      <c r="A945" s="69"/>
    </row>
    <row r="946" spans="1:1" ht="13" x14ac:dyDescent="0.15">
      <c r="A946" s="69"/>
    </row>
    <row r="947" spans="1:1" ht="13" x14ac:dyDescent="0.15">
      <c r="A947" s="69"/>
    </row>
    <row r="948" spans="1:1" ht="13" x14ac:dyDescent="0.15">
      <c r="A948" s="69"/>
    </row>
    <row r="949" spans="1:1" ht="13" x14ac:dyDescent="0.15">
      <c r="A949" s="69"/>
    </row>
    <row r="950" spans="1:1" ht="13" x14ac:dyDescent="0.15">
      <c r="A950" s="69"/>
    </row>
    <row r="951" spans="1:1" ht="13" x14ac:dyDescent="0.15">
      <c r="A951" s="69"/>
    </row>
    <row r="952" spans="1:1" ht="13" x14ac:dyDescent="0.15">
      <c r="A952" s="69"/>
    </row>
    <row r="953" spans="1:1" ht="13" x14ac:dyDescent="0.15">
      <c r="A953" s="69"/>
    </row>
    <row r="954" spans="1:1" ht="13" x14ac:dyDescent="0.15">
      <c r="A954" s="69"/>
    </row>
    <row r="955" spans="1:1" ht="13" x14ac:dyDescent="0.15">
      <c r="A955" s="69"/>
    </row>
    <row r="956" spans="1:1" ht="13" x14ac:dyDescent="0.15">
      <c r="A956" s="69"/>
    </row>
    <row r="957" spans="1:1" ht="13" x14ac:dyDescent="0.15">
      <c r="A957" s="69"/>
    </row>
    <row r="958" spans="1:1" ht="13" x14ac:dyDescent="0.15">
      <c r="A958" s="69"/>
    </row>
    <row r="959" spans="1:1" ht="13" x14ac:dyDescent="0.15">
      <c r="A959" s="69"/>
    </row>
    <row r="960" spans="1:1" ht="13" x14ac:dyDescent="0.15">
      <c r="A960" s="69"/>
    </row>
    <row r="961" spans="1:1" ht="13" x14ac:dyDescent="0.15">
      <c r="A961" s="69"/>
    </row>
    <row r="962" spans="1:1" ht="13" x14ac:dyDescent="0.15">
      <c r="A962" s="69"/>
    </row>
    <row r="963" spans="1:1" ht="13" x14ac:dyDescent="0.15">
      <c r="A963" s="69"/>
    </row>
    <row r="964" spans="1:1" ht="13" x14ac:dyDescent="0.15">
      <c r="A964" s="69"/>
    </row>
    <row r="965" spans="1:1" ht="13" x14ac:dyDescent="0.15">
      <c r="A965" s="69"/>
    </row>
    <row r="966" spans="1:1" ht="13" x14ac:dyDescent="0.15">
      <c r="A966" s="69"/>
    </row>
    <row r="967" spans="1:1" ht="13" x14ac:dyDescent="0.15">
      <c r="A967" s="69"/>
    </row>
    <row r="968" spans="1:1" ht="13" x14ac:dyDescent="0.15">
      <c r="A968" s="69"/>
    </row>
    <row r="969" spans="1:1" ht="13" x14ac:dyDescent="0.15">
      <c r="A969" s="69"/>
    </row>
    <row r="970" spans="1:1" ht="13" x14ac:dyDescent="0.15">
      <c r="A970" s="69"/>
    </row>
    <row r="971" spans="1:1" ht="13" x14ac:dyDescent="0.15">
      <c r="A971" s="69"/>
    </row>
    <row r="972" spans="1:1" ht="13" x14ac:dyDescent="0.15">
      <c r="A972" s="69"/>
    </row>
    <row r="973" spans="1:1" ht="13" x14ac:dyDescent="0.15">
      <c r="A973" s="69"/>
    </row>
    <row r="974" spans="1:1" ht="13" x14ac:dyDescent="0.15">
      <c r="A974" s="69"/>
    </row>
    <row r="975" spans="1:1" ht="13" x14ac:dyDescent="0.15">
      <c r="A975" s="69"/>
    </row>
    <row r="976" spans="1:1" ht="13" x14ac:dyDescent="0.15">
      <c r="A976" s="69"/>
    </row>
    <row r="977" spans="1:1" ht="13" x14ac:dyDescent="0.15">
      <c r="A977" s="69"/>
    </row>
    <row r="978" spans="1:1" ht="13" x14ac:dyDescent="0.15">
      <c r="A978" s="69"/>
    </row>
  </sheetData>
  <mergeCells count="4">
    <mergeCell ref="C73:C74"/>
    <mergeCell ref="D73:D74"/>
    <mergeCell ref="D72:H72"/>
    <mergeCell ref="E73:H73"/>
  </mergeCells>
  <pageMargins left="0.75" right="0.75" top="1" bottom="1" header="0.5" footer="0.5"/>
  <pageSetup orientation="portrait" horizontalDpi="4294967292" verticalDpi="4294967292"/>
  <drawing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74"/>
  <sheetViews>
    <sheetView topLeftCell="E55" workbookViewId="0">
      <selection activeCell="O90" sqref="O90"/>
    </sheetView>
  </sheetViews>
  <sheetFormatPr baseColWidth="10" defaultRowHeight="13" x14ac:dyDescent="0.15"/>
  <cols>
    <col min="1" max="1" width="5.1640625" customWidth="1" collapsed="1"/>
    <col min="2" max="2" width="41" customWidth="1" collapsed="1"/>
    <col min="3" max="3" width="7.6640625" customWidth="1" collapsed="1"/>
    <col min="4" max="4" width="9.5" customWidth="1" collapsed="1"/>
    <col min="5" max="5" width="10.5" customWidth="1" collapsed="1"/>
    <col min="6" max="6" width="2.83203125" customWidth="1" collapsed="1"/>
    <col min="8" max="8" width="10.83203125" style="107" collapsed="1"/>
    <col min="11" max="11" width="11.83203125" customWidth="1" collapsed="1"/>
    <col min="13" max="14" width="10.83203125" style="107" collapsed="1"/>
    <col min="16" max="16" width="3.1640625" customWidth="1" collapsed="1"/>
    <col min="18" max="18" width="11.83203125" style="107" bestFit="1" customWidth="1" collapsed="1"/>
    <col min="19" max="19" width="10.83203125" style="107" collapsed="1"/>
  </cols>
  <sheetData>
    <row r="1" spans="1:20" x14ac:dyDescent="0.15">
      <c r="A1" t="s">
        <v>95</v>
      </c>
      <c r="B1" s="114"/>
      <c r="C1" s="1"/>
      <c r="D1" s="1"/>
      <c r="E1" s="1"/>
    </row>
    <row r="2" spans="1:20" ht="16" x14ac:dyDescent="0.2">
      <c r="B2" s="4" t="s">
        <v>0</v>
      </c>
      <c r="C2" s="4">
        <v>1990</v>
      </c>
      <c r="D2" s="4">
        <v>2000</v>
      </c>
      <c r="E2" s="4">
        <v>2010</v>
      </c>
      <c r="G2" s="147">
        <v>1990</v>
      </c>
      <c r="H2" s="147"/>
      <c r="I2" s="137"/>
      <c r="J2" s="137"/>
      <c r="K2" s="137"/>
      <c r="L2" s="137">
        <v>2000</v>
      </c>
      <c r="M2" s="138"/>
      <c r="N2" s="138"/>
      <c r="O2" s="137"/>
      <c r="P2" s="137"/>
      <c r="Q2" s="137">
        <v>2010</v>
      </c>
      <c r="R2" s="138"/>
    </row>
    <row r="3" spans="1:20" ht="13" customHeight="1" x14ac:dyDescent="0.15">
      <c r="B3" s="115" t="s">
        <v>45</v>
      </c>
      <c r="C3" s="116">
        <f>C6+C7-C8-C9+C10-C11-C12-C13-C14-C15-C16-C17-C18-C19+C20-C21-C22-C23+C24-C25+C26+C27-C28-C29</f>
        <v>407.02585999403749</v>
      </c>
      <c r="D3" s="116">
        <f t="shared" ref="D3:E3" si="0">D6+D7-D8-D9+D10-D11-D12-D13-D14-D15-D16-D17-D18-D19+D20-D21-D22-D23+D24-D25+D26+D27-D28-D29</f>
        <v>478.44539962194631</v>
      </c>
      <c r="E3" s="116">
        <f t="shared" si="0"/>
        <v>694.49243025788894</v>
      </c>
      <c r="G3" s="146" t="s">
        <v>1</v>
      </c>
      <c r="H3" s="146"/>
      <c r="L3" s="146" t="s">
        <v>1</v>
      </c>
      <c r="M3" s="146"/>
      <c r="Q3" s="146" t="s">
        <v>1</v>
      </c>
      <c r="R3" s="146"/>
    </row>
    <row r="4" spans="1:20" ht="13" customHeight="1" x14ac:dyDescent="0.15">
      <c r="B4" s="117" t="s">
        <v>40</v>
      </c>
      <c r="C4" s="117">
        <v>407.29</v>
      </c>
      <c r="D4" s="117">
        <v>563.67999999999995</v>
      </c>
      <c r="E4" s="117">
        <v>775.59</v>
      </c>
      <c r="G4" s="146"/>
      <c r="H4" s="146"/>
      <c r="I4" s="106" t="s">
        <v>75</v>
      </c>
      <c r="J4" s="106" t="s">
        <v>39</v>
      </c>
      <c r="L4" s="146"/>
      <c r="M4" s="146"/>
      <c r="N4" s="113" t="s">
        <v>75</v>
      </c>
      <c r="O4" s="106" t="s">
        <v>39</v>
      </c>
      <c r="Q4" s="146"/>
      <c r="R4" s="146"/>
      <c r="S4" s="113" t="s">
        <v>75</v>
      </c>
      <c r="T4" s="106" t="s">
        <v>39</v>
      </c>
    </row>
    <row r="5" spans="1:20" x14ac:dyDescent="0.15">
      <c r="B5" s="117" t="s">
        <v>41</v>
      </c>
      <c r="C5" s="117">
        <v>1.0329999999999999</v>
      </c>
      <c r="D5" s="117">
        <v>1.1479999999999999</v>
      </c>
      <c r="E5" s="117">
        <v>1.2190000000000001</v>
      </c>
      <c r="I5" s="107">
        <f>C3</f>
        <v>407.02585999403749</v>
      </c>
      <c r="N5" s="107">
        <f>D3</f>
        <v>478.44539962194631</v>
      </c>
      <c r="S5" s="107">
        <f>E3</f>
        <v>694.49243025788894</v>
      </c>
    </row>
    <row r="6" spans="1:20" x14ac:dyDescent="0.15">
      <c r="A6" t="s">
        <v>96</v>
      </c>
      <c r="B6" s="117" t="s">
        <v>1</v>
      </c>
      <c r="C6" s="117">
        <v>427.84</v>
      </c>
      <c r="D6" s="117">
        <v>532.91</v>
      </c>
      <c r="E6" s="117">
        <v>690.9</v>
      </c>
      <c r="G6" s="105">
        <v>0.8</v>
      </c>
      <c r="H6" s="107">
        <f>0.8*H8</f>
        <v>342.27199999999999</v>
      </c>
      <c r="I6" s="107">
        <f t="dataTable" ref="I6:I10" dt2D="0" dtr="0" r1="C6" ca="1"/>
        <v>321.45785999403745</v>
      </c>
      <c r="J6" s="111">
        <f>(I6-I8)/I8</f>
        <v>-0.21022742879593331</v>
      </c>
      <c r="K6" s="107"/>
      <c r="L6" s="105">
        <v>0.8</v>
      </c>
      <c r="M6" s="107">
        <f>0.8*M8</f>
        <v>426.32799999999997</v>
      </c>
      <c r="N6" s="107">
        <f t="dataTable" ref="N6:N10" dt2D="0" dtr="0" r1="D6" ca="1"/>
        <v>371.8633996219462</v>
      </c>
      <c r="O6" s="111">
        <f>(N6-N8)/N8</f>
        <v>-0.22276732117022782</v>
      </c>
      <c r="Q6" s="105">
        <v>0.8</v>
      </c>
      <c r="R6" s="107">
        <f>0.8*R8</f>
        <v>552.72</v>
      </c>
      <c r="S6" s="107">
        <f t="dataTable" ref="S6:S10" dt2D="0" dtr="0" r1="E6" ca="1"/>
        <v>556.31243025788899</v>
      </c>
      <c r="T6" s="111">
        <f>(S6-S8)/S8</f>
        <v>-0.1989654515725808</v>
      </c>
    </row>
    <row r="7" spans="1:20" x14ac:dyDescent="0.15">
      <c r="B7" s="117" t="s">
        <v>2</v>
      </c>
      <c r="C7" s="117">
        <v>64.452799999999996</v>
      </c>
      <c r="D7" s="117">
        <v>101.71980000000001</v>
      </c>
      <c r="E7" s="117">
        <v>121.6172</v>
      </c>
      <c r="G7" s="105">
        <v>0.9</v>
      </c>
      <c r="H7" s="107">
        <f>0.9*H8</f>
        <v>385.05599999999998</v>
      </c>
      <c r="I7" s="107">
        <v>364.24185999403738</v>
      </c>
      <c r="J7" s="111">
        <f>(I7-I8)/I8</f>
        <v>-0.10511371439796686</v>
      </c>
      <c r="K7" s="107"/>
      <c r="L7" s="105">
        <v>0.9</v>
      </c>
      <c r="M7" s="107">
        <f>0.9*M8</f>
        <v>479.61899999999997</v>
      </c>
      <c r="N7" s="107">
        <v>425.15439962194625</v>
      </c>
      <c r="O7" s="111">
        <f>(N7-N8)/N8</f>
        <v>-0.11138366058511391</v>
      </c>
      <c r="Q7" s="105">
        <v>0.9</v>
      </c>
      <c r="R7" s="107">
        <f>0.9*R8</f>
        <v>621.80999999999995</v>
      </c>
      <c r="S7" s="107">
        <v>625.40243025788891</v>
      </c>
      <c r="T7" s="111">
        <f>(S7-S8)/S8</f>
        <v>-9.9482725786290485E-2</v>
      </c>
    </row>
    <row r="8" spans="1:20" x14ac:dyDescent="0.15">
      <c r="B8" s="117" t="s">
        <v>3</v>
      </c>
      <c r="C8" s="117">
        <v>62.345762710000002</v>
      </c>
      <c r="D8" s="117">
        <v>72.316005469999993</v>
      </c>
      <c r="E8" s="117">
        <v>78.787409699999998</v>
      </c>
      <c r="G8" s="108">
        <v>1</v>
      </c>
      <c r="H8" s="118">
        <v>427.84</v>
      </c>
      <c r="I8" s="109">
        <v>407.02585999403749</v>
      </c>
      <c r="J8" s="112">
        <v>0</v>
      </c>
      <c r="K8" s="107"/>
      <c r="L8" s="108">
        <v>1</v>
      </c>
      <c r="M8" s="118">
        <v>532.91</v>
      </c>
      <c r="N8" s="109">
        <v>478.44539962194631</v>
      </c>
      <c r="O8" s="112">
        <v>0</v>
      </c>
      <c r="Q8" s="108">
        <v>1</v>
      </c>
      <c r="R8" s="118">
        <v>690.9</v>
      </c>
      <c r="S8" s="109">
        <v>694.49243025788894</v>
      </c>
      <c r="T8" s="112">
        <v>0</v>
      </c>
    </row>
    <row r="9" spans="1:20" x14ac:dyDescent="0.15">
      <c r="B9" s="117" t="s">
        <v>4</v>
      </c>
      <c r="C9" s="117">
        <v>5.8201694420000001</v>
      </c>
      <c r="D9" s="117">
        <v>13.062227930000001</v>
      </c>
      <c r="E9" s="117">
        <v>21.657863500000001</v>
      </c>
      <c r="G9" s="105">
        <v>1.1000000000000001</v>
      </c>
      <c r="H9" s="107">
        <f>1.1*H8</f>
        <v>470.62400000000002</v>
      </c>
      <c r="I9" s="107">
        <v>449.80985999403759</v>
      </c>
      <c r="J9" s="111">
        <f>(I9-I8)/I8</f>
        <v>0.10511371439796686</v>
      </c>
      <c r="K9" s="107"/>
      <c r="L9" s="105">
        <v>1.1000000000000001</v>
      </c>
      <c r="M9" s="107">
        <f>1.1*M8</f>
        <v>586.20100000000002</v>
      </c>
      <c r="N9" s="107">
        <v>531.73639962194625</v>
      </c>
      <c r="O9" s="111">
        <f>(N9-N8)/N8</f>
        <v>0.11138366058511368</v>
      </c>
      <c r="Q9" s="105">
        <v>1.1000000000000001</v>
      </c>
      <c r="R9" s="107">
        <f>1.1*R8</f>
        <v>759.99</v>
      </c>
      <c r="S9" s="107">
        <v>763.58243025788897</v>
      </c>
      <c r="T9" s="111">
        <f>(S9-S8)/S8</f>
        <v>9.9482725786290485E-2</v>
      </c>
    </row>
    <row r="10" spans="1:20" x14ac:dyDescent="0.15">
      <c r="B10" s="117" t="s">
        <v>5</v>
      </c>
      <c r="C10" s="117">
        <v>26.02</v>
      </c>
      <c r="D10" s="117">
        <v>39.520000000000003</v>
      </c>
      <c r="E10" s="117">
        <v>91.53</v>
      </c>
      <c r="G10" s="105">
        <v>1.2</v>
      </c>
      <c r="H10" s="107">
        <f>1.2*H8</f>
        <v>513.4079999999999</v>
      </c>
      <c r="I10" s="107">
        <v>492.59385999403747</v>
      </c>
      <c r="J10" s="111">
        <f>(I10-I8)/I8</f>
        <v>0.21022742879593317</v>
      </c>
      <c r="K10" s="107"/>
      <c r="L10" s="105">
        <v>1.2</v>
      </c>
      <c r="M10" s="107">
        <f>1.2*M8</f>
        <v>639.49199999999996</v>
      </c>
      <c r="N10" s="107">
        <v>585.02739962194619</v>
      </c>
      <c r="O10" s="111">
        <f>(N10-N8)/N8</f>
        <v>0.22276732117022735</v>
      </c>
      <c r="Q10" s="105">
        <v>1.2</v>
      </c>
      <c r="R10" s="107">
        <f>1.2*R8</f>
        <v>829.07999999999993</v>
      </c>
      <c r="S10" s="107">
        <v>832.672430257889</v>
      </c>
      <c r="T10" s="111">
        <f>(S10-S8)/S8</f>
        <v>0.19896545157258097</v>
      </c>
    </row>
    <row r="11" spans="1:20" x14ac:dyDescent="0.15">
      <c r="B11" s="119" t="s">
        <v>6</v>
      </c>
      <c r="C11" s="120">
        <v>1.3149999999999999</v>
      </c>
      <c r="D11" s="120">
        <v>2.1629999999999998</v>
      </c>
      <c r="E11" s="120">
        <v>3.746</v>
      </c>
      <c r="I11" s="107"/>
      <c r="J11" s="111"/>
      <c r="O11" s="111"/>
      <c r="T11" s="111"/>
    </row>
    <row r="12" spans="1:20" ht="13" customHeight="1" x14ac:dyDescent="0.15">
      <c r="A12" t="s">
        <v>96</v>
      </c>
      <c r="B12" s="119" t="s">
        <v>7</v>
      </c>
      <c r="C12" s="119">
        <v>4.55</v>
      </c>
      <c r="D12" s="119">
        <v>4.79</v>
      </c>
      <c r="E12" s="119">
        <v>5.0599999999999996</v>
      </c>
      <c r="G12" s="146" t="s">
        <v>12</v>
      </c>
      <c r="H12" s="146"/>
      <c r="I12" s="107"/>
      <c r="J12" s="111"/>
      <c r="L12" s="146" t="s">
        <v>12</v>
      </c>
      <c r="M12" s="146"/>
      <c r="O12" s="111"/>
      <c r="Q12" s="146" t="s">
        <v>12</v>
      </c>
      <c r="R12" s="146"/>
      <c r="T12" s="111"/>
    </row>
    <row r="13" spans="1:20" x14ac:dyDescent="0.15">
      <c r="B13" s="119" t="s">
        <v>8</v>
      </c>
      <c r="C13" s="119"/>
      <c r="D13" s="119"/>
      <c r="E13" s="119"/>
      <c r="G13" s="146"/>
      <c r="H13" s="146"/>
      <c r="I13" s="107" t="s">
        <v>75</v>
      </c>
      <c r="J13" s="111" t="s">
        <v>97</v>
      </c>
      <c r="L13" s="146"/>
      <c r="M13" s="146"/>
      <c r="N13" s="107" t="s">
        <v>75</v>
      </c>
      <c r="O13" s="111" t="s">
        <v>97</v>
      </c>
      <c r="Q13" s="146"/>
      <c r="R13" s="146"/>
      <c r="S13" s="107" t="s">
        <v>75</v>
      </c>
      <c r="T13" s="111" t="s">
        <v>97</v>
      </c>
    </row>
    <row r="14" spans="1:20" x14ac:dyDescent="0.15">
      <c r="B14" s="119" t="s">
        <v>9</v>
      </c>
      <c r="C14" s="119"/>
      <c r="D14" s="119"/>
      <c r="E14" s="119"/>
      <c r="I14" s="107">
        <f>C3</f>
        <v>407.02585999403749</v>
      </c>
      <c r="J14" s="111"/>
      <c r="N14" s="107">
        <f>D3</f>
        <v>478.44539962194631</v>
      </c>
      <c r="O14" s="111"/>
      <c r="S14" s="107">
        <f>E3</f>
        <v>694.49243025788894</v>
      </c>
      <c r="T14" s="111"/>
    </row>
    <row r="15" spans="1:20" x14ac:dyDescent="0.15">
      <c r="B15" s="119" t="s">
        <v>10</v>
      </c>
      <c r="C15" s="121">
        <v>0.27</v>
      </c>
      <c r="D15" s="121">
        <v>0.27</v>
      </c>
      <c r="E15" s="121">
        <v>0.23</v>
      </c>
      <c r="G15" s="105">
        <v>0.8</v>
      </c>
      <c r="H15" s="107">
        <v>84.808000000000007</v>
      </c>
      <c r="I15" s="107">
        <f t="dataTable" ref="I15:I19" dt2D="0" dtr="0" r1="C17" ca="1"/>
        <v>428.22785999403749</v>
      </c>
      <c r="J15" s="111">
        <f>(I15-I17)/I17</f>
        <v>5.2090056391774678E-2</v>
      </c>
      <c r="L15" s="105">
        <v>0.8</v>
      </c>
      <c r="M15" s="107">
        <f>0.8*M17</f>
        <v>109.19200000000001</v>
      </c>
      <c r="N15" s="107">
        <f t="dataTable" ref="N15:N19" dt2D="0" dtr="0" r1="D17" ca="1"/>
        <v>505.74339962194631</v>
      </c>
      <c r="O15" s="111">
        <f>(N15-N17)/N17</f>
        <v>5.7055622274913897E-2</v>
      </c>
      <c r="Q15" s="105">
        <v>0.8</v>
      </c>
      <c r="R15" s="107">
        <f>0.8*R17</f>
        <v>126.104</v>
      </c>
      <c r="S15" s="107">
        <f t="dataTable" ref="S15:S19" dt2D="0" dtr="0" r1="E17" ca="1"/>
        <v>726.01843025788889</v>
      </c>
      <c r="T15" s="111">
        <f>(S15-S17)/S17</f>
        <v>4.5394303273101573E-2</v>
      </c>
    </row>
    <row r="16" spans="1:20" x14ac:dyDescent="0.15">
      <c r="B16" s="119" t="s">
        <v>11</v>
      </c>
      <c r="C16" s="119">
        <v>1.28</v>
      </c>
      <c r="D16" s="119">
        <v>1</v>
      </c>
      <c r="E16" s="119"/>
      <c r="G16" s="105">
        <v>0.9</v>
      </c>
      <c r="H16" s="107">
        <v>95.409000000000006</v>
      </c>
      <c r="I16" s="107">
        <v>417.62685999403737</v>
      </c>
      <c r="J16" s="111">
        <f>(I16-I17)/I17</f>
        <v>2.6045028195887061E-2</v>
      </c>
      <c r="L16" s="105">
        <v>0.9</v>
      </c>
      <c r="M16" s="107">
        <f>0.9*M17</f>
        <v>122.84100000000001</v>
      </c>
      <c r="N16" s="107">
        <v>492.09439962194631</v>
      </c>
      <c r="O16" s="111">
        <f>(N16-N17)/N17</f>
        <v>2.8527811137456949E-2</v>
      </c>
      <c r="Q16" s="105">
        <v>0.9</v>
      </c>
      <c r="R16" s="107">
        <f>0.9*R17</f>
        <v>141.86699999999999</v>
      </c>
      <c r="S16" s="107">
        <v>710.25543025788897</v>
      </c>
      <c r="T16" s="111">
        <f>(S16-S17)/S17</f>
        <v>2.269715163655087E-2</v>
      </c>
    </row>
    <row r="17" spans="1:20" x14ac:dyDescent="0.15">
      <c r="B17" s="119" t="s">
        <v>12</v>
      </c>
      <c r="C17" s="119">
        <v>106.01</v>
      </c>
      <c r="D17" s="119">
        <v>136.49</v>
      </c>
      <c r="E17" s="119">
        <v>157.63</v>
      </c>
      <c r="G17" s="108">
        <v>1</v>
      </c>
      <c r="H17" s="109">
        <v>106.01</v>
      </c>
      <c r="I17" s="109">
        <v>407.02585999403749</v>
      </c>
      <c r="J17" s="112">
        <v>0</v>
      </c>
      <c r="L17" s="108">
        <v>1</v>
      </c>
      <c r="M17" s="118">
        <v>136.49</v>
      </c>
      <c r="N17" s="109">
        <v>478.44539962194631</v>
      </c>
      <c r="O17" s="112">
        <v>0</v>
      </c>
      <c r="Q17" s="108">
        <v>1</v>
      </c>
      <c r="R17" s="118">
        <v>157.63</v>
      </c>
      <c r="S17" s="109">
        <v>694.49243025788894</v>
      </c>
      <c r="T17" s="112">
        <v>0</v>
      </c>
    </row>
    <row r="18" spans="1:20" x14ac:dyDescent="0.15">
      <c r="B18" s="119" t="s">
        <v>13</v>
      </c>
      <c r="C18" s="119">
        <v>24.7</v>
      </c>
      <c r="D18" s="119">
        <v>28.01</v>
      </c>
      <c r="E18" s="119">
        <v>29.29</v>
      </c>
      <c r="G18" s="105">
        <v>1.1000000000000001</v>
      </c>
      <c r="H18" s="107">
        <v>116.61100000000002</v>
      </c>
      <c r="I18" s="107">
        <v>396.42485999403738</v>
      </c>
      <c r="J18" s="111">
        <f>(I18-I17)/I17</f>
        <v>-2.604502819588762E-2</v>
      </c>
      <c r="L18" s="105">
        <v>1.1000000000000001</v>
      </c>
      <c r="M18" s="107">
        <f>1.1*M17</f>
        <v>150.13900000000001</v>
      </c>
      <c r="N18" s="107">
        <v>464.79639962194631</v>
      </c>
      <c r="O18" s="111">
        <f>(N18-N17)/N17</f>
        <v>-2.8527811137456949E-2</v>
      </c>
      <c r="Q18" s="105">
        <v>1.1000000000000001</v>
      </c>
      <c r="R18" s="107">
        <f>1.1*R17</f>
        <v>173.393</v>
      </c>
      <c r="S18" s="107">
        <v>678.72943025788891</v>
      </c>
      <c r="T18" s="111">
        <f>(S18-S17)/S17</f>
        <v>-2.269715163655087E-2</v>
      </c>
    </row>
    <row r="19" spans="1:20" x14ac:dyDescent="0.15">
      <c r="A19" t="s">
        <v>96</v>
      </c>
      <c r="B19" s="119" t="s">
        <v>14</v>
      </c>
      <c r="C19" s="119">
        <v>57.87</v>
      </c>
      <c r="D19" s="119">
        <v>77.180000000000007</v>
      </c>
      <c r="E19" s="119">
        <v>95.39</v>
      </c>
      <c r="G19" s="105">
        <v>1.2</v>
      </c>
      <c r="H19" s="107">
        <v>127.212</v>
      </c>
      <c r="I19" s="107">
        <v>385.82385999403749</v>
      </c>
      <c r="J19" s="111">
        <f>(I19-I17)/I17</f>
        <v>-5.2090056391774678E-2</v>
      </c>
      <c r="L19" s="105">
        <v>1.2</v>
      </c>
      <c r="M19" s="107">
        <f>1.2*M17</f>
        <v>163.78800000000001</v>
      </c>
      <c r="N19" s="107">
        <v>451.14739962194631</v>
      </c>
      <c r="O19" s="111">
        <f>(N19-N17)/N17</f>
        <v>-5.7055622274913897E-2</v>
      </c>
      <c r="Q19" s="105">
        <v>1.2</v>
      </c>
      <c r="R19" s="107">
        <f>1.2*R17</f>
        <v>189.15599999999998</v>
      </c>
      <c r="S19" s="107">
        <v>662.96643025788899</v>
      </c>
      <c r="T19" s="111">
        <f>(S19-S17)/S17</f>
        <v>-4.5394303273101573E-2</v>
      </c>
    </row>
    <row r="20" spans="1:20" x14ac:dyDescent="0.15">
      <c r="A20" t="s">
        <v>96</v>
      </c>
      <c r="B20" s="122" t="s">
        <v>15</v>
      </c>
      <c r="C20" s="123">
        <v>287.57676259060003</v>
      </c>
      <c r="D20" s="123">
        <v>305.9155963238</v>
      </c>
      <c r="E20" s="123">
        <v>336.68058765199999</v>
      </c>
      <c r="I20" s="107"/>
      <c r="J20" s="111"/>
      <c r="O20" s="111"/>
      <c r="T20" s="111"/>
    </row>
    <row r="21" spans="1:20" ht="13" customHeight="1" x14ac:dyDescent="0.15">
      <c r="A21" t="s">
        <v>96</v>
      </c>
      <c r="B21" s="122" t="s">
        <v>16</v>
      </c>
      <c r="C21" s="124">
        <v>8.0629673188717899</v>
      </c>
      <c r="D21" s="124">
        <v>9.7945102761437202</v>
      </c>
      <c r="E21" s="124">
        <v>11.2080547133687</v>
      </c>
      <c r="G21" s="146" t="s">
        <v>15</v>
      </c>
      <c r="H21" s="146"/>
      <c r="I21" s="107"/>
      <c r="J21" s="111"/>
      <c r="L21" s="146" t="s">
        <v>15</v>
      </c>
      <c r="M21" s="146"/>
      <c r="O21" s="111"/>
      <c r="Q21" s="146" t="s">
        <v>15</v>
      </c>
      <c r="R21" s="146"/>
      <c r="T21" s="111"/>
    </row>
    <row r="22" spans="1:20" x14ac:dyDescent="0.15">
      <c r="B22" s="122" t="s">
        <v>17</v>
      </c>
      <c r="C22" s="122">
        <v>8.59</v>
      </c>
      <c r="D22" s="122">
        <v>10.98</v>
      </c>
      <c r="E22" s="122">
        <v>7.09</v>
      </c>
      <c r="G22" s="146"/>
      <c r="H22" s="146"/>
      <c r="I22" s="107" t="s">
        <v>75</v>
      </c>
      <c r="J22" s="111" t="s">
        <v>97</v>
      </c>
      <c r="L22" s="146"/>
      <c r="M22" s="146"/>
      <c r="N22" s="107" t="s">
        <v>75</v>
      </c>
      <c r="O22" s="111" t="s">
        <v>97</v>
      </c>
      <c r="Q22" s="146"/>
      <c r="R22" s="146"/>
      <c r="S22" s="107" t="s">
        <v>75</v>
      </c>
      <c r="T22" s="111" t="s">
        <v>97</v>
      </c>
    </row>
    <row r="23" spans="1:20" x14ac:dyDescent="0.15">
      <c r="B23" s="122" t="s">
        <v>18</v>
      </c>
      <c r="C23" s="122"/>
      <c r="D23" s="122"/>
      <c r="E23" s="122"/>
      <c r="I23" s="107">
        <f>C3</f>
        <v>407.02585999403749</v>
      </c>
      <c r="J23" s="111"/>
      <c r="N23" s="107">
        <f>D3</f>
        <v>478.44539962194631</v>
      </c>
      <c r="O23" s="111"/>
      <c r="S23" s="107">
        <f>E3</f>
        <v>694.49243025788894</v>
      </c>
      <c r="T23" s="111"/>
    </row>
    <row r="24" spans="1:20" x14ac:dyDescent="0.15">
      <c r="B24" s="122" t="s">
        <v>19</v>
      </c>
      <c r="C24" s="122">
        <v>35.454500000000003</v>
      </c>
      <c r="D24" s="122">
        <v>47.383299999999998</v>
      </c>
      <c r="E24" s="122">
        <v>57.76</v>
      </c>
      <c r="G24" s="105">
        <v>0.8</v>
      </c>
      <c r="H24" s="107">
        <v>230.06141007248004</v>
      </c>
      <c r="I24" s="107">
        <f t="dataTable" ref="I24:I28" dt2D="0" dtr="0" r1="C20" ca="1"/>
        <v>349.51050747591745</v>
      </c>
      <c r="J24" s="111">
        <f>(I24-I26)/I26</f>
        <v>-0.14130638411761498</v>
      </c>
      <c r="L24" s="105">
        <v>0.8</v>
      </c>
      <c r="M24" s="107">
        <f>0.8*M26</f>
        <v>244.73247705904001</v>
      </c>
      <c r="N24" s="107">
        <f t="dataTable" ref="N24:N28" dt2D="0" dtr="0" r1="D20" ca="1"/>
        <v>417.26228035718634</v>
      </c>
      <c r="O24" s="111">
        <f>(N24-N26)/N26</f>
        <v>-0.12787900001359631</v>
      </c>
      <c r="Q24" s="105">
        <v>0.8</v>
      </c>
      <c r="R24" s="107">
        <f>0.8*R26</f>
        <v>269.34447012160001</v>
      </c>
      <c r="S24" s="107">
        <f t="dataTable" ref="S24:S28" dt2D="0" dtr="0" r1="E20" ca="1"/>
        <v>627.15631272748897</v>
      </c>
      <c r="T24" s="111">
        <f>(S24-S26)/S26</f>
        <v>-9.6957309535246852E-2</v>
      </c>
    </row>
    <row r="25" spans="1:20" x14ac:dyDescent="0.15">
      <c r="B25" s="122" t="s">
        <v>20</v>
      </c>
      <c r="C25" s="122">
        <v>3.7064031256907199</v>
      </c>
      <c r="D25" s="122">
        <v>7.1761530257101001</v>
      </c>
      <c r="E25" s="122">
        <v>-27.496970519257601</v>
      </c>
      <c r="G25" s="105">
        <v>0.9</v>
      </c>
      <c r="H25" s="107">
        <v>258.81908633154001</v>
      </c>
      <c r="I25" s="107">
        <v>378.26818373497741</v>
      </c>
      <c r="J25" s="111">
        <f>(I25-I26)/I26</f>
        <v>-7.0653192058807629E-2</v>
      </c>
      <c r="L25" s="105">
        <v>0.9</v>
      </c>
      <c r="M25" s="107">
        <f>0.9*M26</f>
        <v>275.32403669142002</v>
      </c>
      <c r="N25" s="107">
        <v>447.85383998956627</v>
      </c>
      <c r="O25" s="111">
        <f>(N25-N26)/N26</f>
        <v>-6.393950000679828E-2</v>
      </c>
      <c r="Q25" s="105">
        <v>0.9</v>
      </c>
      <c r="R25" s="107">
        <f>0.9*R26</f>
        <v>303.0125288868</v>
      </c>
      <c r="S25" s="107">
        <v>660.8243714926889</v>
      </c>
      <c r="T25" s="111">
        <f>(S25-S26)/S26</f>
        <v>-4.8478654767623509E-2</v>
      </c>
    </row>
    <row r="26" spans="1:20" x14ac:dyDescent="0.15">
      <c r="B26" s="122" t="s">
        <v>21</v>
      </c>
      <c r="C26" s="122">
        <v>1.56</v>
      </c>
      <c r="D26" s="122">
        <v>3.14</v>
      </c>
      <c r="E26" s="122">
        <v>5.38</v>
      </c>
      <c r="G26" s="108">
        <v>1</v>
      </c>
      <c r="H26" s="109">
        <v>287.57676259060003</v>
      </c>
      <c r="I26" s="109">
        <v>407.02585999403749</v>
      </c>
      <c r="J26" s="112">
        <v>0</v>
      </c>
      <c r="L26" s="108">
        <v>1</v>
      </c>
      <c r="M26" s="118">
        <v>305.9155963238</v>
      </c>
      <c r="N26" s="109">
        <v>478.44539962194631</v>
      </c>
      <c r="O26" s="112">
        <v>0</v>
      </c>
      <c r="Q26" s="108">
        <v>1</v>
      </c>
      <c r="R26" s="118">
        <v>336.68058765199999</v>
      </c>
      <c r="S26" s="109">
        <v>694.49243025788894</v>
      </c>
      <c r="T26" s="112">
        <v>0</v>
      </c>
    </row>
    <row r="27" spans="1:20" x14ac:dyDescent="0.15">
      <c r="B27" s="122" t="s">
        <v>22</v>
      </c>
      <c r="C27" s="122"/>
      <c r="D27" s="122"/>
      <c r="E27" s="122"/>
      <c r="G27" s="105">
        <v>1.1000000000000001</v>
      </c>
      <c r="H27" s="107">
        <v>316.33443884966005</v>
      </c>
      <c r="I27" s="107">
        <v>435.78353625309745</v>
      </c>
      <c r="J27" s="111">
        <f>(I27-I26)/I26</f>
        <v>7.0653192058807351E-2</v>
      </c>
      <c r="L27" s="105">
        <v>1.1000000000000001</v>
      </c>
      <c r="M27" s="107">
        <f>1.1*M26</f>
        <v>336.50715595618004</v>
      </c>
      <c r="N27" s="107">
        <v>509.03695925432635</v>
      </c>
      <c r="O27" s="111">
        <f>(N27-N26)/N26</f>
        <v>6.393950000679828E-2</v>
      </c>
      <c r="Q27" s="105">
        <v>1.1000000000000001</v>
      </c>
      <c r="R27" s="107">
        <f>1.1*R26</f>
        <v>370.34864641720003</v>
      </c>
      <c r="S27" s="107">
        <v>728.16048902308899</v>
      </c>
      <c r="T27" s="111">
        <f>(S27-S26)/S26</f>
        <v>4.8478654767623509E-2</v>
      </c>
    </row>
    <row r="28" spans="1:20" x14ac:dyDescent="0.15">
      <c r="B28" s="122" t="s">
        <v>23</v>
      </c>
      <c r="C28" s="122">
        <v>136.24</v>
      </c>
      <c r="D28" s="122">
        <v>174.78</v>
      </c>
      <c r="E28" s="122">
        <v>212.29</v>
      </c>
      <c r="G28" s="105">
        <v>1.2</v>
      </c>
      <c r="H28" s="107">
        <v>345.09211510872001</v>
      </c>
      <c r="I28" s="107">
        <v>464.54121251215741</v>
      </c>
      <c r="J28" s="111">
        <f>(I28-I26)/I26</f>
        <v>0.1413063841176147</v>
      </c>
      <c r="L28" s="105">
        <v>1.2</v>
      </c>
      <c r="M28" s="107">
        <f>1.2*M26</f>
        <v>367.09871558855997</v>
      </c>
      <c r="N28" s="107">
        <v>539.62851888670627</v>
      </c>
      <c r="O28" s="111">
        <f>(N28-N26)/N26</f>
        <v>0.12787900001359631</v>
      </c>
      <c r="Q28" s="105">
        <v>1.2</v>
      </c>
      <c r="R28" s="107">
        <f>1.2*R26</f>
        <v>404.01670518239996</v>
      </c>
      <c r="S28" s="107">
        <v>761.82854778828892</v>
      </c>
      <c r="T28" s="111">
        <f>(S28-S26)/S26</f>
        <v>9.6957309535246852E-2</v>
      </c>
    </row>
    <row r="29" spans="1:20" x14ac:dyDescent="0.15">
      <c r="B29" s="122" t="s">
        <v>24</v>
      </c>
      <c r="C29" s="122">
        <v>15.117900000000001</v>
      </c>
      <c r="D29" s="122">
        <v>14.131399999999999</v>
      </c>
      <c r="E29" s="122">
        <v>14.493</v>
      </c>
      <c r="I29" s="107"/>
      <c r="J29" s="111"/>
      <c r="O29" s="111"/>
      <c r="T29" s="111"/>
    </row>
    <row r="30" spans="1:20" ht="13" hidden="1" customHeight="1" x14ac:dyDescent="0.15">
      <c r="B30" s="4" t="s">
        <v>0</v>
      </c>
      <c r="C30" s="4">
        <v>1990</v>
      </c>
      <c r="D30" s="4">
        <v>2000</v>
      </c>
      <c r="E30" s="4">
        <v>2010</v>
      </c>
      <c r="I30" s="107"/>
      <c r="J30" s="111"/>
      <c r="O30" s="111"/>
      <c r="T30" s="111"/>
    </row>
    <row r="31" spans="1:20" ht="13" hidden="1" customHeight="1" x14ac:dyDescent="0.15">
      <c r="B31" s="125" t="s">
        <v>51</v>
      </c>
      <c r="C31" s="117">
        <v>450.14686784799989</v>
      </c>
      <c r="D31" s="117">
        <v>588.77156660000003</v>
      </c>
      <c r="E31" s="117">
        <f t="shared" ref="E31" si="1">E6+E7-E8-E9+E10</f>
        <v>803.6019268</v>
      </c>
      <c r="I31" s="107"/>
      <c r="J31" s="111"/>
      <c r="O31" s="111"/>
      <c r="T31" s="111"/>
    </row>
    <row r="32" spans="1:20" ht="13" hidden="1" customHeight="1" x14ac:dyDescent="0.15">
      <c r="B32" s="125" t="s">
        <v>52</v>
      </c>
      <c r="C32" s="117">
        <v>2.6863129959852204E-2</v>
      </c>
      <c r="D32" s="117">
        <v>2.4519618088430031E-2</v>
      </c>
      <c r="E32" s="117">
        <f t="shared" ref="E32" si="2">(E31-D31)/D31</f>
        <v>0.3648789656073041</v>
      </c>
      <c r="I32" s="107"/>
      <c r="J32" s="111"/>
      <c r="O32" s="111"/>
      <c r="T32" s="111"/>
    </row>
    <row r="33" spans="2:20" ht="13" hidden="1" customHeight="1" x14ac:dyDescent="0.15">
      <c r="B33" s="26" t="s">
        <v>54</v>
      </c>
      <c r="C33" s="119">
        <v>-282.61882678378117</v>
      </c>
      <c r="D33" s="119">
        <v>-302.4806535742336</v>
      </c>
      <c r="E33" s="119">
        <f t="shared" ref="E33" si="3">E18-E19-E20-E21+E22+E24-E23+E25-E26-E27</f>
        <v>-382.01561288462636</v>
      </c>
      <c r="I33" s="107"/>
      <c r="J33" s="111"/>
      <c r="O33" s="111"/>
      <c r="T33" s="111"/>
    </row>
    <row r="34" spans="2:20" ht="13" hidden="1" customHeight="1" x14ac:dyDescent="0.15">
      <c r="B34" s="26" t="s">
        <v>52</v>
      </c>
      <c r="C34" s="119">
        <v>2.2059191947727194E-2</v>
      </c>
      <c r="D34" s="119">
        <v>-8.2787776669481662E-3</v>
      </c>
      <c r="E34" s="119">
        <f t="shared" ref="E34" si="4">(E33-D33)/D33</f>
        <v>0.26294230183178841</v>
      </c>
      <c r="I34" s="107"/>
      <c r="J34" s="111"/>
      <c r="O34" s="111"/>
      <c r="T34" s="111"/>
    </row>
    <row r="35" spans="2:20" ht="13" hidden="1" customHeight="1" x14ac:dyDescent="0.15">
      <c r="B35" s="126" t="s">
        <v>56</v>
      </c>
      <c r="C35" s="122">
        <v>152.87399214603752</v>
      </c>
      <c r="D35" s="122">
        <v>139.57683302194613</v>
      </c>
      <c r="E35" s="122">
        <f t="shared" ref="E35" si="5">E20-E21-E22-E23+E24+E26-E25+E27-E28-E29</f>
        <v>182.23650345788892</v>
      </c>
      <c r="I35" s="107"/>
      <c r="J35" s="111"/>
      <c r="O35" s="111"/>
      <c r="T35" s="111"/>
    </row>
    <row r="36" spans="2:20" ht="13" hidden="1" customHeight="1" x14ac:dyDescent="0.15">
      <c r="B36" s="126" t="s">
        <v>52</v>
      </c>
      <c r="C36" s="122">
        <v>6.3353587870433381E-2</v>
      </c>
      <c r="D36" s="122">
        <v>-5.9816419798417307E-2</v>
      </c>
      <c r="E36" s="122">
        <f t="shared" ref="E36" si="6">(E35-D35)/D35</f>
        <v>0.30563575281318545</v>
      </c>
      <c r="I36" s="107"/>
      <c r="J36" s="111"/>
      <c r="O36" s="111"/>
      <c r="T36" s="111"/>
    </row>
    <row r="37" spans="2:20" ht="13" hidden="1" customHeight="1" x14ac:dyDescent="0.15">
      <c r="B37" s="116" t="s">
        <v>57</v>
      </c>
      <c r="C37" s="127">
        <v>320.40203321025626</v>
      </c>
      <c r="D37" s="127">
        <v>425.86774604771256</v>
      </c>
      <c r="E37" s="127">
        <f t="shared" ref="E37" si="7">E31+E33+E35</f>
        <v>603.82281737326252</v>
      </c>
      <c r="I37" s="107"/>
      <c r="J37" s="111"/>
      <c r="O37" s="111"/>
      <c r="T37" s="111"/>
    </row>
    <row r="38" spans="2:20" ht="13" hidden="1" customHeight="1" x14ac:dyDescent="0.15">
      <c r="B38" s="116" t="s">
        <v>58</v>
      </c>
      <c r="C38" s="127">
        <v>86.623826783781226</v>
      </c>
      <c r="D38" s="127">
        <v>52.57765357423375</v>
      </c>
      <c r="E38" s="127">
        <f t="shared" ref="E38" si="8">E3-E37</f>
        <v>90.669612884626417</v>
      </c>
      <c r="I38" s="107"/>
      <c r="J38" s="111"/>
      <c r="O38" s="111"/>
      <c r="T38" s="111"/>
    </row>
    <row r="39" spans="2:20" ht="13" hidden="1" customHeight="1" x14ac:dyDescent="0.15">
      <c r="B39" s="128"/>
      <c r="C39" s="7"/>
      <c r="D39" s="7"/>
      <c r="E39" s="7"/>
      <c r="I39" s="107"/>
      <c r="J39" s="111"/>
      <c r="O39" s="111"/>
      <c r="T39" s="111"/>
    </row>
    <row r="40" spans="2:20" ht="13" hidden="1" customHeight="1" x14ac:dyDescent="0.15">
      <c r="B40" s="51" t="s">
        <v>60</v>
      </c>
      <c r="C40" s="51">
        <v>684.86949149999998</v>
      </c>
      <c r="D40" s="51">
        <v>903.9452804</v>
      </c>
      <c r="E40" s="51">
        <v>1337.1795669999999</v>
      </c>
      <c r="I40" s="107"/>
      <c r="J40" s="111"/>
      <c r="O40" s="111"/>
      <c r="T40" s="111"/>
    </row>
    <row r="41" spans="2:20" ht="13" hidden="1" customHeight="1" x14ac:dyDescent="0.15">
      <c r="B41" s="51" t="s">
        <v>61</v>
      </c>
      <c r="C41" s="129">
        <v>2.7904779464635359E-2</v>
      </c>
      <c r="D41" s="129">
        <v>7.0149349690372745E-3</v>
      </c>
      <c r="E41" s="129">
        <f t="shared" ref="E41" si="9">(E40-D40)/D40</f>
        <v>0.47927047797438771</v>
      </c>
      <c r="I41" s="107"/>
      <c r="J41" s="111"/>
      <c r="O41" s="111"/>
      <c r="T41" s="111"/>
    </row>
    <row r="42" spans="2:20" ht="13" hidden="1" customHeight="1" x14ac:dyDescent="0.15">
      <c r="B42" s="116" t="s">
        <v>62</v>
      </c>
      <c r="C42" s="127">
        <v>4.4042184148010761E-2</v>
      </c>
      <c r="D42" s="127">
        <v>3.304431690843932E-3</v>
      </c>
      <c r="E42" s="127">
        <f t="shared" ref="E42" si="10">(E3-D3)/D3</f>
        <v>0.45156047232695046</v>
      </c>
      <c r="I42" s="107"/>
      <c r="J42" s="111"/>
      <c r="O42" s="111"/>
      <c r="T42" s="111"/>
    </row>
    <row r="43" spans="2:20" ht="13" hidden="1" customHeight="1" x14ac:dyDescent="0.15">
      <c r="B43" s="7"/>
      <c r="C43" s="7"/>
      <c r="D43" s="7"/>
      <c r="E43" s="7"/>
      <c r="I43" s="107"/>
      <c r="J43" s="111"/>
      <c r="O43" s="111"/>
      <c r="T43" s="111"/>
    </row>
    <row r="44" spans="2:20" ht="13" hidden="1" customHeight="1" x14ac:dyDescent="0.15">
      <c r="B44" s="130" t="s">
        <v>63</v>
      </c>
      <c r="C44" s="131">
        <v>0.40568843400722937</v>
      </c>
      <c r="D44" s="131">
        <v>0.47071420140582848</v>
      </c>
      <c r="E44" s="131">
        <f t="shared" ref="E44" si="11">(E40-E3)/E40</f>
        <v>0.48062889428081651</v>
      </c>
      <c r="I44" s="107"/>
      <c r="J44" s="111"/>
      <c r="O44" s="111"/>
      <c r="T44" s="111"/>
    </row>
    <row r="45" spans="2:20" ht="13" hidden="1" customHeight="1" x14ac:dyDescent="0.15">
      <c r="B45" s="7"/>
      <c r="C45" s="7"/>
      <c r="D45" s="7"/>
      <c r="E45" s="7"/>
      <c r="I45" s="107"/>
      <c r="J45" s="111"/>
      <c r="O45" s="111"/>
      <c r="T45" s="111"/>
    </row>
    <row r="46" spans="2:20" ht="13" hidden="1" customHeight="1" x14ac:dyDescent="0.15">
      <c r="B46" s="132" t="s">
        <v>64</v>
      </c>
      <c r="C46" s="133">
        <v>17065</v>
      </c>
      <c r="D46" s="133">
        <v>19029</v>
      </c>
      <c r="E46" s="133">
        <v>22032</v>
      </c>
      <c r="I46" s="107"/>
      <c r="J46" s="111"/>
      <c r="O46" s="111"/>
      <c r="T46" s="111"/>
    </row>
    <row r="47" spans="2:20" ht="13" hidden="1" customHeight="1" x14ac:dyDescent="0.15">
      <c r="B47" s="128"/>
      <c r="C47" s="7"/>
      <c r="D47" s="7"/>
      <c r="E47" s="7"/>
      <c r="I47" s="107"/>
      <c r="J47" s="111"/>
      <c r="O47" s="111"/>
      <c r="T47" s="111"/>
    </row>
    <row r="48" spans="2:20" ht="13" hidden="1" customHeight="1" x14ac:dyDescent="0.15">
      <c r="B48" s="4" t="s">
        <v>0</v>
      </c>
      <c r="C48" s="4">
        <v>1990</v>
      </c>
      <c r="D48" s="4">
        <v>2000</v>
      </c>
      <c r="E48" s="4">
        <v>2010</v>
      </c>
      <c r="I48" s="107"/>
      <c r="J48" s="111"/>
      <c r="O48" s="111"/>
      <c r="T48" s="111"/>
    </row>
    <row r="49" spans="2:20" ht="13" hidden="1" customHeight="1" x14ac:dyDescent="0.15">
      <c r="B49" s="116" t="s">
        <v>65</v>
      </c>
      <c r="C49" s="134">
        <v>23851.500732144006</v>
      </c>
      <c r="D49" s="134">
        <v>25142.960724260145</v>
      </c>
      <c r="E49" s="134">
        <f t="shared" ref="E49" si="12">(E3/E46)*1000000</f>
        <v>31521.987575249135</v>
      </c>
      <c r="I49" s="107"/>
      <c r="J49" s="111"/>
      <c r="O49" s="111"/>
      <c r="T49" s="111"/>
    </row>
    <row r="50" spans="2:20" ht="13" hidden="1" customHeight="1" x14ac:dyDescent="0.15">
      <c r="B50" s="116" t="s">
        <v>66</v>
      </c>
      <c r="C50" s="134">
        <v>40132.991004980955</v>
      </c>
      <c r="D50" s="134">
        <v>47503.561952808872</v>
      </c>
      <c r="E50" s="134">
        <f t="shared" ref="E50" si="13">E40/E46*1000000</f>
        <v>60692.609250181551</v>
      </c>
      <c r="I50" s="107"/>
      <c r="J50" s="111"/>
      <c r="O50" s="111"/>
      <c r="T50" s="111"/>
    </row>
    <row r="51" spans="2:20" ht="13" hidden="1" customHeight="1" x14ac:dyDescent="0.15">
      <c r="B51" s="116" t="s">
        <v>67</v>
      </c>
      <c r="C51" s="134">
        <v>23866.979197187226</v>
      </c>
      <c r="D51" s="134">
        <v>29622.155657154864</v>
      </c>
      <c r="E51" s="134">
        <f t="shared" ref="E51" si="14">E4/E46*1000000</f>
        <v>35202.886710239654</v>
      </c>
      <c r="I51" s="107"/>
      <c r="J51" s="111"/>
      <c r="O51" s="111"/>
      <c r="T51" s="111"/>
    </row>
    <row r="52" spans="2:20" ht="12" customHeight="1" x14ac:dyDescent="0.15">
      <c r="B52" s="7"/>
      <c r="C52" s="7"/>
      <c r="D52" s="7"/>
      <c r="E52" s="7"/>
      <c r="G52" s="146" t="s">
        <v>16</v>
      </c>
      <c r="H52" s="146"/>
      <c r="I52" s="107"/>
      <c r="J52" s="111"/>
      <c r="L52" s="146" t="s">
        <v>16</v>
      </c>
      <c r="M52" s="146"/>
      <c r="O52" s="111"/>
      <c r="Q52" s="146" t="s">
        <v>16</v>
      </c>
      <c r="R52" s="146"/>
      <c r="T52" s="111"/>
    </row>
    <row r="53" spans="2:20" x14ac:dyDescent="0.15">
      <c r="B53" s="7"/>
      <c r="C53" s="7"/>
      <c r="D53" s="7"/>
      <c r="E53" s="7"/>
      <c r="G53" s="146"/>
      <c r="H53" s="146"/>
      <c r="I53" s="107" t="s">
        <v>75</v>
      </c>
      <c r="J53" s="111" t="s">
        <v>97</v>
      </c>
      <c r="L53" s="146"/>
      <c r="M53" s="146"/>
      <c r="N53" s="107" t="s">
        <v>75</v>
      </c>
      <c r="O53" s="111" t="s">
        <v>97</v>
      </c>
      <c r="Q53" s="146"/>
      <c r="R53" s="146"/>
      <c r="S53" s="107" t="s">
        <v>75</v>
      </c>
      <c r="T53" s="111" t="s">
        <v>97</v>
      </c>
    </row>
    <row r="54" spans="2:20" x14ac:dyDescent="0.15">
      <c r="I54" s="107">
        <f>C3</f>
        <v>407.02585999403749</v>
      </c>
      <c r="J54" s="111"/>
      <c r="N54" s="107">
        <f>D3</f>
        <v>478.44539962194631</v>
      </c>
      <c r="O54" s="111"/>
      <c r="S54" s="107">
        <f>E3</f>
        <v>694.49243025788894</v>
      </c>
      <c r="T54" s="111"/>
    </row>
    <row r="55" spans="2:20" x14ac:dyDescent="0.15">
      <c r="G55" s="105">
        <v>0</v>
      </c>
      <c r="H55" s="107">
        <v>0</v>
      </c>
      <c r="I55" s="107">
        <f t="dataTable" ref="I55:I59" dt2D="0" dtr="0" r1="C21" ca="1"/>
        <v>415.08882731290925</v>
      </c>
      <c r="J55" s="111">
        <f>(I55-I57)/I57</f>
        <v>1.9809471857610891E-2</v>
      </c>
      <c r="L55" s="105">
        <v>0</v>
      </c>
      <c r="M55" s="107">
        <v>0</v>
      </c>
      <c r="N55" s="107">
        <f t="dataTable" ref="N55:N59" dt2D="0" dtr="0" r1="D21" ca="1"/>
        <v>488.23990989808999</v>
      </c>
      <c r="O55" s="111">
        <f>(N55-N57)/N57</f>
        <v>2.0471531932134829E-2</v>
      </c>
      <c r="Q55" s="105">
        <v>0</v>
      </c>
      <c r="R55" s="107">
        <v>0</v>
      </c>
      <c r="S55" s="107">
        <f t="dataTable" ref="S55:S59" dt2D="0" dtr="0" r1="E21" ca="1"/>
        <v>705.70048497125765</v>
      </c>
      <c r="T55" s="111">
        <f>(S55-S57)/S57</f>
        <v>1.6138483624950059E-2</v>
      </c>
    </row>
    <row r="56" spans="2:20" x14ac:dyDescent="0.15">
      <c r="G56" s="105">
        <v>0.8</v>
      </c>
      <c r="H56" s="107">
        <v>6.4503738550974319</v>
      </c>
      <c r="I56" s="107">
        <v>408.63845345781186</v>
      </c>
      <c r="J56" s="111">
        <f>(I56-I57)/I57</f>
        <v>3.9618943715222336E-3</v>
      </c>
      <c r="L56" s="105">
        <v>0.8</v>
      </c>
      <c r="M56" s="107">
        <f>0.8*M57</f>
        <v>7.8356082209149767</v>
      </c>
      <c r="N56" s="107">
        <v>480.404301677175</v>
      </c>
      <c r="O56" s="111">
        <f>(N56-N57)/N57</f>
        <v>4.0943063864268704E-3</v>
      </c>
      <c r="Q56" s="105">
        <v>0.8</v>
      </c>
      <c r="R56" s="107">
        <f>0.8*R57</f>
        <v>8.9664437706949602</v>
      </c>
      <c r="S56" s="107">
        <v>696.73404120056273</v>
      </c>
      <c r="T56" s="111">
        <f>(S56-S57)/S57</f>
        <v>3.227696724990077E-3</v>
      </c>
    </row>
    <row r="57" spans="2:20" x14ac:dyDescent="0.15">
      <c r="G57" s="108">
        <v>1</v>
      </c>
      <c r="H57" s="135">
        <v>8.0629673188717899</v>
      </c>
      <c r="I57" s="109">
        <v>407.02585999403749</v>
      </c>
      <c r="J57" s="112">
        <v>0</v>
      </c>
      <c r="L57" s="108">
        <v>1</v>
      </c>
      <c r="M57" s="135">
        <v>9.7945102761437202</v>
      </c>
      <c r="N57" s="109">
        <v>478.44539962194631</v>
      </c>
      <c r="O57" s="112">
        <v>0</v>
      </c>
      <c r="Q57" s="108">
        <v>1</v>
      </c>
      <c r="R57" s="135">
        <v>11.2080547133687</v>
      </c>
      <c r="S57" s="109">
        <v>694.49243025788894</v>
      </c>
      <c r="T57" s="112">
        <v>0</v>
      </c>
    </row>
    <row r="58" spans="2:20" x14ac:dyDescent="0.15">
      <c r="G58" s="105">
        <v>1.2</v>
      </c>
      <c r="H58" s="107">
        <v>9.6755607826461478</v>
      </c>
      <c r="I58" s="107">
        <v>405.41326653026312</v>
      </c>
      <c r="J58" s="111">
        <f>(I58-I57)/I57</f>
        <v>-3.9618943715222336E-3</v>
      </c>
      <c r="L58" s="105">
        <v>1.2</v>
      </c>
      <c r="M58" s="107">
        <f>1.2*M57</f>
        <v>11.753412331372465</v>
      </c>
      <c r="N58" s="107">
        <v>476.4864975667175</v>
      </c>
      <c r="O58" s="111">
        <f>(N58-N57)/N57</f>
        <v>-4.094306386427108E-3</v>
      </c>
      <c r="Q58" s="105">
        <v>1.2</v>
      </c>
      <c r="R58" s="107">
        <f>1.2*R57</f>
        <v>13.449665656042439</v>
      </c>
      <c r="S58" s="107">
        <v>692.25081931521527</v>
      </c>
      <c r="T58" s="111">
        <f>(S58-S57)/S57</f>
        <v>-3.2276967249899131E-3</v>
      </c>
    </row>
    <row r="59" spans="2:20" x14ac:dyDescent="0.15">
      <c r="G59" s="105">
        <v>2</v>
      </c>
      <c r="H59" s="107">
        <v>16.12593463774358</v>
      </c>
      <c r="I59" s="107">
        <v>398.96289267516562</v>
      </c>
      <c r="J59" s="111">
        <f>(I59-I57)/I57</f>
        <v>-1.9809471857611168E-2</v>
      </c>
      <c r="L59" s="105">
        <v>2</v>
      </c>
      <c r="M59" s="107">
        <f>2*M57</f>
        <v>19.58902055228744</v>
      </c>
      <c r="N59" s="107">
        <v>468.65088934580251</v>
      </c>
      <c r="O59" s="111">
        <f>(N59-N57)/N57</f>
        <v>-2.0471531932135068E-2</v>
      </c>
      <c r="Q59" s="105">
        <v>2</v>
      </c>
      <c r="R59" s="107">
        <f>2*R57</f>
        <v>22.4161094267374</v>
      </c>
      <c r="S59" s="107">
        <v>683.28437554452023</v>
      </c>
      <c r="T59" s="111">
        <f>(S59-S57)/S57</f>
        <v>-1.6138483624950059E-2</v>
      </c>
    </row>
    <row r="60" spans="2:20" x14ac:dyDescent="0.15">
      <c r="I60" s="107"/>
      <c r="J60" s="111"/>
      <c r="O60" s="111"/>
      <c r="T60" s="111"/>
    </row>
    <row r="61" spans="2:20" ht="12" customHeight="1" x14ac:dyDescent="0.15">
      <c r="G61" s="146" t="s">
        <v>7</v>
      </c>
      <c r="H61" s="146"/>
      <c r="I61" s="107"/>
      <c r="J61" s="111"/>
      <c r="L61" s="146" t="s">
        <v>7</v>
      </c>
      <c r="M61" s="146"/>
      <c r="O61" s="111"/>
      <c r="Q61" s="146" t="s">
        <v>7</v>
      </c>
      <c r="R61" s="146"/>
      <c r="T61" s="111"/>
    </row>
    <row r="62" spans="2:20" x14ac:dyDescent="0.15">
      <c r="G62" s="146"/>
      <c r="H62" s="146"/>
      <c r="I62" s="107" t="s">
        <v>75</v>
      </c>
      <c r="J62" s="111" t="s">
        <v>97</v>
      </c>
      <c r="L62" s="146"/>
      <c r="M62" s="146"/>
      <c r="N62" s="107" t="s">
        <v>75</v>
      </c>
      <c r="O62" s="111" t="s">
        <v>97</v>
      </c>
      <c r="Q62" s="146"/>
      <c r="R62" s="146"/>
      <c r="S62" s="107" t="s">
        <v>75</v>
      </c>
      <c r="T62" s="111" t="s">
        <v>97</v>
      </c>
    </row>
    <row r="63" spans="2:20" x14ac:dyDescent="0.15">
      <c r="I63" s="107">
        <f>C3</f>
        <v>407.02585999403749</v>
      </c>
      <c r="J63" s="111"/>
      <c r="N63" s="107">
        <f>D3</f>
        <v>478.44539962194631</v>
      </c>
      <c r="O63" s="111"/>
      <c r="S63" s="107">
        <f>E3</f>
        <v>694.49243025788894</v>
      </c>
      <c r="T63" s="111"/>
    </row>
    <row r="64" spans="2:20" x14ac:dyDescent="0.15">
      <c r="G64" s="105">
        <v>0</v>
      </c>
      <c r="H64" s="107">
        <v>0</v>
      </c>
      <c r="I64" s="107">
        <f t="dataTable" ref="I64:I68" dt2D="0" dtr="0" r1="C12"/>
        <v>411.57585999403744</v>
      </c>
      <c r="J64" s="111">
        <f>(I64-I66)/I66</f>
        <v>1.1178650909469505E-2</v>
      </c>
      <c r="L64" s="105">
        <v>0</v>
      </c>
      <c r="M64" s="107">
        <v>0</v>
      </c>
      <c r="N64" s="107">
        <f t="dataTable" ref="N64:N68" dt2D="0" dtr="0" r1="D12"/>
        <v>483.23539962194627</v>
      </c>
      <c r="O64" s="111">
        <f>(N64-N66)/N66</f>
        <v>1.0011591717226005E-2</v>
      </c>
      <c r="Q64" s="105">
        <v>0</v>
      </c>
      <c r="R64" s="107">
        <v>0</v>
      </c>
      <c r="S64" s="107">
        <f t="dataTable" ref="S64:S68" dt2D="0" dtr="0" r1="E12"/>
        <v>699.55243025788889</v>
      </c>
      <c r="T64" s="111">
        <f>(S64-S66)/S66</f>
        <v>7.2858965476715037E-3</v>
      </c>
    </row>
    <row r="65" spans="7:20" x14ac:dyDescent="0.15">
      <c r="G65" s="105">
        <v>0.8</v>
      </c>
      <c r="H65" s="107">
        <v>3.64</v>
      </c>
      <c r="I65" s="107">
        <v>407.93585999403746</v>
      </c>
      <c r="J65" s="111">
        <f>(I65-I66)/I66</f>
        <v>2.235730181893845E-3</v>
      </c>
      <c r="L65" s="105">
        <v>0.8</v>
      </c>
      <c r="M65" s="107">
        <f>0.8*M66</f>
        <v>3.8320000000000003</v>
      </c>
      <c r="N65" s="107">
        <v>479.40339962194628</v>
      </c>
      <c r="O65" s="111">
        <f>(N65-N66)/N66</f>
        <v>2.0023183434451533E-3</v>
      </c>
      <c r="Q65" s="105">
        <v>0.8</v>
      </c>
      <c r="R65" s="107">
        <f>0.8*R66</f>
        <v>4.048</v>
      </c>
      <c r="S65" s="107">
        <v>695.50443025788888</v>
      </c>
      <c r="T65" s="111">
        <f>(S65-S66)/S66</f>
        <v>1.4571793095342351E-3</v>
      </c>
    </row>
    <row r="66" spans="7:20" x14ac:dyDescent="0.15">
      <c r="G66" s="108">
        <v>1</v>
      </c>
      <c r="H66" s="136">
        <v>4.55</v>
      </c>
      <c r="I66" s="109">
        <v>407.02585999403749</v>
      </c>
      <c r="J66" s="112">
        <v>0</v>
      </c>
      <c r="L66" s="108">
        <v>1</v>
      </c>
      <c r="M66" s="135">
        <v>4.79</v>
      </c>
      <c r="N66" s="109">
        <v>478.44539962194631</v>
      </c>
      <c r="O66" s="112">
        <v>0</v>
      </c>
      <c r="Q66" s="108">
        <v>1</v>
      </c>
      <c r="R66" s="135">
        <v>5.0599999999999996</v>
      </c>
      <c r="S66" s="109">
        <v>694.49243025788894</v>
      </c>
      <c r="T66" s="112">
        <v>0</v>
      </c>
    </row>
    <row r="67" spans="7:20" x14ac:dyDescent="0.15">
      <c r="G67" s="105">
        <v>1.2</v>
      </c>
      <c r="H67" s="107">
        <v>5.46</v>
      </c>
      <c r="I67" s="107">
        <v>406.11585999403741</v>
      </c>
      <c r="J67" s="111">
        <f>(I67-I66)/I66</f>
        <v>-2.2357301818941243E-3</v>
      </c>
      <c r="L67" s="105">
        <v>1.2</v>
      </c>
      <c r="M67" s="107">
        <f>1.2*M66</f>
        <v>5.7480000000000002</v>
      </c>
      <c r="N67" s="107">
        <v>477.48739962194622</v>
      </c>
      <c r="O67" s="111">
        <f>(N67-N66)/N66</f>
        <v>-2.0023183434453909E-3</v>
      </c>
      <c r="Q67" s="105">
        <v>1.2</v>
      </c>
      <c r="R67" s="107">
        <f>1.2*R66</f>
        <v>6.0719999999999992</v>
      </c>
      <c r="S67" s="107">
        <v>693.48043025788888</v>
      </c>
      <c r="T67" s="111">
        <f>(S67-S66)/S66</f>
        <v>-1.4571793095343988E-3</v>
      </c>
    </row>
    <row r="68" spans="7:20" x14ac:dyDescent="0.15">
      <c r="G68" s="105">
        <v>2</v>
      </c>
      <c r="H68" s="107">
        <v>9.1</v>
      </c>
      <c r="I68" s="107">
        <v>402.47585999403742</v>
      </c>
      <c r="J68" s="111">
        <f>(I68-I66)/I66</f>
        <v>-1.1178650909469784E-2</v>
      </c>
      <c r="L68" s="105">
        <v>2</v>
      </c>
      <c r="M68" s="107">
        <f>2*M66</f>
        <v>9.58</v>
      </c>
      <c r="N68" s="107">
        <v>473.65539962194623</v>
      </c>
      <c r="O68" s="111">
        <f>(N68-N66)/N66</f>
        <v>-1.0011591717226242E-2</v>
      </c>
      <c r="Q68" s="105">
        <v>2</v>
      </c>
      <c r="R68" s="107">
        <f>2*R66</f>
        <v>10.119999999999999</v>
      </c>
      <c r="S68" s="107">
        <v>689.43243025788888</v>
      </c>
      <c r="T68" s="111">
        <f>(S68-S66)/S66</f>
        <v>-7.2858965476716667E-3</v>
      </c>
    </row>
    <row r="70" spans="7:20" x14ac:dyDescent="0.15">
      <c r="G70">
        <v>1990</v>
      </c>
    </row>
    <row r="71" spans="7:20" x14ac:dyDescent="0.15">
      <c r="H71" s="107" t="s">
        <v>1</v>
      </c>
      <c r="I71" t="s">
        <v>12</v>
      </c>
      <c r="J71" t="s">
        <v>15</v>
      </c>
      <c r="K71" t="s">
        <v>16</v>
      </c>
      <c r="L71" t="s">
        <v>7</v>
      </c>
    </row>
    <row r="72" spans="7:20" x14ac:dyDescent="0.15">
      <c r="G72" s="110">
        <v>0.8</v>
      </c>
      <c r="H72" s="107">
        <v>321.45785999403745</v>
      </c>
      <c r="I72" s="107">
        <v>428.22785999403749</v>
      </c>
      <c r="J72" s="107">
        <v>349.51050747591745</v>
      </c>
      <c r="K72" s="107">
        <v>408.63845345781186</v>
      </c>
      <c r="L72" s="107">
        <v>407.93585999403746</v>
      </c>
    </row>
    <row r="73" spans="7:20" x14ac:dyDescent="0.15">
      <c r="G73" s="110">
        <v>1</v>
      </c>
      <c r="H73" s="109">
        <v>407.02585999403749</v>
      </c>
      <c r="I73" s="109">
        <v>407.02585999403749</v>
      </c>
      <c r="J73" s="109">
        <v>407.02585999403749</v>
      </c>
      <c r="K73" s="109">
        <v>407.02585999403749</v>
      </c>
      <c r="L73" s="109">
        <v>407.02585999403749</v>
      </c>
    </row>
    <row r="74" spans="7:20" x14ac:dyDescent="0.15">
      <c r="G74" s="110">
        <v>1.2</v>
      </c>
      <c r="H74" s="107">
        <v>492.59385999403747</v>
      </c>
      <c r="I74" s="107">
        <v>385.82385999403749</v>
      </c>
      <c r="J74" s="107">
        <v>464.54121251215741</v>
      </c>
      <c r="K74" s="107">
        <v>405.41326653026312</v>
      </c>
      <c r="L74" s="107">
        <v>406.11585999403741</v>
      </c>
    </row>
  </sheetData>
  <mergeCells count="16">
    <mergeCell ref="G61:H62"/>
    <mergeCell ref="L61:M62"/>
    <mergeCell ref="Q61:R62"/>
    <mergeCell ref="G52:H53"/>
    <mergeCell ref="L52:M53"/>
    <mergeCell ref="Q52:R53"/>
    <mergeCell ref="G2:H2"/>
    <mergeCell ref="G3:H4"/>
    <mergeCell ref="G12:H13"/>
    <mergeCell ref="L3:M4"/>
    <mergeCell ref="Q3:R4"/>
    <mergeCell ref="L12:M13"/>
    <mergeCell ref="Q12:R13"/>
    <mergeCell ref="G21:H22"/>
    <mergeCell ref="L21:M22"/>
    <mergeCell ref="Q21:R22"/>
  </mergeCells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A17"/>
  <sheetViews>
    <sheetView workbookViewId="0"/>
  </sheetViews>
  <sheetFormatPr baseColWidth="10" defaultColWidth="14.5" defaultRowHeight="15.75" customHeight="1" x14ac:dyDescent="0.15"/>
  <sheetData>
    <row r="1" spans="1:53" ht="15.75" customHeight="1" x14ac:dyDescent="0.15">
      <c r="A1" s="1" t="s">
        <v>25</v>
      </c>
      <c r="B1" s="1">
        <v>1962</v>
      </c>
      <c r="C1" s="1">
        <v>1963</v>
      </c>
      <c r="D1" s="1">
        <v>1964</v>
      </c>
      <c r="E1" s="1">
        <v>1965</v>
      </c>
      <c r="F1" s="1">
        <v>1966</v>
      </c>
      <c r="G1" s="1">
        <v>1967</v>
      </c>
      <c r="H1" s="1">
        <v>1968</v>
      </c>
      <c r="I1" s="1">
        <v>1969</v>
      </c>
      <c r="J1" s="1">
        <v>1970</v>
      </c>
      <c r="K1" s="1">
        <v>1971</v>
      </c>
      <c r="L1" s="1">
        <v>1972</v>
      </c>
      <c r="M1" s="1">
        <v>1973</v>
      </c>
      <c r="N1" s="1">
        <v>1974</v>
      </c>
      <c r="O1" s="1">
        <v>1975</v>
      </c>
      <c r="P1" s="1">
        <v>1976</v>
      </c>
      <c r="Q1" s="1">
        <v>1977</v>
      </c>
      <c r="R1" s="1">
        <v>1978</v>
      </c>
      <c r="S1" s="1">
        <v>1979</v>
      </c>
      <c r="T1" s="1">
        <v>1980</v>
      </c>
      <c r="U1" s="1">
        <v>1981</v>
      </c>
      <c r="V1" s="1">
        <v>1982</v>
      </c>
      <c r="W1" s="1">
        <v>1983</v>
      </c>
      <c r="X1" s="1">
        <v>1984</v>
      </c>
      <c r="Y1" s="1">
        <v>1985</v>
      </c>
      <c r="Z1" s="1">
        <v>1986</v>
      </c>
      <c r="AA1" s="1">
        <v>1987</v>
      </c>
      <c r="AB1" s="1">
        <v>1988</v>
      </c>
      <c r="AC1" s="1">
        <v>1989</v>
      </c>
      <c r="AD1" s="1">
        <v>1990</v>
      </c>
      <c r="AE1" s="1">
        <v>1991</v>
      </c>
      <c r="AF1" s="1">
        <v>1992</v>
      </c>
      <c r="AG1" s="1">
        <v>1993</v>
      </c>
      <c r="AH1" s="1">
        <v>1994</v>
      </c>
      <c r="AI1" s="1">
        <v>1995</v>
      </c>
      <c r="AJ1" s="1">
        <v>1996</v>
      </c>
      <c r="AK1" s="1">
        <v>1997</v>
      </c>
      <c r="AL1" s="1">
        <v>1998</v>
      </c>
      <c r="AM1" s="1">
        <v>1999</v>
      </c>
      <c r="AN1" s="1">
        <v>2000</v>
      </c>
      <c r="AO1" s="1">
        <v>2001</v>
      </c>
      <c r="AP1" s="1">
        <v>2002</v>
      </c>
      <c r="AQ1" s="1">
        <v>2003</v>
      </c>
      <c r="AR1" s="1">
        <v>2004</v>
      </c>
      <c r="AS1" s="1">
        <v>2005</v>
      </c>
      <c r="AT1" s="1">
        <v>2006</v>
      </c>
      <c r="AU1" s="1">
        <v>2007</v>
      </c>
      <c r="AV1" s="1">
        <v>2008</v>
      </c>
      <c r="AW1" s="1">
        <v>2009</v>
      </c>
      <c r="AX1" s="1">
        <v>2010</v>
      </c>
      <c r="AY1" s="1">
        <v>2011</v>
      </c>
      <c r="AZ1" s="1">
        <v>2012</v>
      </c>
      <c r="BA1" s="1">
        <v>2013</v>
      </c>
    </row>
    <row r="2" spans="1:53" ht="15.75" customHeight="1" x14ac:dyDescent="0.15">
      <c r="A2" s="1" t="s">
        <v>26</v>
      </c>
    </row>
    <row r="3" spans="1:53" ht="15.75" customHeight="1" x14ac:dyDescent="0.15">
      <c r="A3" s="1" t="s">
        <v>27</v>
      </c>
      <c r="B3" s="1">
        <v>7.8</v>
      </c>
      <c r="C3" s="1">
        <v>7.9</v>
      </c>
      <c r="D3" s="1">
        <v>8.1999999999999993</v>
      </c>
      <c r="E3" s="1">
        <v>8.5</v>
      </c>
      <c r="F3" s="1">
        <v>8.6999999999999993</v>
      </c>
      <c r="G3" s="1">
        <v>9</v>
      </c>
      <c r="H3" s="1">
        <v>9.1999999999999993</v>
      </c>
      <c r="I3" s="1">
        <v>9.5</v>
      </c>
      <c r="J3" s="1">
        <v>10</v>
      </c>
      <c r="K3" s="1">
        <v>10.7</v>
      </c>
      <c r="L3" s="1">
        <v>11.2</v>
      </c>
      <c r="M3" s="1">
        <v>12.6</v>
      </c>
      <c r="N3" s="1">
        <v>14.7</v>
      </c>
      <c r="O3" s="1">
        <v>16.8</v>
      </c>
      <c r="P3" s="1">
        <v>19.2</v>
      </c>
      <c r="Q3" s="1">
        <v>21</v>
      </c>
      <c r="R3" s="1">
        <v>22.6</v>
      </c>
      <c r="S3" s="1">
        <v>24.9</v>
      </c>
      <c r="T3" s="1">
        <v>27.2</v>
      </c>
      <c r="U3" s="1">
        <v>30.2</v>
      </c>
      <c r="V3" s="1">
        <v>33.6</v>
      </c>
      <c r="W3" s="1">
        <v>36.5</v>
      </c>
      <c r="X3" s="1">
        <v>37.4</v>
      </c>
      <c r="Y3" s="1">
        <v>40.5</v>
      </c>
      <c r="Z3" s="1">
        <v>44.4</v>
      </c>
      <c r="AA3" s="1">
        <v>47.6</v>
      </c>
      <c r="AB3" s="1">
        <v>51.2</v>
      </c>
      <c r="AC3" s="1">
        <v>55.2</v>
      </c>
      <c r="AD3" s="1">
        <v>59</v>
      </c>
      <c r="AE3" s="1">
        <v>59.9</v>
      </c>
      <c r="AF3" s="1">
        <v>60.1</v>
      </c>
      <c r="AG3" s="1">
        <v>61.2</v>
      </c>
      <c r="AH3" s="1">
        <v>62.8</v>
      </c>
      <c r="AI3" s="1">
        <v>66</v>
      </c>
      <c r="AJ3" s="1">
        <v>67</v>
      </c>
      <c r="AK3" s="1">
        <v>66.8</v>
      </c>
      <c r="AL3" s="1">
        <v>67.8</v>
      </c>
      <c r="AM3" s="1">
        <v>69.099999999999994</v>
      </c>
      <c r="AN3" s="1">
        <v>73.099999999999994</v>
      </c>
      <c r="AO3" s="1">
        <v>75.400000000000006</v>
      </c>
      <c r="AP3" s="1">
        <v>77.599999999999994</v>
      </c>
      <c r="AQ3" s="1">
        <v>79.5</v>
      </c>
      <c r="AR3" s="1">
        <v>81.5</v>
      </c>
      <c r="AS3" s="1">
        <v>83.8</v>
      </c>
      <c r="AT3" s="1">
        <v>86.6</v>
      </c>
      <c r="AU3" s="1">
        <v>89.1</v>
      </c>
      <c r="AV3" s="1">
        <v>92.4</v>
      </c>
      <c r="AW3" s="1">
        <v>94.3</v>
      </c>
      <c r="AX3" s="1">
        <v>96.9</v>
      </c>
      <c r="AY3" s="1">
        <v>99.8</v>
      </c>
      <c r="AZ3" s="1">
        <v>102</v>
      </c>
    </row>
    <row r="4" spans="1:53" ht="15.75" customHeight="1" x14ac:dyDescent="0.15">
      <c r="A4" s="1" t="s">
        <v>28</v>
      </c>
      <c r="B4" s="1">
        <v>303610.5281</v>
      </c>
      <c r="C4" s="1">
        <v>311425.37939999998</v>
      </c>
      <c r="D4" s="1">
        <v>321174.92959999997</v>
      </c>
      <c r="E4" s="1">
        <v>328972.39610000001</v>
      </c>
      <c r="F4" s="1">
        <v>333947.80070000002</v>
      </c>
      <c r="G4" s="1">
        <v>343459.56780000002</v>
      </c>
      <c r="H4" s="1">
        <v>354668.26459999999</v>
      </c>
      <c r="I4" s="1">
        <v>362752.2181</v>
      </c>
      <c r="J4" s="1">
        <v>374047.96</v>
      </c>
      <c r="K4" s="1">
        <v>381288.63219999999</v>
      </c>
      <c r="L4" s="1">
        <v>392123.16749999998</v>
      </c>
      <c r="M4" s="1">
        <v>406232.8996</v>
      </c>
      <c r="N4" s="1">
        <v>418642.12030000001</v>
      </c>
      <c r="O4" s="1">
        <v>413088.22029999999</v>
      </c>
      <c r="P4" s="1">
        <v>409075.74770000001</v>
      </c>
      <c r="Q4" s="1">
        <v>402300.68560000003</v>
      </c>
      <c r="R4" s="1">
        <v>394030.18599999999</v>
      </c>
      <c r="S4" s="1">
        <v>387971.07010000001</v>
      </c>
      <c r="T4" s="1">
        <v>388053.96759999997</v>
      </c>
      <c r="U4" s="1">
        <v>390160.35580000002</v>
      </c>
      <c r="V4" s="1">
        <v>392339.58199999999</v>
      </c>
      <c r="W4" s="1">
        <v>393813.18969999999</v>
      </c>
      <c r="X4" s="1">
        <v>395531.42989999999</v>
      </c>
      <c r="Y4" s="1">
        <v>404694.30369999999</v>
      </c>
      <c r="Z4" s="1">
        <v>404905.51669999998</v>
      </c>
      <c r="AA4" s="1">
        <v>392055.7219</v>
      </c>
      <c r="AB4" s="1">
        <v>404552.21830000001</v>
      </c>
      <c r="AC4" s="1">
        <v>404388.66960000002</v>
      </c>
      <c r="AD4" s="1">
        <v>413621.0993</v>
      </c>
      <c r="AE4" s="1">
        <v>416608.5613</v>
      </c>
      <c r="AF4" s="1">
        <v>417195.7733</v>
      </c>
      <c r="AG4" s="1">
        <v>416897.36690000002</v>
      </c>
      <c r="AH4" s="1">
        <v>426171.8394</v>
      </c>
      <c r="AI4" s="1">
        <v>439973.62050000002</v>
      </c>
      <c r="AJ4" s="1">
        <v>458077.54389999999</v>
      </c>
      <c r="AK4" s="1">
        <v>463922.46399999998</v>
      </c>
      <c r="AL4" s="1">
        <v>465012.45850000001</v>
      </c>
      <c r="AM4" s="1">
        <v>475090.02110000001</v>
      </c>
      <c r="AN4" s="1">
        <v>486947.06199999998</v>
      </c>
      <c r="AO4" s="1">
        <v>498009.37180000002</v>
      </c>
      <c r="AP4" s="1">
        <v>510124.85119999998</v>
      </c>
      <c r="AQ4" s="1">
        <v>513057.14069999999</v>
      </c>
      <c r="AR4" s="1">
        <v>539262.29200000002</v>
      </c>
      <c r="AS4" s="1">
        <v>538984.50230000005</v>
      </c>
      <c r="AT4" s="1">
        <v>550002.54169999994</v>
      </c>
      <c r="AU4" s="1">
        <v>545446.70550000004</v>
      </c>
      <c r="AV4" s="1">
        <v>555917.62060000002</v>
      </c>
      <c r="AW4" s="1">
        <v>567976.54379999998</v>
      </c>
      <c r="AX4" s="1">
        <v>580518.16310000001</v>
      </c>
    </row>
    <row r="5" spans="1:53" ht="15.75" customHeight="1" x14ac:dyDescent="0.15">
      <c r="A5" s="1" t="s">
        <v>29</v>
      </c>
      <c r="B5" s="1">
        <v>28259.691159999998</v>
      </c>
      <c r="C5" s="1">
        <v>29358.71715</v>
      </c>
      <c r="D5" s="1">
        <v>31427.618409999999</v>
      </c>
      <c r="E5" s="1">
        <v>33368.321799999998</v>
      </c>
      <c r="F5" s="1">
        <v>34669.998399999997</v>
      </c>
      <c r="G5" s="1">
        <v>36887.065759999998</v>
      </c>
      <c r="H5" s="1">
        <v>38937.327369999999</v>
      </c>
      <c r="I5" s="1">
        <v>41123.461479999998</v>
      </c>
      <c r="J5" s="1">
        <v>44635.794750000001</v>
      </c>
      <c r="K5" s="1">
        <v>48684.825349999999</v>
      </c>
      <c r="L5" s="1">
        <v>52407.869639999997</v>
      </c>
      <c r="M5" s="1">
        <v>61080.364379999999</v>
      </c>
      <c r="N5" s="1">
        <v>73437.221579999998</v>
      </c>
      <c r="O5" s="1">
        <v>82814.822199999995</v>
      </c>
      <c r="P5" s="1">
        <v>93726.185630000007</v>
      </c>
      <c r="Q5" s="1">
        <v>100815.20759999999</v>
      </c>
      <c r="R5" s="1">
        <v>106265.8974</v>
      </c>
      <c r="S5" s="1">
        <v>115280.18670000001</v>
      </c>
      <c r="T5" s="1">
        <v>125955.4644</v>
      </c>
      <c r="U5" s="1">
        <v>140606.71530000001</v>
      </c>
      <c r="V5" s="1">
        <v>157310.38130000001</v>
      </c>
      <c r="W5" s="1">
        <v>171529.61129999999</v>
      </c>
      <c r="X5" s="1">
        <v>176525.96030000001</v>
      </c>
      <c r="Y5" s="1">
        <v>195586.14920000001</v>
      </c>
      <c r="Z5" s="1">
        <v>214532.27859999999</v>
      </c>
      <c r="AA5" s="1">
        <v>222695.13560000001</v>
      </c>
      <c r="AB5" s="1">
        <v>247172.7157</v>
      </c>
      <c r="AC5" s="1">
        <v>266375.35279999999</v>
      </c>
      <c r="AD5" s="1">
        <v>291212.94579999999</v>
      </c>
      <c r="AE5" s="1">
        <v>297790.60639999999</v>
      </c>
      <c r="AF5" s="1">
        <v>299206.0379</v>
      </c>
      <c r="AG5" s="1">
        <v>304464.42550000001</v>
      </c>
      <c r="AH5" s="1">
        <v>319374.6004</v>
      </c>
      <c r="AI5" s="1">
        <v>346518.60320000001</v>
      </c>
      <c r="AJ5" s="1">
        <v>366243.3823</v>
      </c>
      <c r="AK5" s="1">
        <v>369809.315</v>
      </c>
      <c r="AL5" s="1">
        <v>376227.2635</v>
      </c>
      <c r="AM5" s="1">
        <v>391750.84080000001</v>
      </c>
      <c r="AN5" s="1">
        <v>424771.2438</v>
      </c>
      <c r="AO5" s="1">
        <v>448089.57799999998</v>
      </c>
      <c r="AP5" s="1">
        <v>472382.91710000002</v>
      </c>
      <c r="AQ5" s="1">
        <v>486730.81969999999</v>
      </c>
      <c r="AR5" s="1">
        <v>524461.53689999995</v>
      </c>
      <c r="AS5" s="1">
        <v>538984.50230000005</v>
      </c>
      <c r="AT5" s="1">
        <v>568379.71499999997</v>
      </c>
      <c r="AU5" s="1">
        <v>579943.93149999995</v>
      </c>
      <c r="AV5" s="1">
        <v>612968.83219999995</v>
      </c>
      <c r="AW5" s="1">
        <v>639143.05590000004</v>
      </c>
      <c r="AX5" s="1">
        <v>671267.42249999999</v>
      </c>
    </row>
    <row r="6" spans="1:53" ht="15.75" customHeight="1" x14ac:dyDescent="0.15">
      <c r="A6" s="1" t="s">
        <v>30</v>
      </c>
      <c r="B6" s="1">
        <v>362.30373279999998</v>
      </c>
      <c r="C6" s="1">
        <v>371.62933099999998</v>
      </c>
      <c r="D6" s="1">
        <v>383.2636392</v>
      </c>
      <c r="E6" s="1">
        <v>392.56849169999998</v>
      </c>
      <c r="F6" s="1">
        <v>398.50572870000002</v>
      </c>
      <c r="G6" s="1">
        <v>409.8562862</v>
      </c>
      <c r="H6" s="1">
        <v>423.23181929999998</v>
      </c>
      <c r="I6" s="1">
        <v>432.87854179999999</v>
      </c>
      <c r="J6" s="1">
        <v>446.35794750000002</v>
      </c>
      <c r="K6" s="1">
        <v>454.99836770000002</v>
      </c>
      <c r="L6" s="1">
        <v>467.92740750000002</v>
      </c>
      <c r="M6" s="1">
        <v>484.76479660000001</v>
      </c>
      <c r="N6" s="1">
        <v>499.57293600000003</v>
      </c>
      <c r="O6" s="1">
        <v>492.94537020000001</v>
      </c>
      <c r="P6" s="1">
        <v>488.15721680000001</v>
      </c>
      <c r="Q6" s="1">
        <v>480.07241720000002</v>
      </c>
      <c r="R6" s="1">
        <v>470.20308590000002</v>
      </c>
      <c r="S6" s="1">
        <v>462.9726374</v>
      </c>
      <c r="T6" s="1">
        <v>463.07156040000001</v>
      </c>
      <c r="U6" s="1">
        <v>465.58515010000002</v>
      </c>
      <c r="V6" s="1">
        <v>468.18565869999998</v>
      </c>
      <c r="W6" s="1">
        <v>469.9441405</v>
      </c>
      <c r="X6" s="1">
        <v>471.99454639999999</v>
      </c>
      <c r="Y6" s="1">
        <v>482.92876339999998</v>
      </c>
      <c r="Z6" s="1">
        <v>483.18080759999998</v>
      </c>
      <c r="AA6" s="1">
        <v>467.8469235</v>
      </c>
      <c r="AB6" s="1">
        <v>482.75921039999997</v>
      </c>
      <c r="AC6" s="1">
        <v>482.5640449</v>
      </c>
      <c r="AD6" s="1">
        <v>493.5812641</v>
      </c>
      <c r="AE6" s="1">
        <v>497.1462545</v>
      </c>
      <c r="AF6" s="1">
        <v>497.84698479999997</v>
      </c>
      <c r="AG6" s="1">
        <v>497.49089129999999</v>
      </c>
      <c r="AH6" s="1">
        <v>508.55828100000002</v>
      </c>
      <c r="AI6" s="1">
        <v>525.02818669999999</v>
      </c>
      <c r="AJ6" s="1">
        <v>546.63191389999997</v>
      </c>
      <c r="AK6" s="1">
        <v>553.60675900000001</v>
      </c>
      <c r="AL6" s="1">
        <v>554.90746830000001</v>
      </c>
      <c r="AM6" s="1">
        <v>566.93319940000003</v>
      </c>
      <c r="AN6" s="1">
        <v>581.08241290000001</v>
      </c>
      <c r="AO6" s="1">
        <v>594.28325989999996</v>
      </c>
      <c r="AP6" s="1">
        <v>608.74087259999999</v>
      </c>
      <c r="AQ6" s="1">
        <v>612.24002470000005</v>
      </c>
      <c r="AR6" s="1">
        <v>643.51108829999998</v>
      </c>
      <c r="AS6" s="1">
        <v>643.17959710000002</v>
      </c>
      <c r="AT6" s="1">
        <v>656.32761540000001</v>
      </c>
      <c r="AU6" s="1">
        <v>650.89105670000004</v>
      </c>
      <c r="AV6" s="1">
        <v>663.38618210000004</v>
      </c>
      <c r="AW6" s="1">
        <v>677.77630529999999</v>
      </c>
      <c r="AX6" s="1">
        <v>692.74243809999996</v>
      </c>
    </row>
    <row r="8" spans="1:53" ht="15.75" customHeight="1" x14ac:dyDescent="0.15">
      <c r="A8" s="1" t="s">
        <v>31</v>
      </c>
      <c r="B8" s="1">
        <v>185636.8365</v>
      </c>
      <c r="C8" s="1">
        <v>197801.41940000001</v>
      </c>
      <c r="D8" s="1">
        <v>212774.46369999999</v>
      </c>
      <c r="E8" s="1">
        <v>225615.7758</v>
      </c>
      <c r="F8" s="1">
        <v>232844.7867</v>
      </c>
      <c r="G8" s="1">
        <v>245464</v>
      </c>
      <c r="H8" s="1">
        <v>258101</v>
      </c>
      <c r="I8" s="1">
        <v>276259</v>
      </c>
      <c r="J8" s="1">
        <v>296031</v>
      </c>
      <c r="K8" s="1">
        <v>307920</v>
      </c>
      <c r="L8" s="1">
        <v>320073</v>
      </c>
      <c r="M8" s="1">
        <v>328598</v>
      </c>
      <c r="N8" s="1">
        <v>341871</v>
      </c>
      <c r="O8" s="1">
        <v>345961</v>
      </c>
      <c r="P8" s="1">
        <v>355317</v>
      </c>
      <c r="Q8" s="1">
        <v>367620</v>
      </c>
      <c r="R8" s="1">
        <v>370917</v>
      </c>
      <c r="S8" s="1">
        <v>386460</v>
      </c>
      <c r="T8" s="1">
        <v>398578</v>
      </c>
      <c r="U8" s="1">
        <v>412068</v>
      </c>
      <c r="V8" s="1">
        <v>425137</v>
      </c>
      <c r="W8" s="1">
        <v>415056</v>
      </c>
      <c r="X8" s="1">
        <v>434458</v>
      </c>
      <c r="Y8" s="1">
        <v>457594</v>
      </c>
      <c r="Z8" s="1">
        <v>477932</v>
      </c>
      <c r="AA8" s="1">
        <v>489481</v>
      </c>
      <c r="AB8" s="1">
        <v>514739</v>
      </c>
      <c r="AC8" s="1">
        <v>533794</v>
      </c>
      <c r="AD8" s="1">
        <v>554819</v>
      </c>
      <c r="AE8" s="1">
        <v>551261</v>
      </c>
      <c r="AF8" s="1">
        <v>551722</v>
      </c>
      <c r="AG8" s="1">
        <v>571887</v>
      </c>
      <c r="AH8" s="1">
        <v>595360</v>
      </c>
      <c r="AI8" s="1">
        <v>622057</v>
      </c>
      <c r="AJ8" s="1">
        <v>647659</v>
      </c>
      <c r="AK8" s="1">
        <v>673099</v>
      </c>
      <c r="AL8" s="1">
        <v>703258</v>
      </c>
      <c r="AM8" s="1">
        <v>739629</v>
      </c>
      <c r="AN8" s="1">
        <v>769045</v>
      </c>
      <c r="AO8" s="1">
        <v>784017</v>
      </c>
      <c r="AP8" s="1">
        <v>813542</v>
      </c>
      <c r="AQ8" s="1">
        <v>839187</v>
      </c>
      <c r="AR8" s="1">
        <v>873197</v>
      </c>
      <c r="AS8" s="1">
        <v>896568</v>
      </c>
      <c r="AT8" s="1">
        <v>921747</v>
      </c>
      <c r="AU8" s="1">
        <v>952164.76300000004</v>
      </c>
      <c r="AV8" s="1">
        <v>988090.75410000002</v>
      </c>
      <c r="AW8" s="1">
        <v>1001589.944</v>
      </c>
      <c r="AX8" s="1">
        <v>1024924.0870000001</v>
      </c>
    </row>
    <row r="9" spans="1:53" ht="15.75" customHeight="1" x14ac:dyDescent="0.15">
      <c r="A9" s="1" t="s">
        <v>29</v>
      </c>
      <c r="B9" s="1">
        <v>17278.84636</v>
      </c>
      <c r="C9" s="1">
        <v>18647.150519999999</v>
      </c>
      <c r="D9" s="1">
        <v>20820.412919999999</v>
      </c>
      <c r="E9" s="1">
        <v>22884.655060000001</v>
      </c>
      <c r="F9" s="1">
        <v>24173.623439999999</v>
      </c>
      <c r="G9" s="1">
        <v>26362.482100000001</v>
      </c>
      <c r="H9" s="1">
        <v>28335.67064</v>
      </c>
      <c r="I9" s="1">
        <v>31318.144390000001</v>
      </c>
      <c r="J9" s="1">
        <v>35325.894990000001</v>
      </c>
      <c r="K9" s="1">
        <v>39316.754180000004</v>
      </c>
      <c r="L9" s="1">
        <v>42778.252979999997</v>
      </c>
      <c r="M9" s="1">
        <v>49407.336519999997</v>
      </c>
      <c r="N9" s="1">
        <v>59970.211219999997</v>
      </c>
      <c r="O9" s="1">
        <v>69357.336519999997</v>
      </c>
      <c r="P9" s="1">
        <v>81409.145579999997</v>
      </c>
      <c r="Q9" s="1">
        <v>92124.343680000005</v>
      </c>
      <c r="R9" s="1">
        <v>100032.50840000001</v>
      </c>
      <c r="S9" s="1">
        <v>114831.1933</v>
      </c>
      <c r="T9" s="1">
        <v>129371.3795</v>
      </c>
      <c r="U9" s="1">
        <v>148501.83290000001</v>
      </c>
      <c r="V9" s="1">
        <v>170460.6587</v>
      </c>
      <c r="W9" s="1">
        <v>180782.14799999999</v>
      </c>
      <c r="X9" s="1">
        <v>193898.91649999999</v>
      </c>
      <c r="Y9" s="1">
        <v>221152.23149999999</v>
      </c>
      <c r="Z9" s="1">
        <v>253224.1146</v>
      </c>
      <c r="AA9" s="1">
        <v>278034.55369999999</v>
      </c>
      <c r="AB9" s="1">
        <v>314494.47259999998</v>
      </c>
      <c r="AC9" s="1">
        <v>351616.0955</v>
      </c>
      <c r="AD9" s="1">
        <v>390624.35560000001</v>
      </c>
      <c r="AE9" s="1">
        <v>394039.78399999999</v>
      </c>
      <c r="AF9" s="1">
        <v>395686.06439999997</v>
      </c>
      <c r="AG9" s="1">
        <v>417654.94510000001</v>
      </c>
      <c r="AH9" s="1">
        <v>446164.7733</v>
      </c>
      <c r="AI9" s="1">
        <v>489925.56089999998</v>
      </c>
      <c r="AJ9" s="1">
        <v>517818.05489999999</v>
      </c>
      <c r="AK9" s="1">
        <v>536551.47019999998</v>
      </c>
      <c r="AL9" s="1">
        <v>568984.39619999996</v>
      </c>
      <c r="AM9" s="1">
        <v>609885.01069999998</v>
      </c>
      <c r="AN9" s="1">
        <v>670849.51670000004</v>
      </c>
      <c r="AO9" s="1">
        <v>705428.1838</v>
      </c>
      <c r="AP9" s="1">
        <v>753351.54180000001</v>
      </c>
      <c r="AQ9" s="1">
        <v>796126.0919</v>
      </c>
      <c r="AR9" s="1">
        <v>849230.97259999998</v>
      </c>
      <c r="AS9" s="1">
        <v>896568</v>
      </c>
      <c r="AT9" s="1">
        <v>952545.2291</v>
      </c>
      <c r="AU9" s="1">
        <v>1012385.2070000001</v>
      </c>
      <c r="AV9" s="1">
        <v>1089493.8629999999</v>
      </c>
      <c r="AW9" s="1">
        <v>1127087.49</v>
      </c>
      <c r="AX9" s="1">
        <v>1185144.9169999999</v>
      </c>
    </row>
    <row r="10" spans="1:53" ht="15.75" customHeight="1" x14ac:dyDescent="0.15">
      <c r="A10" s="1" t="s">
        <v>32</v>
      </c>
      <c r="B10" s="1">
        <v>221.5236712</v>
      </c>
      <c r="C10" s="1">
        <v>236.03987989999999</v>
      </c>
      <c r="D10" s="1">
        <v>253.9074746</v>
      </c>
      <c r="E10" s="1">
        <v>269.23123600000002</v>
      </c>
      <c r="F10" s="1">
        <v>277.85774070000002</v>
      </c>
      <c r="G10" s="1">
        <v>292.91646780000002</v>
      </c>
      <c r="H10" s="1">
        <v>307.99642</v>
      </c>
      <c r="I10" s="1">
        <v>329.66467779999999</v>
      </c>
      <c r="J10" s="1">
        <v>353.2589499</v>
      </c>
      <c r="K10" s="1">
        <v>367.44630069999999</v>
      </c>
      <c r="L10" s="1">
        <v>381.94868739999998</v>
      </c>
      <c r="M10" s="1">
        <v>392.12171840000002</v>
      </c>
      <c r="N10" s="1">
        <v>407.9606205</v>
      </c>
      <c r="O10" s="1">
        <v>412.84128879999997</v>
      </c>
      <c r="P10" s="1">
        <v>424.00596660000002</v>
      </c>
      <c r="Q10" s="1">
        <v>438.68735079999999</v>
      </c>
      <c r="R10" s="1">
        <v>442.62171840000002</v>
      </c>
      <c r="S10" s="1">
        <v>461.1694511</v>
      </c>
      <c r="T10" s="1">
        <v>475.63007160000001</v>
      </c>
      <c r="U10" s="1">
        <v>491.7279236</v>
      </c>
      <c r="V10" s="1">
        <v>507.32338900000002</v>
      </c>
      <c r="W10" s="1">
        <v>495.29355609999999</v>
      </c>
      <c r="X10" s="1">
        <v>518.44630070000005</v>
      </c>
      <c r="Y10" s="1">
        <v>546.05489260000002</v>
      </c>
      <c r="Z10" s="1">
        <v>570.32458229999997</v>
      </c>
      <c r="AA10" s="1">
        <v>584.10620530000006</v>
      </c>
      <c r="AB10" s="1">
        <v>614.24701670000002</v>
      </c>
      <c r="AC10" s="1">
        <v>636.98568020000005</v>
      </c>
      <c r="AD10" s="1">
        <v>662.07517900000005</v>
      </c>
      <c r="AE10" s="1">
        <v>657.82935559999999</v>
      </c>
      <c r="AF10" s="1">
        <v>658.37947489999999</v>
      </c>
      <c r="AG10" s="1">
        <v>682.44272079999996</v>
      </c>
      <c r="AH10" s="1">
        <v>710.45346059999997</v>
      </c>
      <c r="AI10" s="1">
        <v>742.31145579999998</v>
      </c>
      <c r="AJ10" s="1">
        <v>772.86276850000002</v>
      </c>
      <c r="AK10" s="1">
        <v>803.22076370000002</v>
      </c>
      <c r="AL10" s="1">
        <v>839.21002390000001</v>
      </c>
      <c r="AM10" s="1">
        <v>882.61217180000006</v>
      </c>
      <c r="AN10" s="1">
        <v>917.71479710000006</v>
      </c>
      <c r="AO10" s="1">
        <v>935.58114560000001</v>
      </c>
      <c r="AP10" s="1">
        <v>970.81384249999996</v>
      </c>
      <c r="AQ10" s="1">
        <v>1001.416468</v>
      </c>
      <c r="AR10" s="1">
        <v>1042.0011930000001</v>
      </c>
      <c r="AS10" s="1">
        <v>1069.8902149999999</v>
      </c>
      <c r="AT10" s="1">
        <v>1099.9367540000001</v>
      </c>
      <c r="AU10" s="1">
        <v>1136.2348010000001</v>
      </c>
      <c r="AV10" s="1">
        <v>1179.105912</v>
      </c>
      <c r="AW10" s="1">
        <v>1195.2147299999999</v>
      </c>
      <c r="AX10" s="1">
        <v>1223.0597700000001</v>
      </c>
    </row>
    <row r="13" spans="1:53" ht="15.75" customHeight="1" x14ac:dyDescent="0.15">
      <c r="A13" s="1" t="s">
        <v>33</v>
      </c>
    </row>
    <row r="14" spans="1:53" ht="15.75" customHeight="1" x14ac:dyDescent="0.15">
      <c r="A14" s="1" t="s">
        <v>34</v>
      </c>
      <c r="B14" s="1">
        <v>202.94</v>
      </c>
      <c r="C14" s="1">
        <v>200.3</v>
      </c>
      <c r="D14" s="1">
        <v>202.16</v>
      </c>
      <c r="E14" s="1">
        <v>205.05</v>
      </c>
      <c r="F14" s="1">
        <v>209.02</v>
      </c>
      <c r="G14" s="1">
        <v>215.81</v>
      </c>
      <c r="H14" s="1">
        <v>222.26</v>
      </c>
      <c r="I14" s="1">
        <v>230.7</v>
      </c>
      <c r="J14" s="1">
        <v>239.9</v>
      </c>
      <c r="K14" s="1">
        <v>244.91</v>
      </c>
      <c r="L14" s="1">
        <v>246.45</v>
      </c>
      <c r="M14" s="1">
        <v>250.75</v>
      </c>
      <c r="N14" s="1">
        <v>257.87</v>
      </c>
      <c r="O14" s="1">
        <v>265.58999999999997</v>
      </c>
      <c r="P14" s="1">
        <v>272.7</v>
      </c>
      <c r="Q14" s="1">
        <v>268</v>
      </c>
      <c r="R14" s="1">
        <v>276.07</v>
      </c>
      <c r="S14" s="1">
        <v>277.33999999999997</v>
      </c>
      <c r="T14" s="1">
        <v>255.06</v>
      </c>
      <c r="U14" s="1">
        <v>263.87</v>
      </c>
      <c r="V14" s="1">
        <v>261.08</v>
      </c>
      <c r="W14" s="1">
        <v>266.02999999999997</v>
      </c>
      <c r="X14" s="1">
        <v>264.83999999999997</v>
      </c>
      <c r="Y14" s="1">
        <v>263.13</v>
      </c>
      <c r="Z14" s="1">
        <v>268.60000000000002</v>
      </c>
      <c r="AA14" s="1">
        <v>267.02</v>
      </c>
      <c r="AB14" s="1">
        <v>273.05</v>
      </c>
      <c r="AC14" s="1">
        <v>269.75</v>
      </c>
      <c r="AD14" s="1">
        <v>271.82</v>
      </c>
      <c r="AE14" s="1">
        <v>271.5</v>
      </c>
      <c r="AF14" s="1">
        <v>272.20999999999998</v>
      </c>
      <c r="AG14" s="1">
        <v>273.41000000000003</v>
      </c>
      <c r="AH14" s="1">
        <v>275.79000000000002</v>
      </c>
      <c r="AI14" s="1">
        <v>272.3</v>
      </c>
      <c r="AJ14" s="1">
        <v>282.67</v>
      </c>
      <c r="AK14" s="1">
        <v>294.76</v>
      </c>
      <c r="AL14" s="1">
        <v>291.7</v>
      </c>
      <c r="AM14" s="1">
        <v>304.56</v>
      </c>
      <c r="AN14" s="1">
        <v>307.02</v>
      </c>
      <c r="AO14" s="1">
        <v>330.09</v>
      </c>
      <c r="AP14" s="1">
        <v>341.25</v>
      </c>
      <c r="AQ14" s="1">
        <v>356.72</v>
      </c>
      <c r="AR14" s="1">
        <v>371.01</v>
      </c>
      <c r="AS14" s="1">
        <v>385.94</v>
      </c>
      <c r="AT14" s="1">
        <v>402.54</v>
      </c>
      <c r="AU14" s="1">
        <v>416.93</v>
      </c>
      <c r="AV14" s="1">
        <v>436.82</v>
      </c>
      <c r="AW14" s="1">
        <v>433.54</v>
      </c>
      <c r="AX14" s="1">
        <v>481.06</v>
      </c>
      <c r="AY14" s="1">
        <v>510.28</v>
      </c>
      <c r="AZ14" s="1">
        <v>526.76</v>
      </c>
      <c r="BA14" s="1">
        <v>553.55999999999995</v>
      </c>
    </row>
    <row r="15" spans="1:53" ht="15.75" customHeight="1" x14ac:dyDescent="0.15">
      <c r="A15" s="1" t="s">
        <v>25</v>
      </c>
      <c r="B15" s="1">
        <v>1962</v>
      </c>
      <c r="C15" s="1">
        <v>1963</v>
      </c>
      <c r="D15" s="1">
        <v>1964</v>
      </c>
      <c r="E15" s="1">
        <v>1965</v>
      </c>
      <c r="F15" s="1">
        <v>1966</v>
      </c>
      <c r="G15" s="1">
        <v>1967</v>
      </c>
      <c r="H15" s="1">
        <v>1968</v>
      </c>
      <c r="I15" s="1">
        <v>1969</v>
      </c>
      <c r="J15" s="1">
        <v>1970</v>
      </c>
      <c r="K15" s="1">
        <v>1971</v>
      </c>
      <c r="L15" s="1">
        <v>1972</v>
      </c>
      <c r="M15" s="1">
        <v>1973</v>
      </c>
      <c r="N15" s="1">
        <v>1974</v>
      </c>
      <c r="O15" s="1">
        <v>1975</v>
      </c>
      <c r="P15" s="1">
        <v>1976</v>
      </c>
      <c r="Q15" s="1">
        <v>1977</v>
      </c>
      <c r="R15" s="1">
        <v>1978</v>
      </c>
      <c r="S15" s="1">
        <v>1979</v>
      </c>
      <c r="T15" s="1">
        <v>1980</v>
      </c>
      <c r="U15" s="1">
        <v>1981</v>
      </c>
      <c r="V15" s="1">
        <v>1982</v>
      </c>
      <c r="W15" s="1">
        <v>1983</v>
      </c>
      <c r="X15" s="1">
        <v>1984</v>
      </c>
      <c r="Y15" s="1">
        <v>1985</v>
      </c>
      <c r="Z15" s="1">
        <v>1986</v>
      </c>
      <c r="AA15" s="1">
        <v>1987</v>
      </c>
      <c r="AB15" s="1">
        <v>1988</v>
      </c>
      <c r="AC15" s="1">
        <v>1989</v>
      </c>
      <c r="AD15" s="1">
        <v>1990</v>
      </c>
      <c r="AE15" s="1">
        <v>1991</v>
      </c>
      <c r="AF15" s="1">
        <v>1992</v>
      </c>
      <c r="AG15" s="1">
        <v>1993</v>
      </c>
      <c r="AH15" s="1">
        <v>1994</v>
      </c>
      <c r="AI15" s="1">
        <v>1995</v>
      </c>
      <c r="AJ15" s="1">
        <v>1996</v>
      </c>
      <c r="AK15" s="1">
        <v>1997</v>
      </c>
      <c r="AL15" s="1">
        <v>1998</v>
      </c>
      <c r="AM15" s="1">
        <v>1999</v>
      </c>
      <c r="AN15" s="1">
        <v>2000</v>
      </c>
      <c r="AO15" s="1">
        <v>2001</v>
      </c>
      <c r="AP15" s="1">
        <v>2002</v>
      </c>
      <c r="AQ15" s="1">
        <v>2003</v>
      </c>
      <c r="AR15" s="1">
        <v>2004</v>
      </c>
      <c r="AS15" s="1">
        <v>2005</v>
      </c>
      <c r="AT15" s="1">
        <v>2006</v>
      </c>
      <c r="AU15" s="1">
        <v>2007</v>
      </c>
      <c r="AV15" s="1">
        <v>2008</v>
      </c>
      <c r="AW15" s="1">
        <v>2009</v>
      </c>
      <c r="AX15" s="1">
        <v>2010</v>
      </c>
      <c r="AY15" s="1">
        <v>2011</v>
      </c>
      <c r="AZ15" s="1">
        <v>2012</v>
      </c>
      <c r="BA15" s="1">
        <v>2013</v>
      </c>
    </row>
    <row r="16" spans="1:53" ht="15.75" customHeight="1" x14ac:dyDescent="0.15">
      <c r="A16" s="1" t="s">
        <v>35</v>
      </c>
      <c r="B16" s="1">
        <v>402.94</v>
      </c>
      <c r="C16" s="1">
        <v>400.3</v>
      </c>
      <c r="D16" s="1">
        <v>402.16</v>
      </c>
      <c r="E16" s="1">
        <v>405.05</v>
      </c>
      <c r="F16" s="1">
        <v>409.02</v>
      </c>
      <c r="G16" s="1">
        <v>415.81</v>
      </c>
      <c r="H16" s="1">
        <v>422.26</v>
      </c>
      <c r="I16" s="1">
        <v>430.7</v>
      </c>
      <c r="J16" s="1">
        <v>439.9</v>
      </c>
      <c r="K16" s="1">
        <v>444.91</v>
      </c>
      <c r="L16" s="1">
        <v>446.45</v>
      </c>
      <c r="M16" s="1">
        <v>450.75</v>
      </c>
      <c r="N16" s="1">
        <v>457.87</v>
      </c>
      <c r="O16" s="1">
        <v>465.59</v>
      </c>
      <c r="P16" s="1">
        <v>472.7</v>
      </c>
      <c r="Q16" s="1">
        <v>468</v>
      </c>
      <c r="R16" s="1">
        <v>476.07</v>
      </c>
      <c r="S16" s="1">
        <v>477.34</v>
      </c>
      <c r="T16" s="1">
        <v>455.06</v>
      </c>
      <c r="U16" s="1">
        <v>463.87</v>
      </c>
      <c r="V16" s="1">
        <v>461.08</v>
      </c>
      <c r="W16" s="1">
        <v>466.03</v>
      </c>
      <c r="X16" s="1">
        <v>464.84</v>
      </c>
      <c r="Y16" s="1">
        <v>463.13</v>
      </c>
      <c r="Z16" s="1">
        <v>468.6</v>
      </c>
      <c r="AA16" s="1">
        <v>467.02</v>
      </c>
      <c r="AB16" s="1">
        <v>473.05</v>
      </c>
      <c r="AC16" s="1">
        <v>469.75</v>
      </c>
      <c r="AD16" s="1">
        <v>471.82</v>
      </c>
      <c r="AE16" s="1">
        <v>471.5</v>
      </c>
      <c r="AF16" s="1">
        <v>472.21</v>
      </c>
      <c r="AG16" s="1">
        <v>473.41</v>
      </c>
      <c r="AH16" s="1">
        <v>475.79</v>
      </c>
      <c r="AI16" s="1">
        <v>472.3</v>
      </c>
      <c r="AJ16" s="1">
        <v>482.67</v>
      </c>
      <c r="AK16" s="1">
        <v>494.76</v>
      </c>
      <c r="AL16" s="1">
        <v>491.7</v>
      </c>
      <c r="AM16" s="1">
        <v>504.56</v>
      </c>
      <c r="AN16" s="1">
        <v>507.02</v>
      </c>
      <c r="AO16" s="1">
        <v>530.09</v>
      </c>
      <c r="AP16" s="1">
        <v>541.25</v>
      </c>
      <c r="AQ16" s="1">
        <v>556.72</v>
      </c>
      <c r="AR16" s="1">
        <v>571.01</v>
      </c>
      <c r="AS16" s="1">
        <v>585.94000000000005</v>
      </c>
      <c r="AT16" s="1">
        <v>602.54</v>
      </c>
      <c r="AU16" s="1">
        <v>616.92999999999995</v>
      </c>
      <c r="AV16" s="1">
        <v>636.82000000000005</v>
      </c>
      <c r="AW16" s="1">
        <v>633.54</v>
      </c>
      <c r="AX16" s="1">
        <v>681.06</v>
      </c>
      <c r="AY16" s="1">
        <v>710.28</v>
      </c>
      <c r="AZ16" s="1">
        <v>726.76</v>
      </c>
      <c r="BA16" s="1">
        <v>753.56</v>
      </c>
    </row>
    <row r="17" spans="1:53" ht="15.75" customHeight="1" x14ac:dyDescent="0.15">
      <c r="A17" s="1" t="s">
        <v>36</v>
      </c>
      <c r="B17" s="1">
        <v>227.65</v>
      </c>
      <c r="C17" s="1">
        <v>243</v>
      </c>
      <c r="D17" s="1">
        <v>259</v>
      </c>
      <c r="E17" s="1">
        <v>272.39</v>
      </c>
      <c r="F17" s="1">
        <v>279.72000000000003</v>
      </c>
      <c r="G17" s="1">
        <v>301.43</v>
      </c>
      <c r="H17" s="1">
        <v>316.86</v>
      </c>
      <c r="I17" s="1">
        <v>344.12</v>
      </c>
      <c r="J17" s="1">
        <v>368.34</v>
      </c>
      <c r="K17" s="1">
        <v>376.58</v>
      </c>
      <c r="L17" s="1">
        <v>396.95</v>
      </c>
      <c r="M17" s="1">
        <v>394.59</v>
      </c>
      <c r="N17" s="1">
        <v>409.82</v>
      </c>
      <c r="O17" s="1">
        <v>423.24</v>
      </c>
      <c r="P17" s="1">
        <v>433.15</v>
      </c>
      <c r="Q17" s="1">
        <v>457.14</v>
      </c>
      <c r="R17" s="1">
        <v>463.85</v>
      </c>
      <c r="S17" s="1">
        <v>475.88</v>
      </c>
      <c r="T17" s="1">
        <v>493.89</v>
      </c>
      <c r="U17" s="1">
        <v>503.54</v>
      </c>
      <c r="V17" s="1">
        <v>522.42999999999995</v>
      </c>
      <c r="W17" s="1">
        <v>517.94000000000005</v>
      </c>
      <c r="X17" s="1">
        <v>570.5</v>
      </c>
      <c r="Y17" s="1">
        <v>580.12</v>
      </c>
      <c r="Z17" s="1">
        <v>586.11</v>
      </c>
      <c r="AA17" s="1">
        <v>600.39</v>
      </c>
      <c r="AB17" s="1">
        <v>632.94000000000005</v>
      </c>
      <c r="AC17" s="1">
        <v>666.28</v>
      </c>
      <c r="AD17" s="1">
        <v>684.87</v>
      </c>
      <c r="AE17" s="1">
        <v>692.65</v>
      </c>
      <c r="AF17" s="1">
        <v>703.84</v>
      </c>
      <c r="AG17" s="1">
        <v>725.62</v>
      </c>
      <c r="AH17" s="1">
        <v>743.18</v>
      </c>
      <c r="AI17" s="1">
        <v>750.99</v>
      </c>
      <c r="AJ17" s="1">
        <v>789.64</v>
      </c>
      <c r="AK17" s="1">
        <v>833.32</v>
      </c>
      <c r="AL17" s="1">
        <v>868.33</v>
      </c>
      <c r="AM17" s="1">
        <v>897.65</v>
      </c>
      <c r="AN17" s="1">
        <v>903.95</v>
      </c>
      <c r="AO17" s="1">
        <v>935.38</v>
      </c>
      <c r="AP17" s="1">
        <v>970.99</v>
      </c>
      <c r="AQ17" s="1">
        <v>1007.42</v>
      </c>
      <c r="AR17" s="1">
        <v>1057.1500000000001</v>
      </c>
      <c r="AS17" s="1">
        <v>1100.57</v>
      </c>
      <c r="AT17" s="1">
        <v>1152.3900000000001</v>
      </c>
      <c r="AU17" s="1">
        <v>1220.01</v>
      </c>
      <c r="AV17" s="1">
        <v>1275.3499999999999</v>
      </c>
      <c r="AW17" s="1">
        <v>1334.12</v>
      </c>
      <c r="AX17" s="1">
        <v>1337.18</v>
      </c>
      <c r="AY17" s="1">
        <v>1410.69</v>
      </c>
      <c r="AZ17" s="1">
        <v>1458.85</v>
      </c>
      <c r="BA17" s="1">
        <v>1451.28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62:EY72"/>
  <sheetViews>
    <sheetView topLeftCell="A53" workbookViewId="0"/>
  </sheetViews>
  <sheetFormatPr baseColWidth="10" defaultColWidth="14.5" defaultRowHeight="15.75" customHeight="1" x14ac:dyDescent="0.15"/>
  <cols>
    <col min="2" max="2" width="34" customWidth="1" collapsed="1"/>
  </cols>
  <sheetData>
    <row r="62" spans="1:155" ht="15.75" customHeight="1" x14ac:dyDescent="0.15">
      <c r="A62" s="1" t="s">
        <v>37</v>
      </c>
    </row>
    <row r="63" spans="1:155" ht="15.75" customHeight="1" x14ac:dyDescent="0.15">
      <c r="A63" s="2"/>
      <c r="B63" s="3" t="s">
        <v>0</v>
      </c>
      <c r="C63" s="3">
        <v>1962</v>
      </c>
      <c r="D63" s="3">
        <v>1963</v>
      </c>
      <c r="E63" s="3">
        <v>1964</v>
      </c>
      <c r="F63" s="3">
        <v>1965</v>
      </c>
      <c r="G63" s="3">
        <v>1966</v>
      </c>
      <c r="H63" s="3">
        <v>1967</v>
      </c>
      <c r="I63" s="3">
        <v>1968</v>
      </c>
      <c r="J63" s="3">
        <v>1969</v>
      </c>
      <c r="K63" s="3">
        <v>1970</v>
      </c>
      <c r="L63" s="3">
        <v>1971</v>
      </c>
      <c r="M63" s="3">
        <v>1972</v>
      </c>
      <c r="N63" s="3">
        <v>1973</v>
      </c>
      <c r="O63" s="3">
        <v>1974</v>
      </c>
      <c r="P63" s="3">
        <v>1975</v>
      </c>
      <c r="Q63" s="3">
        <v>1976</v>
      </c>
      <c r="R63" s="3">
        <v>1977</v>
      </c>
      <c r="S63" s="3">
        <v>1978</v>
      </c>
      <c r="T63" s="3">
        <v>1979</v>
      </c>
      <c r="U63" s="3">
        <v>1980</v>
      </c>
      <c r="V63" s="3">
        <v>1981</v>
      </c>
      <c r="W63" s="3">
        <v>1982</v>
      </c>
      <c r="X63" s="3">
        <v>1983</v>
      </c>
      <c r="Y63" s="3">
        <v>1984</v>
      </c>
      <c r="Z63" s="3">
        <v>1985</v>
      </c>
      <c r="AA63" s="3">
        <v>1986</v>
      </c>
      <c r="AB63" s="3">
        <v>1987</v>
      </c>
      <c r="AC63" s="3">
        <v>1988</v>
      </c>
      <c r="AD63" s="3">
        <v>1989</v>
      </c>
      <c r="AE63" s="3">
        <v>1990</v>
      </c>
      <c r="AF63" s="3">
        <v>1991</v>
      </c>
      <c r="AG63" s="3">
        <v>1992</v>
      </c>
      <c r="AH63" s="3">
        <v>1993</v>
      </c>
      <c r="AI63" s="3">
        <v>1994</v>
      </c>
      <c r="AJ63" s="3">
        <v>1995</v>
      </c>
      <c r="AK63" s="3">
        <v>1996</v>
      </c>
      <c r="AL63" s="3">
        <v>1997</v>
      </c>
      <c r="AM63" s="3">
        <v>1998</v>
      </c>
      <c r="AN63" s="3">
        <v>1999</v>
      </c>
      <c r="AO63" s="3">
        <v>2000</v>
      </c>
      <c r="AP63" s="3">
        <v>2001</v>
      </c>
      <c r="AQ63" s="3">
        <v>2002</v>
      </c>
      <c r="AR63" s="3">
        <v>2003</v>
      </c>
      <c r="AS63" s="3">
        <v>2004</v>
      </c>
      <c r="AT63" s="3">
        <v>2005</v>
      </c>
      <c r="AU63" s="3">
        <v>2006</v>
      </c>
      <c r="AV63" s="3">
        <v>2007</v>
      </c>
      <c r="AW63" s="3">
        <v>2008</v>
      </c>
      <c r="AX63" s="3">
        <v>2009</v>
      </c>
      <c r="AY63" s="3">
        <v>2010</v>
      </c>
      <c r="AZ63" s="3">
        <v>2011</v>
      </c>
      <c r="BA63" s="3">
        <v>2012</v>
      </c>
      <c r="BB63" s="3">
        <v>2013</v>
      </c>
      <c r="BC63" s="3"/>
      <c r="BD63" s="3" t="s">
        <v>38</v>
      </c>
      <c r="BE63" s="4"/>
      <c r="BF63" s="4" t="s">
        <v>39</v>
      </c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</row>
    <row r="64" spans="1:155" ht="15.75" customHeight="1" x14ac:dyDescent="0.15">
      <c r="A64" s="5">
        <v>1</v>
      </c>
      <c r="B64" s="6" t="s">
        <v>40</v>
      </c>
      <c r="C64">
        <f>(Australia!C4/(Australia!C46)*1000000)</f>
        <v>13009.681623533792</v>
      </c>
      <c r="D64">
        <f>(Australia!D4/(Australia!D46)*1000000)</f>
        <v>13636.529680365296</v>
      </c>
      <c r="E64">
        <f>(Australia!E4/(Australia!E46)*1000000)</f>
        <v>14113.907047550822</v>
      </c>
      <c r="F64">
        <f>(Australia!F4/(Australia!F46)*1000000)</f>
        <v>14377.414822620301</v>
      </c>
      <c r="G64">
        <f>(Australia!G4/(Australia!G46)*1000000)</f>
        <v>14602.120872489008</v>
      </c>
      <c r="H64">
        <f>(Australia!H4/(Australia!H46)*1000000)</f>
        <v>15091.109416052208</v>
      </c>
      <c r="I64">
        <f>(Australia!I4/(Australia!I46)*1000000)</f>
        <v>15720.709467899076</v>
      </c>
      <c r="J64">
        <f>(Australia!J4/(Australia!J46)*1000000)</f>
        <v>16406.262741580365</v>
      </c>
      <c r="K64">
        <f>(Australia!K4/(Australia!K46)*1000000)</f>
        <v>17151.195330614857</v>
      </c>
      <c r="L64">
        <f>(Australia!L4/(Australia!L46)*1000000)</f>
        <v>17124.052957832708</v>
      </c>
      <c r="M64">
        <f>(Australia!M4/(Australia!M46)*1000000)</f>
        <v>17446.632591701742</v>
      </c>
      <c r="N64">
        <f>(Australia!N4/(Australia!N46)*1000000)</f>
        <v>18227.323213624582</v>
      </c>
      <c r="O64">
        <f>(Australia!O4/(Australia!O46)*1000000)</f>
        <v>18944.837134737303</v>
      </c>
      <c r="P64">
        <f>(Australia!P4/(Australia!P46)*1000000)</f>
        <v>19486.072122651698</v>
      </c>
      <c r="Q64">
        <f>(Australia!Q4/(Australia!Q46)*1000000)</f>
        <v>20028.504240005703</v>
      </c>
      <c r="R64">
        <f>(Australia!R4/(Australia!R46)*1000000)</f>
        <v>20073.985343855693</v>
      </c>
      <c r="S64">
        <f>(Australia!S4/(Australia!S46)*1000000)</f>
        <v>20350.302945887594</v>
      </c>
      <c r="T64">
        <f>(Australia!T4/(Australia!T46)*1000000)</f>
        <v>20460.870763295672</v>
      </c>
      <c r="U64">
        <f>(Australia!U4/(Australia!U46)*1000000)</f>
        <v>20798.91119428377</v>
      </c>
      <c r="V64">
        <f>(Australia!V4/(Australia!V46)*1000000)</f>
        <v>21397.172150371909</v>
      </c>
      <c r="W64">
        <f>(Australia!W4/(Australia!W46)*1000000)</f>
        <v>21751.844046364593</v>
      </c>
      <c r="X64">
        <f>(Australia!X4/(Australia!X46)*1000000)</f>
        <v>21568.894952251023</v>
      </c>
      <c r="Y64">
        <f>(Australia!Y4/(Australia!Y46)*1000000)</f>
        <v>21944.925861736952</v>
      </c>
      <c r="Z64">
        <f>(Australia!Z4/(Australia!Z46)*1000000)</f>
        <v>22577.907271345324</v>
      </c>
      <c r="AA64">
        <f>(Australia!AA4/(Australia!AA46)*1000000)</f>
        <v>22700.711699338244</v>
      </c>
      <c r="AB64">
        <f>(Australia!AB4/(Australia!AB46)*1000000)</f>
        <v>22779.144121987214</v>
      </c>
      <c r="AC64">
        <f>(Australia!AC4/(Australia!AC46)*1000000)</f>
        <v>23216.186789257197</v>
      </c>
      <c r="AD64">
        <f>(Australia!AD4/(Australia!AD46)*1000000)</f>
        <v>23818.841441655764</v>
      </c>
      <c r="AE64">
        <f>(Australia!AE4/(Australia!AE46)*1000000)</f>
        <v>23866.979197187226</v>
      </c>
      <c r="AF64">
        <f>(Australia!AF4/(Australia!AF46)*1000000)</f>
        <v>23959.15297384865</v>
      </c>
      <c r="AG64">
        <f>(Australia!AG4/(Australia!AG46)*1000000)</f>
        <v>24561.473768522224</v>
      </c>
      <c r="AH64">
        <f>(Australia!AH4/(Australia!AH46)*1000000)</f>
        <v>24835.83782251205</v>
      </c>
      <c r="AI64">
        <f>(Australia!AI4/(Australia!AI46)*1000000)</f>
        <v>25390.058972198822</v>
      </c>
      <c r="AJ64">
        <f>(Australia!AJ4/(Australia!AJ46)*1000000)</f>
        <v>25703.971119133574</v>
      </c>
      <c r="AK64">
        <f>(Australia!AK4/(Australia!AK46)*1000000)</f>
        <v>25976.406035665295</v>
      </c>
      <c r="AL64">
        <f>(Australia!AL4/(Australia!AL46)*1000000)</f>
        <v>27100.90647560115</v>
      </c>
      <c r="AM64">
        <f>(Australia!AM4/(Australia!AM46)*1000000)</f>
        <v>28214.746345657779</v>
      </c>
      <c r="AN64">
        <f>(Australia!AN4/(Australia!AN46)*1000000)</f>
        <v>29289.815011694664</v>
      </c>
      <c r="AO64">
        <f>(Australia!AO4/(Australia!AO46)*1000000)</f>
        <v>29622.155657154864</v>
      </c>
      <c r="AP64">
        <f>(Australia!AP4/(Australia!AP46)*1000000)</f>
        <v>29859.403372243836</v>
      </c>
      <c r="AQ64">
        <f>(Australia!AQ4/(Australia!AQ46)*1000000)</f>
        <v>30726.340087201846</v>
      </c>
      <c r="AR64">
        <f>(Australia!AR4/(Australia!AR46)*1000000)</f>
        <v>31442.117539678515</v>
      </c>
      <c r="AS64">
        <f>(Australia!AS4/(Australia!AS46)*1000000)</f>
        <v>32597.702302714089</v>
      </c>
      <c r="AT64">
        <f>(Australia!AT4/(Australia!AT46)*1000000)</f>
        <v>33068.840759280371</v>
      </c>
      <c r="AU64">
        <f>(Australia!AU4/(Australia!AU46)*1000000)</f>
        <v>33875.605104884846</v>
      </c>
      <c r="AV64">
        <f>(Australia!AV4/(Australia!AV46)*1000000)</f>
        <v>35426.829268292677</v>
      </c>
      <c r="AW64">
        <f>(Australia!AW4/(Australia!AW46)*1000000)</f>
        <v>35005.882629770815</v>
      </c>
      <c r="AX64">
        <f>(Australia!AX4/(Australia!AX46)*1000000)</f>
        <v>34853.402175917392</v>
      </c>
      <c r="AY64">
        <f>(Australia!AY4/(Australia!AY46)*1000000)</f>
        <v>35202.886710239654</v>
      </c>
      <c r="AZ64">
        <f>(Australia!AZ4/(Australia!AZ46)*1000000)</f>
        <v>35547.896150402863</v>
      </c>
      <c r="BA64">
        <f>(Australia!BA4/(Australia!BA46)*1000000)</f>
        <v>36091.89331925007</v>
      </c>
      <c r="BB64">
        <f>(Australia!BB4/(Australia!BB46)*1000000)</f>
        <v>36104.867294890639</v>
      </c>
    </row>
    <row r="65" spans="1:54" ht="15.75" customHeight="1" x14ac:dyDescent="0.15">
      <c r="A65" s="5">
        <v>2</v>
      </c>
      <c r="B65" s="6" t="s">
        <v>41</v>
      </c>
      <c r="C65" s="7">
        <f>(Australia!C5)</f>
        <v>1.1819999999999999</v>
      </c>
      <c r="D65" s="7">
        <f>(Australia!D5)</f>
        <v>1.1850000000000001</v>
      </c>
      <c r="E65" s="7">
        <f>(Australia!E5)</f>
        <v>1.17</v>
      </c>
      <c r="F65" s="7">
        <f>(Australia!F5)</f>
        <v>1.147</v>
      </c>
      <c r="G65" s="7">
        <f>(Australia!G5)</f>
        <v>1.129</v>
      </c>
      <c r="H65" s="7">
        <f>(Australia!H5)</f>
        <v>1.1180000000000001</v>
      </c>
      <c r="I65" s="7">
        <f>(Australia!I5)</f>
        <v>1.115</v>
      </c>
      <c r="J65" s="7">
        <f>(Australia!J5)</f>
        <v>1.099</v>
      </c>
      <c r="K65" s="7">
        <f>(Australia!K5)</f>
        <v>1.085</v>
      </c>
      <c r="L65" s="7">
        <f>(Australia!L5)</f>
        <v>1.093</v>
      </c>
      <c r="M65" s="7">
        <f>(Australia!M5)</f>
        <v>1.0960000000000001</v>
      </c>
      <c r="N65" s="7">
        <f>(Australia!N5)</f>
        <v>1.0669999999999999</v>
      </c>
      <c r="O65" s="7">
        <f>(Australia!O5)</f>
        <v>1.0289999999999999</v>
      </c>
      <c r="P65" s="7">
        <f>(Australia!P5)</f>
        <v>1.0049999999999999</v>
      </c>
      <c r="Q65" s="7">
        <f>(Australia!Q5)</f>
        <v>0.99199999999999999</v>
      </c>
      <c r="R65" s="7">
        <f>(Australia!R5)</f>
        <v>0.98499999999999999</v>
      </c>
      <c r="S65" s="7">
        <f>(Australia!S5)</f>
        <v>0.98099999999999998</v>
      </c>
      <c r="T65" s="7">
        <f>(Australia!T5)</f>
        <v>0.98099999999999998</v>
      </c>
      <c r="U65" s="7">
        <f>(Australia!U5)</f>
        <v>0.98899999999999999</v>
      </c>
      <c r="V65" s="7">
        <f>(Australia!V5)</f>
        <v>0.99199999999999999</v>
      </c>
      <c r="W65" s="7">
        <f>(Australia!W5)</f>
        <v>1</v>
      </c>
      <c r="X65" s="7">
        <f>(Australia!X5)</f>
        <v>1.02</v>
      </c>
      <c r="Y65" s="7">
        <f>(Australia!Y5)</f>
        <v>1.0409999999999999</v>
      </c>
      <c r="Z65" s="7">
        <f>(Australia!Z5)</f>
        <v>1.0609999999999999</v>
      </c>
      <c r="AA65" s="7">
        <f>(Australia!AA5)</f>
        <v>1.081</v>
      </c>
      <c r="AB65" s="7">
        <f>(Australia!AB5)</f>
        <v>1.069</v>
      </c>
      <c r="AC65" s="7">
        <f>(Australia!AC5)</f>
        <v>1.0569999999999999</v>
      </c>
      <c r="AD65" s="7">
        <f>(Australia!AD5)</f>
        <v>1.0449999999999999</v>
      </c>
      <c r="AE65" s="7">
        <f>(Australia!AE5)</f>
        <v>1.0329999999999999</v>
      </c>
      <c r="AF65" s="7">
        <f>(Australia!AF5)</f>
        <v>1.054</v>
      </c>
      <c r="AG65" s="7">
        <f>(Australia!AG5)</f>
        <v>1.0740000000000001</v>
      </c>
      <c r="AH65" s="7">
        <f>(Australia!AH5)</f>
        <v>1.0940000000000001</v>
      </c>
      <c r="AI65" s="7">
        <f>(Australia!AI5)</f>
        <v>1.115</v>
      </c>
      <c r="AJ65" s="7">
        <f>(Australia!AJ5)</f>
        <v>1.119</v>
      </c>
      <c r="AK65" s="7">
        <f>(Australia!AK5)</f>
        <v>1.0960000000000001</v>
      </c>
      <c r="AL65" s="7">
        <f>(Australia!AL5)</f>
        <v>1.081</v>
      </c>
      <c r="AM65" s="7">
        <f>(Australia!AM5)</f>
        <v>1.1220000000000001</v>
      </c>
      <c r="AN65" s="7">
        <f>(Australia!AN5)</f>
        <v>1.135</v>
      </c>
      <c r="AO65" s="7">
        <f>(Australia!AO5)</f>
        <v>1.1479999999999999</v>
      </c>
      <c r="AP65" s="7">
        <f>(Australia!AP5)</f>
        <v>1.1519999999999999</v>
      </c>
      <c r="AQ65" s="7">
        <f>(Australia!AQ5)</f>
        <v>1.1479999999999999</v>
      </c>
      <c r="AR65" s="7">
        <f>(Australia!AR5)</f>
        <v>1.1439999999999999</v>
      </c>
      <c r="AS65" s="7">
        <f>(Australia!AS5)</f>
        <v>1.133</v>
      </c>
      <c r="AT65" s="7">
        <f>(Australia!AT5)</f>
        <v>1.1479999999999999</v>
      </c>
      <c r="AU65" s="7">
        <f>(Australia!AU5)</f>
        <v>1.163</v>
      </c>
      <c r="AV65" s="7">
        <f>(Australia!AV5)</f>
        <v>1.204</v>
      </c>
      <c r="AW65" s="7">
        <f>(Australia!AW5)</f>
        <v>1.244</v>
      </c>
      <c r="AX65" s="7">
        <f>(Australia!AX5)</f>
        <v>1.2310000000000001</v>
      </c>
      <c r="AY65" s="7">
        <f>(Australia!AY5)</f>
        <v>1.2190000000000001</v>
      </c>
      <c r="AZ65" s="7">
        <f>(Australia!AZ5)</f>
        <v>1.202</v>
      </c>
      <c r="BA65" s="7">
        <f>(Australia!BA5)</f>
        <v>1.1850000000000001</v>
      </c>
      <c r="BB65" s="7">
        <f>(Australia!BB5)</f>
        <v>1.19</v>
      </c>
    </row>
    <row r="66" spans="1:54" ht="15.75" customHeight="1" x14ac:dyDescent="0.15">
      <c r="A66" s="5">
        <v>3</v>
      </c>
      <c r="B66" s="6" t="s">
        <v>42</v>
      </c>
      <c r="C66">
        <f>(Australia!C6/Australia!C46)*1000000</f>
        <v>11944.703034816606</v>
      </c>
      <c r="D66">
        <f>(Australia!D6/Australia!D46)*1000000</f>
        <v>12494.977168949772</v>
      </c>
      <c r="E66">
        <f>(Australia!E6/Australia!E46)*1000000</f>
        <v>13099.310468344229</v>
      </c>
      <c r="F66">
        <f>(Australia!F6/Australia!F46)*1000000</f>
        <v>13600.280997541271</v>
      </c>
      <c r="G66">
        <f>(Australia!G6/Australia!G46)*1000000</f>
        <v>14038.279161996727</v>
      </c>
      <c r="H66">
        <f>(Australia!H6/Australia!H46)*1000000</f>
        <v>14650.394101195017</v>
      </c>
      <c r="I66">
        <f>(Australia!I6/Australia!I46)*1000000</f>
        <v>15301.856940627862</v>
      </c>
      <c r="J66">
        <f>(Australia!J6/Australia!J46)*1000000</f>
        <v>16199.135611188129</v>
      </c>
      <c r="K66">
        <f>(Australia!K6/Australia!K46)*1000000</f>
        <v>17151.195330614857</v>
      </c>
      <c r="L66">
        <f>(Australia!L6/Australia!L46)*1000000</f>
        <v>17004.668248258971</v>
      </c>
      <c r="M66">
        <f>(Australia!M6/Australia!M46)*1000000</f>
        <v>17278.262176788936</v>
      </c>
      <c r="N66">
        <f>(Australia!N6/Australia!N46)*1000000</f>
        <v>18547.945205479453</v>
      </c>
      <c r="O66">
        <f>(Australia!O6/Australia!O46)*1000000</f>
        <v>19985.425927275377</v>
      </c>
      <c r="P66">
        <f>(Australia!P6/Australia!P46)*1000000</f>
        <v>21036.493198013388</v>
      </c>
      <c r="Q66">
        <f>(Australia!Q6/Australia!Q46)*1000000</f>
        <v>21907.646262381528</v>
      </c>
      <c r="R66">
        <f>(Australia!R6/Australia!R46)*1000000</f>
        <v>22127.254791431791</v>
      </c>
      <c r="S66">
        <f>(Australia!S6/Australia!S46)*1000000</f>
        <v>22516.888362699352</v>
      </c>
      <c r="T66">
        <f>(Australia!T6/Australia!T46)*1000000</f>
        <v>22630.201157343621</v>
      </c>
      <c r="U66">
        <f>(Australia!U6/Australia!U46)*1000000</f>
        <v>22830.894862198027</v>
      </c>
      <c r="V66">
        <f>(Australia!V6/Australia!V46)*1000000</f>
        <v>23422.904241774442</v>
      </c>
      <c r="W66">
        <f>(Australia!W6/Australia!W46)*1000000</f>
        <v>23611.037934668071</v>
      </c>
      <c r="X66">
        <f>(Australia!X6/Australia!X46)*1000000</f>
        <v>22944.845059442603</v>
      </c>
      <c r="Y66">
        <f>(Australia!Y6/Australia!Y46)*1000000</f>
        <v>22887.861865331535</v>
      </c>
      <c r="Z66">
        <f>(Australia!Z6/Australia!Z46)*1000000</f>
        <v>23096.022295414237</v>
      </c>
      <c r="AA66">
        <f>(Australia!AA6/Australia!AA46)*1000000</f>
        <v>22784.367586465229</v>
      </c>
      <c r="AB66">
        <f>(Australia!AB6/Australia!AB46)*1000000</f>
        <v>23120.388588293165</v>
      </c>
      <c r="AC66">
        <f>(Australia!AC6/Australia!AC46)*1000000</f>
        <v>23832.567142511492</v>
      </c>
      <c r="AD66">
        <f>(Australia!AD6/Australia!AD46)*1000000</f>
        <v>24732.365885571548</v>
      </c>
      <c r="AE66">
        <f>(Australia!AE6/Australia!AE46)*1000000</f>
        <v>25071.198359214766</v>
      </c>
      <c r="AF66">
        <f>(Australia!AF6/Australia!AF46)*1000000</f>
        <v>24681.208053691273</v>
      </c>
      <c r="AG66">
        <f>(Australia!AG6/Australia!AG46)*1000000</f>
        <v>24821.78614337205</v>
      </c>
      <c r="AH66">
        <f>(Australia!AH6/Australia!AH46)*1000000</f>
        <v>24632.265381343917</v>
      </c>
      <c r="AI66">
        <f>(Australia!AI6/Australia!AI46)*1000000</f>
        <v>24721.707385565853</v>
      </c>
      <c r="AJ66">
        <f>(Australia!AJ6/Australia!AJ46)*1000000</f>
        <v>24944.737572896414</v>
      </c>
      <c r="AK66">
        <f>(Australia!AK6/Australia!AK46)*1000000</f>
        <v>25719.615912208505</v>
      </c>
      <c r="AL66">
        <f>(Australia!AL6/Australia!AL46)*1000000</f>
        <v>27200.781631656082</v>
      </c>
      <c r="AM66">
        <f>(Australia!AM6/Australia!AM46)*1000000</f>
        <v>27290.950128976783</v>
      </c>
      <c r="AN66">
        <f>(Australia!AN6/Australia!AN46)*1000000</f>
        <v>28007.123112906655</v>
      </c>
      <c r="AO66">
        <f>(Australia!AO6/Australia!AO46)*1000000</f>
        <v>28005.150034158389</v>
      </c>
      <c r="AP66">
        <f>(Australia!AP6/Australia!AP46)*1000000</f>
        <v>28138.521400778209</v>
      </c>
      <c r="AQ66">
        <f>(Australia!AQ6/Australia!AQ46)*1000000</f>
        <v>29048.986919723</v>
      </c>
      <c r="AR66">
        <f>(Australia!AR6/Australia!AR46)*1000000</f>
        <v>29822.017139090312</v>
      </c>
      <c r="AS66">
        <f>(Australia!AS6/Australia!AS46)*1000000</f>
        <v>31221.090653689862</v>
      </c>
      <c r="AT66">
        <f>(Australia!AT6/Australia!AT46)*1000000</f>
        <v>31263.319621351038</v>
      </c>
      <c r="AU66">
        <f>(Australia!AU6/Australia!AU46)*1000000</f>
        <v>31618.50276270109</v>
      </c>
      <c r="AV66">
        <f>(Australia!AV6/Australia!AV46)*1000000</f>
        <v>31946.898405991935</v>
      </c>
      <c r="AW66">
        <f>(Australia!AW6/Australia!AW46)*1000000</f>
        <v>30534.142783189796</v>
      </c>
      <c r="AX66">
        <f>(Australia!AX6/Australia!AX46)*1000000</f>
        <v>30721.003134796236</v>
      </c>
      <c r="AY66">
        <f>(Australia!AY6/Australia!AY46)*1000000</f>
        <v>31358.932461873635</v>
      </c>
      <c r="AZ66">
        <f>(Australia!AZ6/Australia!AZ46)*1000000</f>
        <v>32105.64010743062</v>
      </c>
      <c r="BA66">
        <f>(Australia!BA6/Australia!BA46)*1000000</f>
        <v>33055.188803802484</v>
      </c>
      <c r="BB66">
        <f>(Australia!BB6/Australia!BB46)*1000000</f>
        <v>33000.345811359904</v>
      </c>
    </row>
    <row r="67" spans="1:54" ht="15.75" customHeight="1" x14ac:dyDescent="0.15">
      <c r="A67" s="5">
        <v>4</v>
      </c>
      <c r="B67" s="6" t="s">
        <v>2</v>
      </c>
      <c r="C67">
        <f>(Australia!C7/Australia!C46)*1000000</f>
        <v>453.65853658536582</v>
      </c>
      <c r="D67">
        <f>(Australia!D7/Australia!D46)*1000000</f>
        <v>477.36986301369859</v>
      </c>
      <c r="E67">
        <f>(Australia!E7/Australia!E46)*1000000</f>
        <v>504.64762245903103</v>
      </c>
      <c r="F67">
        <f>(Australia!F7/Australia!F46)*1000000</f>
        <v>533.43870741131013</v>
      </c>
      <c r="G67">
        <f>(Australia!G7/Australia!G46)*1000000</f>
        <v>577.53254590913014</v>
      </c>
      <c r="H67">
        <f>(Australia!H7/Australia!H46)*1000000</f>
        <v>641.42723959657599</v>
      </c>
      <c r="I67">
        <f>(Australia!I7/Australia!I46)*1000000</f>
        <v>719.87675909734367</v>
      </c>
      <c r="J67">
        <f>(Australia!J7/Australia!J46)*1000000</f>
        <v>809.81815216504936</v>
      </c>
      <c r="K67">
        <f>(Australia!K7/Australia!K46)*1000000</f>
        <v>902.35867913968184</v>
      </c>
      <c r="L67">
        <f>(Australia!L7/Australia!L46)*1000000</f>
        <v>977.11793066503424</v>
      </c>
      <c r="M67">
        <f>(Australia!M7/Australia!M46)*1000000</f>
        <v>1077.0895971136499</v>
      </c>
      <c r="N67">
        <f>(Australia!N7/Australia!N46)*1000000</f>
        <v>1195.660866345798</v>
      </c>
      <c r="O67">
        <f>(Australia!O7/Australia!O46)*1000000</f>
        <v>1321.9558405596445</v>
      </c>
      <c r="P67">
        <f>(Australia!P7/Australia!P46)*1000000</f>
        <v>1452.5300511048729</v>
      </c>
      <c r="Q67">
        <f>(Australia!Q7/Australia!Q46)*1000000</f>
        <v>1588.6125561177225</v>
      </c>
      <c r="R67">
        <f>(Australia!R7/Australia!R46)*1000000</f>
        <v>1730.9047350620069</v>
      </c>
      <c r="S67">
        <f>(Australia!S7/Australia!S46)*1000000</f>
        <v>1907.5562365067203</v>
      </c>
      <c r="T67">
        <f>(Australia!T7/Australia!T46)*1000000</f>
        <v>2084.9269771286858</v>
      </c>
      <c r="U67">
        <f>(Australia!U7/Australia!U46)*1000000</f>
        <v>2266.240217761143</v>
      </c>
      <c r="V67">
        <f>(Australia!V7/Australia!V46)*1000000</f>
        <v>2462.051866246733</v>
      </c>
      <c r="W67">
        <f>(Australia!W7/Australia!W46)*1000000</f>
        <v>2663.7381454162273</v>
      </c>
      <c r="X67">
        <f>(Australia!X7/Australia!X46)*1000000</f>
        <v>2877.6716689404275</v>
      </c>
      <c r="Y67">
        <f>(Australia!Y7/Australia!Y46)*1000000</f>
        <v>3057.7058861287633</v>
      </c>
      <c r="Z67">
        <f>(Australia!Z7/Australia!Z46)*1000000</f>
        <v>3229.0220420572587</v>
      </c>
      <c r="AA67">
        <f>(Australia!AA7/Australia!AA46)*1000000</f>
        <v>3354.6635035584964</v>
      </c>
      <c r="AB67">
        <f>(Australia!AB7/Australia!AB46)*1000000</f>
        <v>3479.3285784554846</v>
      </c>
      <c r="AC67">
        <f>(Australia!AC7/Australia!AC46)*1000000</f>
        <v>3609.0733123639002</v>
      </c>
      <c r="AD67">
        <f>(Australia!AD7/Australia!AD46)*1000000</f>
        <v>3699.1911502319495</v>
      </c>
      <c r="AE67">
        <f>(Australia!AE7/Australia!AE46)*1000000</f>
        <v>3776.9000878992088</v>
      </c>
      <c r="AF67">
        <f>(Australia!AF7/Australia!AF46)*1000000</f>
        <v>3859.6968294376302</v>
      </c>
      <c r="AG67">
        <f>(Australia!AG7/Australia!AG46)*1000000</f>
        <v>3975.8567423765662</v>
      </c>
      <c r="AH67">
        <f>(Australia!AH7/Australia!AH46)*1000000</f>
        <v>4109.2826764956053</v>
      </c>
      <c r="AI67">
        <f>(Australia!AI7/Australia!AI46)*1000000</f>
        <v>4252.0415613591695</v>
      </c>
      <c r="AJ67">
        <f>(Australia!AJ7/Australia!AJ46)*1000000</f>
        <v>4421.2940849763954</v>
      </c>
      <c r="AK67">
        <f>(Australia!AK7/Australia!AK46)*1000000</f>
        <v>4588.2798353909466</v>
      </c>
      <c r="AL67">
        <f>(Australia!AL7/Australia!AL46)*1000000</f>
        <v>4774.2604353254083</v>
      </c>
      <c r="AM67">
        <f>(Australia!AM7/Australia!AM46)*1000000</f>
        <v>4956.7820292347378</v>
      </c>
      <c r="AN67">
        <f>(Australia!AN7/Australia!AN46)*1000000</f>
        <v>5128.8751860514558</v>
      </c>
      <c r="AO67">
        <f>(Australia!AO7/Australia!AO46)*1000000</f>
        <v>5345.514740658994</v>
      </c>
      <c r="AP67">
        <f>(Australia!AP7/Australia!AP46)*1000000</f>
        <v>5499.5382619974062</v>
      </c>
      <c r="AQ67">
        <f>(Australia!AQ7/Australia!AQ46)*1000000</f>
        <v>5635.4860220569371</v>
      </c>
      <c r="AR67">
        <f>(Australia!AR7/Australia!AR46)*1000000</f>
        <v>5739.6480908676021</v>
      </c>
      <c r="AS67">
        <f>(Australia!AS7/Australia!AS46)*1000000</f>
        <v>5814.1172929313198</v>
      </c>
      <c r="AT67">
        <f>(Australia!AT7/Australia!AT46)*1000000</f>
        <v>5884.5715418545869</v>
      </c>
      <c r="AU67">
        <f>(Australia!AU7/Australia!AU46)*1000000</f>
        <v>5946.7605496063761</v>
      </c>
      <c r="AV67">
        <f>(Australia!AV7/Australia!AV46)*1000000</f>
        <v>5839.1204148261959</v>
      </c>
      <c r="AW67">
        <f>(Australia!AW7/Australia!AW46)*1000000</f>
        <v>5723.4316909031013</v>
      </c>
      <c r="AX67">
        <f>(Australia!AX7/Australia!AX46)*1000000</f>
        <v>5606.5461921445685</v>
      </c>
      <c r="AY67">
        <f>(Australia!AY7/Australia!AY46)*1000000</f>
        <v>5520.0254175744376</v>
      </c>
      <c r="AZ67">
        <f>(Australia!AZ7/Australia!AZ46)*1000000</f>
        <v>5443.9212175470002</v>
      </c>
      <c r="BA67">
        <f>(Australia!BA7/Australia!BA46)*1000000</f>
        <v>5352.3985564651002</v>
      </c>
      <c r="BB67">
        <f>(Australia!BB7/Australia!BB46)*1000000</f>
        <v>5257.0761649520182</v>
      </c>
    </row>
    <row r="68" spans="1:54" ht="15.75" customHeight="1" x14ac:dyDescent="0.15">
      <c r="A68" s="5">
        <v>5</v>
      </c>
      <c r="B68" s="6" t="s">
        <v>3</v>
      </c>
      <c r="C68">
        <f>(Australia!C8/Australia!C46)*1000000</f>
        <v>2865.5791547197919</v>
      </c>
      <c r="D68">
        <f>(Australia!D8/Australia!D46)*1000000</f>
        <v>3007.9186173515982</v>
      </c>
      <c r="E68">
        <f>(Australia!E8/Australia!E46)*1000000</f>
        <v>3091.6441515178653</v>
      </c>
      <c r="F68">
        <f>(Australia!F8/Australia!F46)*1000000</f>
        <v>3037.252835440815</v>
      </c>
      <c r="G68">
        <f>(Australia!G8/Australia!G46)*1000000</f>
        <v>2966.9620743167516</v>
      </c>
      <c r="H68">
        <f>(Australia!H8/Australia!H46)*1000000</f>
        <v>3053.931123824053</v>
      </c>
      <c r="I68">
        <f>(Australia!I8/Australia!I46)*1000000</f>
        <v>3157.9576184528273</v>
      </c>
      <c r="J68">
        <f>(Australia!J8/Australia!J46)*1000000</f>
        <v>3318.4976628883633</v>
      </c>
      <c r="K68">
        <f>(Australia!K8/Australia!K46)*1000000</f>
        <v>3334.9324378348128</v>
      </c>
      <c r="L68">
        <f>(Australia!L8/Australia!L46)*1000000</f>
        <v>3320.7716660289279</v>
      </c>
      <c r="M68">
        <f>(Australia!M8/Australia!M46)*1000000</f>
        <v>3374.3879389657241</v>
      </c>
      <c r="N68">
        <f>(Australia!N8/Australia!N46)*1000000</f>
        <v>3561.2912328767125</v>
      </c>
      <c r="O68">
        <f>(Australia!O8/Australia!O46)*1000000</f>
        <v>3639.0567303067842</v>
      </c>
      <c r="P68">
        <f>(Australia!P8/Australia!P46)*1000000</f>
        <v>3696.191641834017</v>
      </c>
      <c r="Q68">
        <f>(Australia!Q8/Australia!Q46)*1000000</f>
        <v>3681.055369486211</v>
      </c>
      <c r="R68">
        <f>(Australia!R8/Australia!R46)*1000000</f>
        <v>3570.4219680101469</v>
      </c>
      <c r="S68">
        <f>(Australia!S8/Australia!S46)*1000000</f>
        <v>3569.0359781321818</v>
      </c>
      <c r="T68">
        <f>(Australia!T8/Australia!T46)*1000000</f>
        <v>3444.7517263709005</v>
      </c>
      <c r="U68">
        <f>(Australia!U8/Australia!U46)*1000000</f>
        <v>3531.8635787682888</v>
      </c>
      <c r="V68">
        <f>(Australia!V8/Australia!V46)*1000000</f>
        <v>3556.6681592173154</v>
      </c>
      <c r="W68">
        <f>(Australia!W8/Australia!W46)*1000000</f>
        <v>3437.0060590094836</v>
      </c>
      <c r="X68">
        <f>(Australia!X8/Australia!X46)*1000000</f>
        <v>3415.8917637887348</v>
      </c>
      <c r="Y68">
        <f>(Australia!Y8/Australia!Y46)*1000000</f>
        <v>3651.9062924449581</v>
      </c>
      <c r="Z68">
        <f>(Australia!Z8/Australia!Z46)*1000000</f>
        <v>3873.7031093235369</v>
      </c>
      <c r="AA68">
        <f>(Australia!AA8/Australia!AA46)*1000000</f>
        <v>3649.1885815957048</v>
      </c>
      <c r="AB68">
        <f>(Australia!AB8/Australia!AB46)*1000000</f>
        <v>3570.1626936792918</v>
      </c>
      <c r="AC68">
        <f>(Australia!AC8/Australia!AC46)*1000000</f>
        <v>3699.146919912896</v>
      </c>
      <c r="AD68">
        <f>(Australia!AD8/Australia!AD46)*1000000</f>
        <v>3722.9586112763172</v>
      </c>
      <c r="AE68">
        <f>(Australia!AE8/Australia!AE46)*1000000</f>
        <v>3653.4288139466748</v>
      </c>
      <c r="AF68">
        <f>(Australia!AF8/Australia!AF46)*1000000</f>
        <v>3466.782367507521</v>
      </c>
      <c r="AG68">
        <f>(Australia!AG8/Australia!AG46)*1000000</f>
        <v>3617.0811676869389</v>
      </c>
      <c r="AH68">
        <f>(Australia!AH8/Australia!AH46)*1000000</f>
        <v>3571.4219529345055</v>
      </c>
      <c r="AI68">
        <f>(Australia!AI8/Australia!AI46)*1000000</f>
        <v>3596.7317562482449</v>
      </c>
      <c r="AJ68">
        <f>(Australia!AJ8/Australia!AJ46)*1000000</f>
        <v>3620.7114184948628</v>
      </c>
      <c r="AK68">
        <f>(Australia!AK8/Australia!AK46)*1000000</f>
        <v>3601.416784636488</v>
      </c>
      <c r="AL68">
        <f>(Australia!AL8/Australia!AL46)*1000000</f>
        <v>3723.7851278293442</v>
      </c>
      <c r="AM68">
        <f>(Australia!AM8/Australia!AM46)*1000000</f>
        <v>3810.5696286543425</v>
      </c>
      <c r="AN68">
        <f>(Australia!AN8/Australia!AN46)*1000000</f>
        <v>3831.5753130980224</v>
      </c>
      <c r="AO68">
        <f>(Australia!AO8/Australia!AO46)*1000000</f>
        <v>3800.3050853959739</v>
      </c>
      <c r="AP68">
        <f>(Australia!AP8/Australia!AP46)*1000000</f>
        <v>3766.9910931258109</v>
      </c>
      <c r="AQ68">
        <f>(Australia!AQ8/Australia!AQ46)*1000000</f>
        <v>3946.6900051295202</v>
      </c>
      <c r="AR68">
        <f>(Australia!AR8/Australia!AR46)*1000000</f>
        <v>4025.0806931697171</v>
      </c>
      <c r="AS68">
        <f>(Australia!AS8/Australia!AS46)*1000000</f>
        <v>4041.1451984146888</v>
      </c>
      <c r="AT68">
        <f>(Australia!AT8/Australia!AT46)*1000000</f>
        <v>3975.8518967140803</v>
      </c>
      <c r="AU68">
        <f>(Australia!AU8/Australia!AU46)*1000000</f>
        <v>3913.9347665150849</v>
      </c>
      <c r="AV68">
        <f>(Australia!AV8/Australia!AV46)*1000000</f>
        <v>4094.4623237948922</v>
      </c>
      <c r="AW68">
        <f>(Australia!AW8/Australia!AW46)*1000000</f>
        <v>3783.3203863711233</v>
      </c>
      <c r="AX68">
        <f>(Australia!AX8/Australia!AX46)*1000000</f>
        <v>3619.9456029872763</v>
      </c>
      <c r="AY68">
        <f>(Australia!AY8/Australia!AY46)*1000000</f>
        <v>3576.0443763616558</v>
      </c>
      <c r="AZ68">
        <f>(Australia!AZ8/Australia!AZ46)*1000000</f>
        <v>3436.2368424350939</v>
      </c>
      <c r="BA68">
        <f>(Australia!BA8/Australia!BA46)*1000000</f>
        <v>3445.352263005017</v>
      </c>
      <c r="BB68">
        <f>(Australia!BB8/Australia!BB46)*1000000</f>
        <v>3367.6185938445578</v>
      </c>
    </row>
    <row r="69" spans="1:54" ht="15.75" customHeight="1" x14ac:dyDescent="0.15">
      <c r="A69" s="5">
        <v>6</v>
      </c>
      <c r="B69" s="6" t="s">
        <v>4</v>
      </c>
      <c r="C69">
        <f>(Australia!C9/Australia!C46)*1000000</f>
        <v>92.383341463414638</v>
      </c>
      <c r="D69">
        <f>(Australia!D9/Australia!D46)*1000000</f>
        <v>92.464997716894985</v>
      </c>
      <c r="E69">
        <f>(Australia!E9/Australia!E46)*1000000</f>
        <v>92.487180800573114</v>
      </c>
      <c r="F69">
        <f>(Australia!F9/Australia!F46)*1000000</f>
        <v>93.693951176677203</v>
      </c>
      <c r="G69">
        <f>(Australia!G9/Australia!G46)*1000000</f>
        <v>95.198147167859304</v>
      </c>
      <c r="H69">
        <f>(Australia!H9/Australia!H46)*1000000</f>
        <v>97.454650987371821</v>
      </c>
      <c r="I69">
        <f>(Australia!I9/Australia!I46)*1000000</f>
        <v>102.05847889083189</v>
      </c>
      <c r="J69">
        <f>(Australia!J9/Australia!J46)*1000000</f>
        <v>107.91027505504363</v>
      </c>
      <c r="K69">
        <f>(Australia!K9/Australia!K46)*1000000</f>
        <v>114.1061578316143</v>
      </c>
      <c r="L69">
        <f>(Australia!L9/Australia!L46)*1000000</f>
        <v>118.99529333435372</v>
      </c>
      <c r="M69">
        <f>(Australia!M9/Australia!M46)*1000000</f>
        <v>121.95741325917018</v>
      </c>
      <c r="N69">
        <f>(Australia!N9/Australia!N46)*1000000</f>
        <v>122.64376786375416</v>
      </c>
      <c r="O69">
        <f>(Australia!O9/Australia!O46)*1000000</f>
        <v>127.72895183268965</v>
      </c>
      <c r="P69">
        <f>(Australia!P9/Australia!P46)*1000000</f>
        <v>125.12346311091918</v>
      </c>
      <c r="Q69">
        <f>(Australia!Q9/Australia!Q46)*1000000</f>
        <v>128.9753833820281</v>
      </c>
      <c r="R69">
        <f>(Australia!R9/Australia!R46)*1000000</f>
        <v>131.3846603720406</v>
      </c>
      <c r="S69">
        <f>(Australia!S9/Australia!S46)*1000000</f>
        <v>195.96014959259</v>
      </c>
      <c r="T69">
        <f>(Australia!T9/Australia!T46)*1000000</f>
        <v>193.32801866905481</v>
      </c>
      <c r="U69">
        <f>(Australia!U9/Australia!U46)*1000000</f>
        <v>217.34407015991835</v>
      </c>
      <c r="V69">
        <f>(Australia!V9/Australia!V46)*1000000</f>
        <v>215.13874556054412</v>
      </c>
      <c r="W69">
        <f>(Australia!W9/Australia!W46)*1000000</f>
        <v>230.40087822708117</v>
      </c>
      <c r="X69">
        <f>(Australia!X9/Australia!X46)*1000000</f>
        <v>290.59071545507697</v>
      </c>
      <c r="Y69">
        <f>(Australia!Y9/Australia!Y46)*1000000</f>
        <v>281.99401765196745</v>
      </c>
      <c r="Z69">
        <f>(Australia!Z9/Australia!Z46)*1000000</f>
        <v>257.29822789460349</v>
      </c>
      <c r="AA69">
        <f>(Australia!AA9/Australia!AA46)*1000000</f>
        <v>275.34541540766634</v>
      </c>
      <c r="AB69">
        <f>(Australia!AB9/Australia!AB46)*1000000</f>
        <v>309.88880847270042</v>
      </c>
      <c r="AC69">
        <f>(Australia!AC9/Australia!AC46)*1000000</f>
        <v>278.4334770142753</v>
      </c>
      <c r="AD69">
        <f>(Australia!AD9/Australia!AD46)*1000000</f>
        <v>309.23749851314381</v>
      </c>
      <c r="AE69">
        <f>(Australia!AE9/Australia!AE46)*1000000</f>
        <v>341.0588597714621</v>
      </c>
      <c r="AF69">
        <f>(Australia!AF9/Australia!AF46)*1000000</f>
        <v>458.4766102175422</v>
      </c>
      <c r="AG69">
        <f>(Australia!AG9/Australia!AG46)*1000000</f>
        <v>580.28277304193603</v>
      </c>
      <c r="AH69">
        <f>(Australia!AH9/Australia!AH46)*1000000</f>
        <v>597.84405387014465</v>
      </c>
      <c r="AI69">
        <f>(Australia!AI9/Australia!AI46)*1000000</f>
        <v>584.51307947205839</v>
      </c>
      <c r="AJ69">
        <f>(Australia!AJ9/Australia!AJ46)*1000000</f>
        <v>575.63771730074973</v>
      </c>
      <c r="AK69">
        <f>(Australia!AK9/Australia!AK46)*1000000</f>
        <v>671.52237860082312</v>
      </c>
      <c r="AL69">
        <f>(Australia!AL9/Australia!AL46)*1000000</f>
        <v>719.86226510340339</v>
      </c>
      <c r="AM69">
        <f>(Australia!AM9/Australia!AM46)*1000000</f>
        <v>725.57166971195181</v>
      </c>
      <c r="AN69">
        <f>(Australia!AN9/Australia!AN46)*1000000</f>
        <v>708.28130289177113</v>
      </c>
      <c r="AO69">
        <f>(Australia!AO9/Australia!AO46)*1000000</f>
        <v>686.4379594303432</v>
      </c>
      <c r="AP69">
        <f>(Australia!AP9/Australia!AP46)*1000000</f>
        <v>725.02345006485086</v>
      </c>
      <c r="AQ69">
        <f>(Australia!AQ9/Australia!AQ46)*1000000</f>
        <v>749.05149320338546</v>
      </c>
      <c r="AR69">
        <f>(Australia!AR9/Australia!AR46)*1000000</f>
        <v>847.8123365955073</v>
      </c>
      <c r="AS69">
        <f>(Australia!AS9/Australia!AS46)*1000000</f>
        <v>818.20456830381784</v>
      </c>
      <c r="AT69">
        <f>(Australia!AT9/Australia!AT46)*1000000</f>
        <v>823.91338206869204</v>
      </c>
      <c r="AU69">
        <f>(Australia!AU9/Australia!AU46)*1000000</f>
        <v>826.06019950124698</v>
      </c>
      <c r="AV69">
        <f>(Australia!AV9/Australia!AV46)*1000000</f>
        <v>832.07056366429811</v>
      </c>
      <c r="AW69">
        <f>(Australia!AW9/Australia!AW46)*1000000</f>
        <v>794.76864887759427</v>
      </c>
      <c r="AX69">
        <f>(Australia!AX9/Australia!AX46)*1000000</f>
        <v>1039.7725673059192</v>
      </c>
      <c r="AY69">
        <f>(Australia!AY9/Australia!AY46)*1000000</f>
        <v>983.01849582425575</v>
      </c>
      <c r="AZ69">
        <f>(Australia!AZ9/Australia!AZ46)*1000000</f>
        <v>1029.5434198746643</v>
      </c>
      <c r="BA69">
        <f>(Australia!BA9/Australia!BA46)*1000000</f>
        <v>1124.0764334125518</v>
      </c>
      <c r="BB69">
        <f>(Australia!BB9/Australia!BB46)*1000000</f>
        <v>1182.1092072274573</v>
      </c>
    </row>
    <row r="70" spans="1:54" ht="15.75" customHeight="1" x14ac:dyDescent="0.15">
      <c r="A70" s="5">
        <v>7</v>
      </c>
      <c r="B70" s="6" t="s">
        <v>5</v>
      </c>
      <c r="C70">
        <f>(Australia!C10/Australia!C$46)*1000000</f>
        <v>1232.5451498789796</v>
      </c>
      <c r="D70">
        <f>(Australia!D10/Australia!D$46)*1000000</f>
        <v>1232.8767123287671</v>
      </c>
      <c r="E70">
        <f>(Australia!E10/Australia!E$46)*1000000</f>
        <v>1232.2020238201844</v>
      </c>
      <c r="F70">
        <f>(Australia!F10/Australia!F$46)*1000000</f>
        <v>1232.8767123287671</v>
      </c>
      <c r="G70">
        <f>(Australia!G10/Australia!G$46)*1000000</f>
        <v>1232.8649021467368</v>
      </c>
      <c r="H70">
        <f>(Australia!H10/Australia!H$46)*1000000</f>
        <v>1232.3078226968387</v>
      </c>
      <c r="I70">
        <f>(Australia!I10/Australia!I$46)*1000000</f>
        <v>1232.4090265634109</v>
      </c>
      <c r="J70">
        <f>(Australia!J10/Australia!J$46)*1000000</f>
        <v>1232.9772486341026</v>
      </c>
      <c r="K70">
        <f>(Australia!K10/Australia!K$46)*1000000</f>
        <v>1232.9095706404412</v>
      </c>
      <c r="L70">
        <f>(Australia!L10/Australia!L$46)*1000000</f>
        <v>1232.8767123287671</v>
      </c>
      <c r="M70">
        <f>(Australia!M10/Australia!M$46)*1000000</f>
        <v>1232.7119663259168</v>
      </c>
      <c r="N70">
        <f>(Australia!N10/Australia!N$46)*1000000</f>
        <v>1232.8767123287671</v>
      </c>
      <c r="O70">
        <f>(Australia!O10/Australia!O$46)*1000000</f>
        <v>1232.9665525030971</v>
      </c>
      <c r="P70">
        <f>(Australia!P10/Australia!P$46)*1000000</f>
        <v>1232.9950334700927</v>
      </c>
      <c r="Q70">
        <f>(Australia!Q10/Australia!Q$46)*1000000</f>
        <v>1232.8083802465617</v>
      </c>
      <c r="R70">
        <f>(Australia!R10/Australia!R$46)*1000000</f>
        <v>1232.3844419391205</v>
      </c>
      <c r="S70">
        <f>(Australia!S10/Australia!S$46)*1000000</f>
        <v>1232.6763702207675</v>
      </c>
      <c r="T70">
        <f>(Australia!T10/Australia!T$46)*1000000</f>
        <v>1232.4331771837972</v>
      </c>
      <c r="U70">
        <f>(Australia!U10/Australia!U$46)*1000000</f>
        <v>1232.3919700578429</v>
      </c>
      <c r="V70">
        <f>(Australia!V10/Australia!V$46)*1000000</f>
        <v>1232.996046371373</v>
      </c>
      <c r="W70">
        <f>(Australia!W10/Australia!W$46)*1000000</f>
        <v>1232.8767123287671</v>
      </c>
      <c r="X70">
        <f>(Australia!X10/Australia!X$46)*1000000</f>
        <v>1232.3783537971806</v>
      </c>
      <c r="Y70">
        <f>(Australia!Y10/Australia!Y$46)*1000000</f>
        <v>1232.4282688234161</v>
      </c>
      <c r="Z70">
        <f>(Australia!Z10/Australia!Z$46)*1000000</f>
        <v>1232.5817076260453</v>
      </c>
      <c r="AA70">
        <f>(Australia!AA10/Australia!AA$46)*1000000</f>
        <v>1232.3635909601696</v>
      </c>
      <c r="AB70">
        <f>(Australia!AB10/Australia!AB$46)*1000000</f>
        <v>1232.7840629611412</v>
      </c>
      <c r="AC70">
        <f>(Australia!AC10/Australia!AC$46)*1000000</f>
        <v>1649.5281877570771</v>
      </c>
      <c r="AD70">
        <f>(Australia!AD10/Australia!AD$46)*1000000</f>
        <v>1672.4158439395742</v>
      </c>
      <c r="AE70">
        <f>(Australia!AE10/Australia!AE$46)*1000000</f>
        <v>1524.7582771755053</v>
      </c>
      <c r="AF70">
        <f>(Australia!AF10/Australia!AF$46)*1000000</f>
        <v>1243.3464475815783</v>
      </c>
      <c r="AG70">
        <f>(Australia!AG10/Australia!AG$46)*1000000</f>
        <v>1398.8214428743063</v>
      </c>
      <c r="AH70">
        <f>(Australia!AH10/Australia!AH$46)*1000000</f>
        <v>1483.9807201587753</v>
      </c>
      <c r="AI70">
        <f>(Australia!AI10/Australia!AI$46)*1000000</f>
        <v>1556.3044088739118</v>
      </c>
      <c r="AJ70">
        <f>(Australia!AJ10/Australia!AJ$46)*1000000</f>
        <v>1635.6567620105527</v>
      </c>
      <c r="AK70">
        <f>(Australia!AK10/Australia!AK$46)*1000000</f>
        <v>1817.8326474622772</v>
      </c>
      <c r="AL70">
        <f>(Australia!AL10/Australia!AL$46)*1000000</f>
        <v>1768.9844216468548</v>
      </c>
      <c r="AM70">
        <f>(Australia!AM10/Australia!AM$46)*1000000</f>
        <v>1881.4488392089422</v>
      </c>
      <c r="AN70">
        <f>(Australia!AN10/Australia!AN$46)*1000000</f>
        <v>1952.4771422496276</v>
      </c>
      <c r="AO70">
        <f>(Australia!AO10/Australia!AO$46)*1000000</f>
        <v>2076.830101424142</v>
      </c>
      <c r="AP70">
        <f>(Australia!AP10/Australia!AP$46)*1000000</f>
        <v>2394.8119325551233</v>
      </c>
      <c r="AQ70">
        <f>(Australia!AQ10/Australia!AQ$46)*1000000</f>
        <v>2360.0923313670169</v>
      </c>
      <c r="AR70">
        <f>(Australia!AR10/Australia!AR$46)*1000000</f>
        <v>2638.8114192992243</v>
      </c>
      <c r="AS70">
        <f>(Australia!AS10/Australia!AS$46)*1000000</f>
        <v>2624.7930567400795</v>
      </c>
      <c r="AT70">
        <f>(Australia!AT10/Australia!AT$46)*1000000</f>
        <v>3043.5644545769937</v>
      </c>
      <c r="AU70">
        <f>(Australia!AU10/Australia!AU$46)*1000000</f>
        <v>3138.7218228937459</v>
      </c>
      <c r="AV70">
        <f>(Australia!AV10/Australia!AV$46)*1000000</f>
        <v>3359.9001344344151</v>
      </c>
      <c r="AW70">
        <f>(Australia!AW10/Australia!AW$46)*1000000</f>
        <v>4074.5446844557387</v>
      </c>
      <c r="AX70">
        <f>(Australia!AX10/Australia!AX$46)*1000000</f>
        <v>3510.5107873870552</v>
      </c>
      <c r="AY70">
        <f>(Australia!AY10/Australia!AY$46)*1000000</f>
        <v>4154.411764705882</v>
      </c>
      <c r="AZ70">
        <f>(Australia!AZ10/Australia!AZ$46)*1000000</f>
        <v>4576.5443151298123</v>
      </c>
      <c r="BA70">
        <f>(Australia!BA10/Australia!BA$46)*1000000</f>
        <v>4396.6200158436759</v>
      </c>
      <c r="BB70">
        <f>(Australia!BB10/Australia!BB$46)*1000000</f>
        <v>4546.987118526843</v>
      </c>
    </row>
    <row r="72" spans="1:54" ht="15.75" customHeight="1" x14ac:dyDescent="0.15">
      <c r="B72" s="1" t="s">
        <v>51</v>
      </c>
      <c r="C72">
        <f>(Australia!C31/Australia!C46)*1000000</f>
        <v>10672.944225097746</v>
      </c>
      <c r="D72">
        <f>(Australia!D31/Australia!D46)*1000000</f>
        <v>11104.840129223745</v>
      </c>
      <c r="E72">
        <f>(Australia!E31/Australia!E46)*1000000</f>
        <v>11652.028782305008</v>
      </c>
      <c r="F72">
        <f>(Australia!F31/Australia!F46)*1000000</f>
        <v>12235.649630663856</v>
      </c>
      <c r="G72">
        <f>(Australia!G31/Australia!G46)*1000000</f>
        <v>12786.516388567983</v>
      </c>
      <c r="H72">
        <f>(Australia!H31/Australia!H46)*1000000</f>
        <v>13372.743388677005</v>
      </c>
      <c r="I72">
        <f>(Australia!I31/Australia!I46)*1000000</f>
        <v>13994.126628944958</v>
      </c>
      <c r="J72">
        <f>(Australia!J31/Australia!J46)*1000000</f>
        <v>14815.523074043875</v>
      </c>
      <c r="K72">
        <f>(Australia!K31/Australia!K46)*1000000</f>
        <v>15837.424984728548</v>
      </c>
      <c r="L72">
        <f>(Australia!L31/Australia!L46)*1000000</f>
        <v>15774.89593188949</v>
      </c>
      <c r="M72">
        <f>(Australia!M31/Australia!M46)*1000000</f>
        <v>16091.71838800361</v>
      </c>
      <c r="N72">
        <f>(Australia!N31/Australia!N46)*1000000</f>
        <v>17292.547783413553</v>
      </c>
      <c r="O72">
        <f>(Australia!O31/Australia!O46)*1000000</f>
        <v>18773.562638198644</v>
      </c>
      <c r="P72">
        <f>(Australia!P31/Australia!P46)*1000000</f>
        <v>19900.703177643416</v>
      </c>
      <c r="Q72">
        <f>(Australia!Q31/Australia!Q46)*1000000</f>
        <v>20919.036445877577</v>
      </c>
      <c r="R72">
        <f>(Australia!R31/Australia!R46)*1000000</f>
        <v>21388.737340050731</v>
      </c>
      <c r="S72">
        <f>(Australia!S31/Australia!S46)*1000000</f>
        <v>21892.124841702069</v>
      </c>
      <c r="T72">
        <f>(Australia!T31/Australia!T46)*1000000</f>
        <v>22309.481566616148</v>
      </c>
      <c r="U72">
        <f>(Australia!U31/Australia!U46)*1000000</f>
        <v>22580.319401088804</v>
      </c>
      <c r="V72">
        <f>(Australia!V31/Australia!V46)*1000000</f>
        <v>23346.145249614689</v>
      </c>
      <c r="W72">
        <f>(Australia!W31/Australia!W46)*1000000</f>
        <v>23840.245855176498</v>
      </c>
      <c r="X72">
        <f>(Australia!X31/Australia!X46)*1000000</f>
        <v>23348.412602936398</v>
      </c>
      <c r="Y72">
        <f>(Australia!Y31/Australia!Y46)*1000000</f>
        <v>23244.095710186786</v>
      </c>
      <c r="Z72">
        <f>(Australia!Z31/Australia!Z46)*1000000</f>
        <v>23426.6247078794</v>
      </c>
      <c r="AA72">
        <f>(Australia!AA31/Australia!AA46)*1000000</f>
        <v>23446.860683980522</v>
      </c>
      <c r="AB72">
        <f>(Australia!AB31/Australia!AB46)*1000000</f>
        <v>23952.449727557796</v>
      </c>
      <c r="AC72">
        <f>(Australia!AC31/Australia!AC46)*1000000</f>
        <v>25113.588245705298</v>
      </c>
      <c r="AD72">
        <f>(Australia!AD31/Australia!AD46)*1000000</f>
        <v>26071.776769953609</v>
      </c>
      <c r="AE72">
        <f>(Australia!AE31/Australia!AE46)*1000000</f>
        <v>26378.369050571338</v>
      </c>
      <c r="AF72">
        <f>(Australia!AF31/Australia!AF46)*1000000</f>
        <v>25858.99235298542</v>
      </c>
      <c r="AG72">
        <f>(Australia!AG31/Australia!AG46)*1000000</f>
        <v>25999.100387894043</v>
      </c>
      <c r="AH72">
        <f>(Australia!AH31/Australia!AH46)*1000000</f>
        <v>26056.262771193647</v>
      </c>
      <c r="AI72">
        <f>(Australia!AI31/Australia!AI46)*1000000</f>
        <v>26348.80852007863</v>
      </c>
      <c r="AJ72">
        <f>(Australia!AJ31/Australia!AJ46)*1000000</f>
        <v>26805.339284087753</v>
      </c>
      <c r="AK72">
        <f>(Australia!AK31/Australia!AK46)*1000000</f>
        <v>27852.789231824416</v>
      </c>
      <c r="AL72">
        <f>(Australia!AL31/Australia!AL46)*1000000</f>
        <v>29300.379095695596</v>
      </c>
      <c r="AM72">
        <f>(Australia!AM31/Australia!AM46)*1000000</f>
        <v>29593.039699054163</v>
      </c>
      <c r="AN72">
        <f>(Australia!AN31/Australia!AN46)*1000000</f>
        <v>30548.618825217945</v>
      </c>
      <c r="AO72">
        <f>(Australia!AO31/Australia!AO46)*1000000</f>
        <v>30940.751831415211</v>
      </c>
      <c r="AP72">
        <f>(Australia!AP31/Australia!AP46)*1000000</f>
        <v>31540.857052140076</v>
      </c>
      <c r="AQ72">
        <f>(Australia!AQ31/Australia!AQ46)*1000000</f>
        <v>32348.823774814053</v>
      </c>
      <c r="AR72">
        <f>(Australia!AR31/Australia!AR46)*1000000</f>
        <v>33327.58361949191</v>
      </c>
      <c r="AS72">
        <f>(Australia!AS31/Australia!AS46)*1000000</f>
        <v>34800.651236642756</v>
      </c>
      <c r="AT72">
        <f>(Australia!AT31/Australia!AT46)*1000000</f>
        <v>35391.690338999848</v>
      </c>
      <c r="AU72">
        <f>(Australia!AU31/Australia!AU46)*1000000</f>
        <v>35963.990169184879</v>
      </c>
      <c r="AV72">
        <f>(Australia!AV31/Australia!AV46)*1000000</f>
        <v>36219.386067793363</v>
      </c>
      <c r="AW72">
        <f>(Australia!AW31/Australia!AW46)*1000000</f>
        <v>35754.030123299934</v>
      </c>
      <c r="AX72">
        <f>(Australia!AX31/Australia!AX46)*1000000</f>
        <v>35178.341944034662</v>
      </c>
      <c r="AY72">
        <f>(Australia!AY31/Australia!AY46)*1000000</f>
        <v>36474.306771968048</v>
      </c>
      <c r="AZ72">
        <f>(Australia!AZ31/Australia!AZ46)*1000000</f>
        <v>37660.325377797679</v>
      </c>
      <c r="BA72">
        <f>(Australia!BA31/Australia!BA46)*1000000</f>
        <v>38234.778679693693</v>
      </c>
      <c r="BB72">
        <f>(Australia!BB31/Australia!BB46)*1000000</f>
        <v>38254.681293766749</v>
      </c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6</vt:i4>
      </vt:variant>
    </vt:vector>
  </HeadingPairs>
  <TitlesOfParts>
    <vt:vector size="10" baseType="lpstr">
      <vt:lpstr>Australia</vt:lpstr>
      <vt:lpstr>Sensitivity</vt:lpstr>
      <vt:lpstr>Lawn comparison</vt:lpstr>
      <vt:lpstr>Economic Indicators per capita</vt:lpstr>
      <vt:lpstr>GPIcapita</vt:lpstr>
      <vt:lpstr>GPI Chart</vt:lpstr>
      <vt:lpstr>Elements</vt:lpstr>
      <vt:lpstr>% Change</vt:lpstr>
      <vt:lpstr>GPIGDPPCAPC</vt:lpstr>
      <vt:lpstr>Lawn comp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Fang</cp:lastModifiedBy>
  <dcterms:modified xsi:type="dcterms:W3CDTF">2025-09-27T04:11:53Z</dcterms:modified>
</cp:coreProperties>
</file>