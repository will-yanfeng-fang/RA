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angxiaoling/Documents/Nathan Nunn RA/beyond GDP/GPI/"/>
    </mc:Choice>
  </mc:AlternateContent>
  <xr:revisionPtr revIDLastSave="0" documentId="13_ncr:1_{359B1B4D-2A37-3A4B-8FCF-60DA44595F19}" xr6:coauthVersionLast="47" xr6:coauthVersionMax="47" xr10:uidLastSave="{00000000-0000-0000-0000-000000000000}"/>
  <bookViews>
    <workbookView xWindow="0" yWindow="500" windowWidth="27320" windowHeight="14820" xr2:uid="{38023415-8F98-484F-BE0E-ACA8847AE206}"/>
  </bookViews>
  <sheets>
    <sheet name="Atkinson" sheetId="1" r:id="rId1"/>
    <sheet name="Private consumption expenditure" sheetId="2" r:id="rId2"/>
    <sheet name="Durables-urban" sheetId="3" r:id="rId3"/>
    <sheet name="Durables-rural" sheetId="4" r:id="rId4"/>
    <sheet name="Population" sheetId="5" r:id="rId5"/>
    <sheet name="Urban population" sheetId="6" r:id="rId6"/>
    <sheet name="Rural population" sheetId="7" r:id="rId7"/>
    <sheet name="Employed population" sheetId="8" r:id="rId8"/>
    <sheet name="Unemployment" sheetId="9" r:id="rId9"/>
    <sheet name="Wage" sheetId="10" r:id="rId10"/>
    <sheet name="Wage-domestic labor industry" sheetId="11" r:id="rId11"/>
    <sheet name="Wage-social welfare industry" sheetId="12" r:id="rId12"/>
    <sheet name="Capital formation" sheetId="13" r:id="rId13"/>
    <sheet name="Public exp on edu-local" sheetId="14" r:id="rId14"/>
    <sheet name="Public exp on health-local" sheetId="15" r:id="rId15"/>
    <sheet name="Public exp on transport-local" sheetId="16" r:id="rId16"/>
    <sheet name="Public exp on edu-central" sheetId="17" r:id="rId17"/>
    <sheet name="Public exp on health-central" sheetId="18" r:id="rId18"/>
    <sheet name="Public exp on transport-central" sheetId="19" r:id="rId19"/>
    <sheet name="Public exp on edu-local&amp;central" sheetId="20" r:id="rId20"/>
    <sheet name="Pub exp on health-local&amp;central" sheetId="21" r:id="rId21"/>
    <sheet name="Pub exp on trans-local&amp;central" sheetId="22" r:id="rId22"/>
    <sheet name="Private exp on edu-urban" sheetId="23" r:id="rId23"/>
    <sheet name="Private exp on health-urban" sheetId="24" r:id="rId24"/>
    <sheet name="Private exp on transport-urban" sheetId="25" r:id="rId25"/>
    <sheet name="Private exp on edu-rural" sheetId="26" r:id="rId26"/>
    <sheet name="Private exp on health-rural" sheetId="27" r:id="rId27"/>
    <sheet name="Private exp on transport-rural" sheetId="28" r:id="rId28"/>
    <sheet name="GDP" sheetId="30" r:id="rId29"/>
    <sheet name="Cost of transport accidents" sheetId="31" r:id="rId30"/>
    <sheet name="Divorce" sheetId="32" r:id="rId31"/>
    <sheet name="Cost of crime" sheetId="33" r:id="rId32"/>
    <sheet name="Change of forests" sheetId="34" r:id="rId33"/>
    <sheet name="Change of wetlands" sheetId="35" r:id="rId34"/>
    <sheet name="Working hours" sheetId="36" r:id="rId35"/>
    <sheet name="Domestic labor time-man" sheetId="37" r:id="rId36"/>
    <sheet name="Domestic labor time-woman" sheetId="38" r:id="rId37"/>
    <sheet name="Family care time-man" sheetId="39" r:id="rId38"/>
    <sheet name="Family care time-woman" sheetId="40" r:id="rId39"/>
    <sheet name="Volunteer time-man1" sheetId="42" r:id="rId40"/>
    <sheet name="Volunteer time-woman1" sheetId="43" r:id="rId41"/>
    <sheet name="Volunteer time-man2" sheetId="44" r:id="rId42"/>
    <sheet name="Volunteer time-woman2" sheetId="45" r:id="rId43"/>
    <sheet name="Population-man" sheetId="46" r:id="rId44"/>
    <sheet name="Population-15-64-man" sheetId="47" r:id="rId45"/>
    <sheet name="Population-woman" sheetId="48" r:id="rId46"/>
    <sheet name="Population-15-64-woman" sheetId="49" r:id="rId47"/>
    <sheet name="Cost of natural disaster" sheetId="50" r:id="rId48"/>
    <sheet name="Waste water" sheetId="51" r:id="rId49"/>
    <sheet name="SO2" sheetId="52" r:id="rId50"/>
    <sheet name="Smoke and dust" sheetId="53" r:id="rId51"/>
    <sheet name="Gen. ind. solid waste disposal" sheetId="54" r:id="rId52"/>
    <sheet name="Gen. ind. solid waste storage" sheetId="55" r:id="rId53"/>
    <sheet name="Hazardous solid waste disposal" sheetId="56" r:id="rId54"/>
    <sheet name="Hazardous solid waste storage" sheetId="57" r:id="rId55"/>
    <sheet name="Household undisposal solidwaste" sheetId="58" r:id="rId56"/>
    <sheet name="Coal consumption" sheetId="59" r:id="rId57"/>
    <sheet name="Oil consumption" sheetId="60" r:id="rId58"/>
    <sheet name="Natural gas consumption" sheetId="61" r:id="rId59"/>
  </sheets>
  <definedNames>
    <definedName name="_xlnm._FilterDatabase" localSheetId="33" hidden="1">'Change of wetlands'!$A$1:$U$37</definedName>
    <definedName name="_xlnm._FilterDatabase" localSheetId="31" hidden="1">'Cost of crime'!$A$1:$U$37</definedName>
    <definedName name="_xlnm._FilterDatabase" localSheetId="28" hidden="1">GDP!$A$1:$U$37</definedName>
    <definedName name="_xlnm._FilterDatabase" localSheetId="44" hidden="1">'Population-15-64-man'!$A$1:$U$37</definedName>
    <definedName name="_xlnm._FilterDatabase" localSheetId="46" hidden="1">'Population-15-64-woman'!$A$1:$U$37</definedName>
    <definedName name="_xlnm._FilterDatabase" localSheetId="43" hidden="1">'Population-man'!$A$1:$U$37</definedName>
    <definedName name="_xlnm._FilterDatabase" localSheetId="45" hidden="1">'Population-woman'!$A$1:$U$37</definedName>
    <definedName name="_xlnm._FilterDatabase" localSheetId="20" hidden="1">'Pub exp on health-local&amp;central'!$A$1:$U$37</definedName>
    <definedName name="_xlnm._FilterDatabase" localSheetId="21" hidden="1">'Pub exp on trans-local&amp;central'!$A$1:$U$37</definedName>
    <definedName name="_xlnm._FilterDatabase" localSheetId="16" hidden="1">'Public exp on edu-central'!$A$1:$U$37</definedName>
    <definedName name="_xlnm._FilterDatabase" localSheetId="19" hidden="1">'Public exp on edu-local&amp;central'!$A$1:$U$37</definedName>
    <definedName name="_xlnm._FilterDatabase" localSheetId="17" hidden="1">'Public exp on health-central'!$A$1:$U$37</definedName>
    <definedName name="_xlnm._FilterDatabase" localSheetId="14" hidden="1">'Public exp on health-local'!$A$1:$U$37</definedName>
    <definedName name="_xlnm._FilterDatabase" localSheetId="18" hidden="1">'Public exp on transport-central'!$A$1:$U$37</definedName>
    <definedName name="_xlnm._FilterDatabase" localSheetId="15" hidden="1">'Public exp on transport-local'!$A$1:$U$37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9" i="1" l="1"/>
  <c r="D39" i="1"/>
  <c r="E39" i="1"/>
  <c r="F39" i="1"/>
  <c r="G39" i="1"/>
  <c r="H39" i="1"/>
  <c r="I39" i="1"/>
  <c r="J39" i="1"/>
  <c r="K39" i="1"/>
  <c r="L39" i="1"/>
  <c r="M39" i="1"/>
  <c r="N39" i="1"/>
  <c r="O39" i="1"/>
  <c r="P39" i="1"/>
  <c r="Q39" i="1"/>
  <c r="R39" i="1"/>
  <c r="S39" i="1"/>
  <c r="T39" i="1"/>
  <c r="U39" i="1"/>
  <c r="B39" i="1"/>
  <c r="U37" i="8"/>
  <c r="T37" i="8" s="1"/>
  <c r="U36" i="8"/>
  <c r="T36" i="8" s="1"/>
  <c r="U35" i="8"/>
  <c r="T35" i="8" s="1"/>
  <c r="U34" i="8"/>
  <c r="T34" i="8" s="1"/>
  <c r="U33" i="8"/>
  <c r="T33" i="8" s="1"/>
  <c r="U31" i="8"/>
  <c r="T31" i="8" s="1"/>
  <c r="U30" i="8"/>
  <c r="T30" i="8" s="1"/>
  <c r="U29" i="8"/>
  <c r="T29" i="8" s="1"/>
  <c r="U28" i="8"/>
  <c r="T28" i="8"/>
  <c r="U27" i="8"/>
  <c r="T27" i="8"/>
  <c r="U25" i="8"/>
  <c r="T25" i="8" s="1"/>
  <c r="U24" i="8"/>
  <c r="T24" i="8" s="1"/>
  <c r="U23" i="8"/>
  <c r="T23" i="8" s="1"/>
  <c r="U22" i="8"/>
  <c r="T22" i="8" s="1"/>
  <c r="U21" i="8"/>
  <c r="T21" i="8" s="1"/>
  <c r="U20" i="8"/>
  <c r="T20" i="8" s="1"/>
  <c r="U18" i="8"/>
  <c r="T18" i="8" s="1"/>
  <c r="U17" i="8"/>
  <c r="T17" i="8" s="1"/>
  <c r="U16" i="8"/>
  <c r="T16" i="8" s="1"/>
  <c r="U15" i="8"/>
  <c r="T15" i="8" s="1"/>
  <c r="U14" i="8"/>
  <c r="T14" i="8" s="1"/>
  <c r="U13" i="8"/>
  <c r="T13" i="8" s="1"/>
  <c r="U12" i="8"/>
  <c r="S12" i="8"/>
  <c r="U10" i="8"/>
  <c r="S10" i="8"/>
  <c r="R10" i="8"/>
  <c r="U9" i="8"/>
  <c r="T9" i="8" s="1"/>
  <c r="U8" i="8"/>
  <c r="T8" i="8" s="1"/>
  <c r="U6" i="8"/>
  <c r="T6" i="8" s="1"/>
  <c r="U5" i="8"/>
  <c r="T5" i="8" s="1"/>
  <c r="U4" i="8"/>
  <c r="T4" i="8" s="1"/>
  <c r="U3" i="8"/>
  <c r="T3" i="8" s="1"/>
  <c r="U2" i="8"/>
  <c r="W37" i="7"/>
  <c r="V37" i="7"/>
  <c r="G37" i="7"/>
  <c r="F37" i="7"/>
  <c r="E37" i="7"/>
  <c r="D37" i="7"/>
  <c r="C37" i="7"/>
  <c r="B37" i="7"/>
  <c r="W36" i="7"/>
  <c r="V36" i="7"/>
  <c r="G36" i="7"/>
  <c r="F36" i="7"/>
  <c r="E36" i="7"/>
  <c r="D36" i="7"/>
  <c r="C36" i="7"/>
  <c r="B36" i="7"/>
  <c r="W35" i="7"/>
  <c r="V35" i="7"/>
  <c r="G35" i="7"/>
  <c r="F35" i="7"/>
  <c r="E35" i="7"/>
  <c r="D35" i="7"/>
  <c r="C35" i="7"/>
  <c r="B35" i="7"/>
  <c r="W34" i="7"/>
  <c r="V34" i="7"/>
  <c r="G34" i="7"/>
  <c r="F34" i="7"/>
  <c r="E34" i="7"/>
  <c r="D34" i="7"/>
  <c r="C34" i="7"/>
  <c r="B34" i="7"/>
  <c r="W33" i="7"/>
  <c r="V33" i="7"/>
  <c r="G33" i="7"/>
  <c r="F33" i="7"/>
  <c r="E33" i="7"/>
  <c r="D33" i="7"/>
  <c r="C33" i="7"/>
  <c r="B33" i="7"/>
  <c r="W31" i="7"/>
  <c r="V31" i="7"/>
  <c r="G31" i="7"/>
  <c r="F31" i="7"/>
  <c r="E31" i="7"/>
  <c r="D31" i="7"/>
  <c r="C31" i="7"/>
  <c r="B31" i="7"/>
  <c r="W30" i="7"/>
  <c r="V30" i="7"/>
  <c r="G30" i="7"/>
  <c r="F30" i="7"/>
  <c r="E30" i="7"/>
  <c r="D30" i="7"/>
  <c r="C30" i="7"/>
  <c r="B30" i="7"/>
  <c r="W29" i="7"/>
  <c r="V29" i="7"/>
  <c r="G29" i="7"/>
  <c r="F29" i="7"/>
  <c r="E29" i="7"/>
  <c r="D29" i="7"/>
  <c r="C29" i="7"/>
  <c r="B29" i="7"/>
  <c r="W28" i="7"/>
  <c r="V28" i="7"/>
  <c r="G28" i="7"/>
  <c r="F28" i="7"/>
  <c r="E28" i="7"/>
  <c r="D28" i="7"/>
  <c r="C28" i="7"/>
  <c r="B28" i="7"/>
  <c r="W27" i="7"/>
  <c r="V27" i="7"/>
  <c r="G27" i="7"/>
  <c r="F27" i="7"/>
  <c r="E27" i="7"/>
  <c r="D27" i="7"/>
  <c r="W25" i="7"/>
  <c r="V25" i="7"/>
  <c r="G25" i="7"/>
  <c r="F25" i="7"/>
  <c r="E25" i="7"/>
  <c r="D25" i="7"/>
  <c r="C25" i="7"/>
  <c r="B25" i="7"/>
  <c r="W24" i="7"/>
  <c r="V24" i="7"/>
  <c r="G24" i="7"/>
  <c r="F24" i="7"/>
  <c r="E24" i="7"/>
  <c r="D24" i="7"/>
  <c r="C24" i="7"/>
  <c r="B24" i="7"/>
  <c r="W23" i="7"/>
  <c r="V23" i="7"/>
  <c r="G23" i="7"/>
  <c r="F23" i="7"/>
  <c r="E23" i="7"/>
  <c r="D23" i="7"/>
  <c r="C23" i="7"/>
  <c r="B23" i="7"/>
  <c r="W22" i="7"/>
  <c r="V22" i="7"/>
  <c r="G22" i="7"/>
  <c r="F22" i="7"/>
  <c r="E22" i="7"/>
  <c r="D22" i="7"/>
  <c r="C22" i="7"/>
  <c r="B22" i="7"/>
  <c r="W21" i="7"/>
  <c r="V21" i="7"/>
  <c r="G21" i="7"/>
  <c r="F21" i="7"/>
  <c r="E21" i="7"/>
  <c r="D21" i="7"/>
  <c r="C21" i="7"/>
  <c r="B21" i="7"/>
  <c r="W20" i="7"/>
  <c r="V20" i="7"/>
  <c r="G20" i="7"/>
  <c r="F20" i="7"/>
  <c r="E20" i="7"/>
  <c r="D20" i="7"/>
  <c r="C20" i="7"/>
  <c r="B20" i="7"/>
  <c r="W18" i="7"/>
  <c r="V18" i="7"/>
  <c r="G18" i="7"/>
  <c r="F18" i="7"/>
  <c r="E18" i="7"/>
  <c r="D18" i="7"/>
  <c r="C18" i="7"/>
  <c r="B18" i="7"/>
  <c r="W17" i="7"/>
  <c r="V17" i="7"/>
  <c r="G17" i="7"/>
  <c r="F17" i="7"/>
  <c r="E17" i="7"/>
  <c r="D17" i="7"/>
  <c r="C17" i="7"/>
  <c r="B17" i="7"/>
  <c r="W16" i="7"/>
  <c r="V16" i="7"/>
  <c r="G16" i="7"/>
  <c r="F16" i="7"/>
  <c r="E16" i="7"/>
  <c r="D16" i="7"/>
  <c r="C16" i="7"/>
  <c r="B16" i="7"/>
  <c r="W15" i="7"/>
  <c r="V15" i="7"/>
  <c r="G15" i="7"/>
  <c r="F15" i="7"/>
  <c r="E15" i="7"/>
  <c r="D15" i="7"/>
  <c r="C15" i="7"/>
  <c r="B15" i="7"/>
  <c r="W14" i="7"/>
  <c r="V14" i="7"/>
  <c r="G14" i="7"/>
  <c r="F14" i="7"/>
  <c r="E14" i="7"/>
  <c r="D14" i="7"/>
  <c r="C14" i="7"/>
  <c r="B14" i="7"/>
  <c r="W13" i="7"/>
  <c r="V13" i="7"/>
  <c r="G13" i="7"/>
  <c r="F13" i="7"/>
  <c r="E13" i="7"/>
  <c r="D13" i="7"/>
  <c r="C13" i="7"/>
  <c r="B13" i="7"/>
  <c r="W12" i="7"/>
  <c r="V12" i="7"/>
  <c r="G12" i="7"/>
  <c r="F12" i="7"/>
  <c r="E12" i="7"/>
  <c r="D12" i="7"/>
  <c r="C12" i="7"/>
  <c r="B12" i="7"/>
  <c r="W10" i="7"/>
  <c r="V10" i="7"/>
  <c r="G10" i="7"/>
  <c r="F10" i="7"/>
  <c r="E10" i="7"/>
  <c r="D10" i="7"/>
  <c r="C10" i="7"/>
  <c r="B10" i="7"/>
  <c r="W9" i="7"/>
  <c r="V9" i="7"/>
  <c r="G9" i="7"/>
  <c r="F9" i="7"/>
  <c r="E9" i="7"/>
  <c r="D9" i="7"/>
  <c r="C9" i="7"/>
  <c r="B9" i="7"/>
  <c r="W8" i="7"/>
  <c r="V8" i="7"/>
  <c r="G8" i="7"/>
  <c r="F8" i="7"/>
  <c r="E8" i="7"/>
  <c r="D8" i="7"/>
  <c r="C8" i="7"/>
  <c r="B8" i="7"/>
  <c r="W6" i="7"/>
  <c r="V6" i="7"/>
  <c r="G6" i="7"/>
  <c r="F6" i="7"/>
  <c r="E6" i="7"/>
  <c r="D6" i="7"/>
  <c r="C6" i="7"/>
  <c r="B6" i="7"/>
  <c r="W5" i="7"/>
  <c r="V5" i="7"/>
  <c r="G5" i="7"/>
  <c r="F5" i="7"/>
  <c r="E5" i="7"/>
  <c r="D5" i="7"/>
  <c r="C5" i="7"/>
  <c r="B5" i="7"/>
  <c r="W4" i="7"/>
  <c r="V4" i="7"/>
  <c r="G4" i="7"/>
  <c r="F4" i="7"/>
  <c r="E4" i="7"/>
  <c r="D4" i="7"/>
  <c r="C4" i="7"/>
  <c r="B4" i="7"/>
  <c r="W3" i="7"/>
  <c r="V3" i="7"/>
  <c r="G3" i="7"/>
  <c r="F3" i="7"/>
  <c r="E3" i="7"/>
  <c r="D3" i="7"/>
  <c r="C3" i="7"/>
  <c r="B3" i="7"/>
  <c r="W2" i="7"/>
  <c r="V2" i="7"/>
  <c r="G2" i="7"/>
  <c r="F2" i="7"/>
  <c r="E2" i="7"/>
  <c r="D2" i="7"/>
  <c r="C2" i="7"/>
  <c r="B2" i="7"/>
  <c r="G37" i="6"/>
  <c r="F37" i="6"/>
  <c r="E37" i="6"/>
  <c r="D37" i="6"/>
  <c r="C37" i="6"/>
  <c r="B37" i="6"/>
  <c r="G36" i="6"/>
  <c r="F36" i="6"/>
  <c r="E36" i="6"/>
  <c r="D36" i="6"/>
  <c r="C36" i="6"/>
  <c r="B36" i="6"/>
  <c r="G35" i="6"/>
  <c r="F35" i="6"/>
  <c r="E35" i="6"/>
  <c r="D35" i="6"/>
  <c r="C35" i="6"/>
  <c r="B35" i="6"/>
  <c r="G34" i="6"/>
  <c r="F34" i="6"/>
  <c r="E34" i="6"/>
  <c r="D34" i="6"/>
  <c r="C34" i="6"/>
  <c r="B34" i="6"/>
  <c r="G33" i="6"/>
  <c r="F33" i="6"/>
  <c r="E33" i="6"/>
  <c r="D33" i="6"/>
  <c r="C33" i="6"/>
  <c r="B33" i="6"/>
  <c r="G31" i="6"/>
  <c r="F31" i="6"/>
  <c r="E31" i="6"/>
  <c r="D31" i="6"/>
  <c r="C31" i="6"/>
  <c r="B31" i="6"/>
  <c r="G30" i="6"/>
  <c r="F30" i="6"/>
  <c r="E30" i="6"/>
  <c r="D30" i="6"/>
  <c r="C30" i="6"/>
  <c r="B30" i="6"/>
  <c r="G29" i="6"/>
  <c r="F29" i="6"/>
  <c r="E29" i="6"/>
  <c r="D29" i="6"/>
  <c r="C29" i="6"/>
  <c r="B29" i="6"/>
  <c r="G28" i="6"/>
  <c r="F28" i="6"/>
  <c r="E28" i="6"/>
  <c r="D28" i="6"/>
  <c r="C28" i="6"/>
  <c r="B28" i="6"/>
  <c r="G27" i="6"/>
  <c r="F27" i="6"/>
  <c r="E27" i="6"/>
  <c r="D27" i="6"/>
  <c r="G25" i="6"/>
  <c r="F25" i="6"/>
  <c r="E25" i="6"/>
  <c r="D25" i="6"/>
  <c r="C25" i="6"/>
  <c r="B25" i="6"/>
  <c r="G24" i="6"/>
  <c r="F24" i="6"/>
  <c r="E24" i="6"/>
  <c r="D24" i="6"/>
  <c r="C24" i="6"/>
  <c r="B24" i="6"/>
  <c r="G23" i="6"/>
  <c r="F23" i="6"/>
  <c r="E23" i="6"/>
  <c r="D23" i="6"/>
  <c r="C23" i="6"/>
  <c r="B23" i="6"/>
  <c r="G22" i="6"/>
  <c r="F22" i="6"/>
  <c r="E22" i="6"/>
  <c r="D22" i="6"/>
  <c r="C22" i="6"/>
  <c r="B22" i="6"/>
  <c r="G21" i="6"/>
  <c r="F21" i="6"/>
  <c r="E21" i="6"/>
  <c r="D21" i="6"/>
  <c r="C21" i="6"/>
  <c r="B21" i="6"/>
  <c r="G20" i="6"/>
  <c r="F20" i="6"/>
  <c r="E20" i="6"/>
  <c r="D20" i="6"/>
  <c r="C20" i="6"/>
  <c r="B20" i="6"/>
  <c r="G18" i="6"/>
  <c r="F18" i="6"/>
  <c r="E18" i="6"/>
  <c r="D18" i="6"/>
  <c r="C18" i="6"/>
  <c r="B18" i="6"/>
  <c r="G17" i="6"/>
  <c r="F17" i="6"/>
  <c r="E17" i="6"/>
  <c r="D17" i="6"/>
  <c r="C17" i="6"/>
  <c r="B17" i="6"/>
  <c r="G16" i="6"/>
  <c r="F16" i="6"/>
  <c r="E16" i="6"/>
  <c r="D16" i="6"/>
  <c r="C16" i="6"/>
  <c r="B16" i="6"/>
  <c r="G15" i="6"/>
  <c r="F15" i="6"/>
  <c r="E15" i="6"/>
  <c r="D15" i="6"/>
  <c r="C15" i="6"/>
  <c r="B15" i="6"/>
  <c r="G14" i="6"/>
  <c r="F14" i="6"/>
  <c r="E14" i="6"/>
  <c r="D14" i="6"/>
  <c r="C14" i="6"/>
  <c r="B14" i="6"/>
  <c r="G13" i="6"/>
  <c r="F13" i="6"/>
  <c r="E13" i="6"/>
  <c r="D13" i="6"/>
  <c r="C13" i="6"/>
  <c r="B13" i="6"/>
  <c r="G12" i="6"/>
  <c r="F12" i="6"/>
  <c r="E12" i="6"/>
  <c r="D12" i="6"/>
  <c r="C12" i="6"/>
  <c r="B12" i="6"/>
  <c r="G10" i="6"/>
  <c r="F10" i="6"/>
  <c r="E10" i="6"/>
  <c r="D10" i="6"/>
  <c r="C10" i="6"/>
  <c r="B10" i="6"/>
  <c r="G9" i="6"/>
  <c r="F9" i="6"/>
  <c r="E9" i="6"/>
  <c r="D9" i="6"/>
  <c r="C9" i="6"/>
  <c r="B9" i="6"/>
  <c r="G8" i="6"/>
  <c r="F8" i="6"/>
  <c r="E8" i="6"/>
  <c r="D8" i="6"/>
  <c r="C8" i="6"/>
  <c r="B8" i="6"/>
  <c r="G6" i="6"/>
  <c r="F6" i="6"/>
  <c r="E6" i="6"/>
  <c r="D6" i="6"/>
  <c r="C6" i="6"/>
  <c r="B6" i="6"/>
  <c r="G5" i="6"/>
  <c r="F5" i="6"/>
  <c r="E5" i="6"/>
  <c r="D5" i="6"/>
  <c r="C5" i="6"/>
  <c r="B5" i="6"/>
  <c r="G4" i="6"/>
  <c r="F4" i="6"/>
  <c r="E4" i="6"/>
  <c r="D4" i="6"/>
  <c r="C4" i="6"/>
  <c r="B4" i="6"/>
  <c r="G3" i="6"/>
  <c r="F3" i="6"/>
  <c r="E3" i="6"/>
  <c r="D3" i="6"/>
  <c r="C3" i="6"/>
  <c r="B3" i="6"/>
  <c r="G2" i="6"/>
  <c r="F2" i="6"/>
  <c r="E2" i="6"/>
  <c r="D2" i="6"/>
  <c r="C2" i="6"/>
  <c r="B2" i="6"/>
  <c r="T10" i="8" l="1"/>
  <c r="T12" i="8"/>
</calcChain>
</file>

<file path=xl/sharedStrings.xml><?xml version="1.0" encoding="utf-8"?>
<sst xmlns="http://schemas.openxmlformats.org/spreadsheetml/2006/main" count="1902" uniqueCount="53">
  <si>
    <t xml:space="preserve"> </t>
  </si>
  <si>
    <t>100 million CNY</t>
  </si>
  <si>
    <t>Est. 2013</t>
  </si>
  <si>
    <t>Est. 2014</t>
  </si>
  <si>
    <t>Est. 2015</t>
  </si>
  <si>
    <t>Est. 2016</t>
  </si>
  <si>
    <t>CNY/person</t>
  </si>
  <si>
    <t/>
  </si>
  <si>
    <t>100 million m3</t>
  </si>
  <si>
    <t>Beijing</t>
  </si>
  <si>
    <t>Tianjin</t>
  </si>
  <si>
    <t>Hebei</t>
  </si>
  <si>
    <t>Shanxi</t>
  </si>
  <si>
    <t>Inner Mongolia</t>
  </si>
  <si>
    <t>Liaoning</t>
  </si>
  <si>
    <t>Jilin</t>
  </si>
  <si>
    <t>Heilongjiang</t>
  </si>
  <si>
    <t>Shanghai</t>
  </si>
  <si>
    <t>Jiangsu</t>
  </si>
  <si>
    <t>Zhejiang</t>
  </si>
  <si>
    <t>Anhui</t>
  </si>
  <si>
    <t>Fujian</t>
  </si>
  <si>
    <t>Jiangxi</t>
  </si>
  <si>
    <t>Shandong</t>
  </si>
  <si>
    <t>Henan</t>
  </si>
  <si>
    <t>Hubei</t>
  </si>
  <si>
    <t>Hunan</t>
  </si>
  <si>
    <t>Guangdong</t>
  </si>
  <si>
    <t>Guangxi</t>
  </si>
  <si>
    <t>Hainan</t>
  </si>
  <si>
    <t>Chongqing</t>
  </si>
  <si>
    <t>Sichuan</t>
  </si>
  <si>
    <t>Guizhou</t>
  </si>
  <si>
    <t>Yunnan</t>
  </si>
  <si>
    <t>Tibet</t>
  </si>
  <si>
    <t>Shaanxi</t>
  </si>
  <si>
    <t>Gansu</t>
  </si>
  <si>
    <t>Qinghai</t>
  </si>
  <si>
    <t>Ningxia</t>
  </si>
  <si>
    <t>Xinjiang</t>
  </si>
  <si>
    <t>10 thousand tons</t>
  </si>
  <si>
    <t>tons</t>
  </si>
  <si>
    <t>Person</t>
  </si>
  <si>
    <t>Minute/day</t>
  </si>
  <si>
    <t>10 thousand</t>
  </si>
  <si>
    <t>10 thousand hectare</t>
  </si>
  <si>
    <t>10 thousand CNY</t>
  </si>
  <si>
    <t>2015 (urban &amp; rural)</t>
  </si>
  <si>
    <t>2016 (urban &amp; rural)</t>
  </si>
  <si>
    <t>CNY</t>
  </si>
  <si>
    <t>10 thousand persons</t>
  </si>
  <si>
    <t>China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</si>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</sst>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.00_ "/>
    <numFmt numFmtId="166" formatCode="0.0"/>
    <numFmt numFmtId="167" formatCode="0_ "/>
    <numFmt numFmtId="168" formatCode="0.0_);[Red]\(0.0\)"/>
  </numFmts>
  <fonts count="8">
    <font>
      <sz val="12"/>
      <color theme="1"/>
      <name val="Calibri"/>
      <family val="2"/>
      <scheme val="minor"/>
    </font>
    <font>
      <sz val="10"/>
      <name val="宋体"/>
      <family val="3"/>
      <charset val="134"/>
    </font>
    <font>
      <sz val="10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name val="Times New Roman"/>
      <family val="1"/>
    </font>
    <font>
      <sz val="9"/>
      <name val="Calibri"/>
      <family val="3"/>
      <charset val="134"/>
      <scheme val="minor"/>
    </font>
    <font>
      <sz val="12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4"/>
        <bgColor indexed="8"/>
      </patternFill>
    </fill>
    <fill>
      <patternFill patternType="solid">
        <fgColor theme="2"/>
        <bgColor indexed="64"/>
      </patternFill>
    </fill>
    <fill>
      <patternFill patternType="solid">
        <fgColor rgb="FF99CCFF"/>
        <bgColor rgb="FF000000"/>
      </patternFill>
    </fill>
  </fills>
  <borders count="4">
    <border>
      <left/>
      <right/>
      <top/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indexed="8"/>
      </left>
      <right/>
      <top style="medium">
        <color auto="1"/>
      </top>
      <bottom style="thin">
        <color auto="1"/>
      </bottom>
      <diagonal/>
    </border>
    <border>
      <left style="thin">
        <color rgb="FF000000"/>
      </left>
      <right/>
      <top style="medium">
        <color auto="1"/>
      </top>
      <bottom style="thin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2" fontId="0" fillId="0" borderId="0" xfId="0" applyNumberFormat="1"/>
    <xf numFmtId="165" fontId="0" fillId="0" borderId="0" xfId="0" applyNumberFormat="1"/>
    <xf numFmtId="0" fontId="0" fillId="3" borderId="0" xfId="0" applyFill="1"/>
    <xf numFmtId="0" fontId="1" fillId="0" borderId="0" xfId="0" applyFont="1" applyAlignment="1">
      <alignment horizontal="right" vertical="center"/>
    </xf>
    <xf numFmtId="167" fontId="0" fillId="0" borderId="0" xfId="0" applyNumberFormat="1"/>
    <xf numFmtId="167" fontId="0" fillId="3" borderId="0" xfId="0" applyNumberFormat="1" applyFill="1"/>
    <xf numFmtId="0" fontId="0" fillId="0" borderId="0" xfId="0" applyAlignment="1">
      <alignment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0" borderId="0" xfId="0" applyFont="1"/>
    <xf numFmtId="2" fontId="4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65" fontId="3" fillId="0" borderId="0" xfId="0" applyNumberFormat="1" applyFont="1"/>
    <xf numFmtId="0" fontId="3" fillId="0" borderId="0" xfId="0" applyFont="1" applyAlignment="1">
      <alignment vertical="center"/>
    </xf>
    <xf numFmtId="2" fontId="3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vertical="center"/>
    </xf>
    <xf numFmtId="0" fontId="3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2" fontId="5" fillId="0" borderId="0" xfId="0" applyNumberFormat="1" applyFont="1" applyAlignment="1">
      <alignment horizontal="right" vertical="center"/>
    </xf>
    <xf numFmtId="0" fontId="5" fillId="4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right" vertical="center"/>
    </xf>
    <xf numFmtId="1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" fontId="5" fillId="0" borderId="0" xfId="0" applyNumberFormat="1" applyFont="1" applyAlignment="1">
      <alignment horizontal="right" vertical="center"/>
    </xf>
    <xf numFmtId="166" fontId="3" fillId="0" borderId="0" xfId="0" applyNumberFormat="1" applyFont="1"/>
    <xf numFmtId="2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styles" Target="style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D22CE-D737-3C44-A103-CB4F22A021B9}">
  <dimension ref="A1:V40"/>
  <sheetViews>
    <sheetView tabSelected="1" topLeftCell="A18" workbookViewId="0">
      <selection activeCell="O43" sqref="O43"/>
    </sheetView>
  </sheetViews>
  <sheetFormatPr baseColWidth="10" defaultRowHeight="16"/>
  <cols>
    <col min="1" max="1" width="19" style="33" customWidth="1"/>
    <col min="2" max="16384" width="10.83203125" style="33"/>
  </cols>
  <sheetData>
    <row r="1" spans="1:22">
      <c r="A1" s="23"/>
      <c r="B1" s="23">
        <v>1997</v>
      </c>
      <c r="C1" s="23">
        <v>1998</v>
      </c>
      <c r="D1" s="23">
        <v>1999</v>
      </c>
      <c r="E1" s="23">
        <v>2000</v>
      </c>
      <c r="F1" s="23">
        <v>2001</v>
      </c>
      <c r="G1" s="23">
        <v>2002</v>
      </c>
      <c r="H1" s="23">
        <v>2003</v>
      </c>
      <c r="I1" s="23">
        <v>2004</v>
      </c>
      <c r="J1" s="23">
        <v>2005</v>
      </c>
      <c r="K1" s="23">
        <v>2006</v>
      </c>
      <c r="L1" s="23">
        <v>2007</v>
      </c>
      <c r="M1" s="23">
        <v>2008</v>
      </c>
      <c r="N1" s="23">
        <v>2009</v>
      </c>
      <c r="O1" s="23">
        <v>2010</v>
      </c>
      <c r="P1" s="23">
        <v>2011</v>
      </c>
      <c r="Q1" s="23">
        <v>2012</v>
      </c>
      <c r="R1" s="23">
        <v>2013</v>
      </c>
      <c r="S1" s="23">
        <v>2014</v>
      </c>
      <c r="T1" s="23">
        <v>2015</v>
      </c>
      <c r="U1" s="23">
        <v>2016</v>
      </c>
    </row>
    <row r="2" spans="1:22">
      <c r="A2" s="16" t="s">
        <v>9</v>
      </c>
      <c r="B2" s="32">
        <v>0.27267178825213123</v>
      </c>
      <c r="C2" s="32">
        <v>0.25793731410374543</v>
      </c>
      <c r="D2" s="32">
        <v>0.25643630752768637</v>
      </c>
      <c r="E2" s="32">
        <v>0.25680626402330287</v>
      </c>
      <c r="F2" s="32">
        <v>0.25038167392576999</v>
      </c>
      <c r="G2" s="32">
        <v>0.25469244798972213</v>
      </c>
      <c r="H2" s="32">
        <v>0.2630741044146489</v>
      </c>
      <c r="I2" s="32">
        <v>0.25851454811402863</v>
      </c>
      <c r="J2" s="32">
        <v>0.25150179641347203</v>
      </c>
      <c r="K2" s="32">
        <v>0.24833694629604272</v>
      </c>
      <c r="L2" s="32">
        <v>0.24381584942191642</v>
      </c>
      <c r="M2" s="32">
        <v>0.23741508064388975</v>
      </c>
      <c r="N2" s="32">
        <v>0.22889634173528478</v>
      </c>
      <c r="O2" s="32">
        <v>0.22066352373903791</v>
      </c>
      <c r="P2" s="32">
        <v>0.2161380077262558</v>
      </c>
      <c r="Q2" s="32">
        <v>0.20219049884332513</v>
      </c>
      <c r="R2" s="32">
        <v>0.1961427905525604</v>
      </c>
      <c r="S2" s="32">
        <v>0.20671568578901867</v>
      </c>
      <c r="T2" s="32">
        <v>0.24758286835898208</v>
      </c>
      <c r="U2" s="32">
        <v>0.25049641205681444</v>
      </c>
      <c r="V2" s="32"/>
    </row>
    <row r="3" spans="1:22">
      <c r="A3" s="11" t="s">
        <v>10</v>
      </c>
      <c r="B3" s="32">
        <v>0.29472032839114082</v>
      </c>
      <c r="C3" s="32">
        <v>0.25796729067647239</v>
      </c>
      <c r="D3" s="32">
        <v>0.26709641032767306</v>
      </c>
      <c r="E3" s="32">
        <v>0.26705640813455223</v>
      </c>
      <c r="F3" s="32">
        <v>0.26848462639240722</v>
      </c>
      <c r="G3" s="32">
        <v>0.26879319627867204</v>
      </c>
      <c r="H3" s="32">
        <v>0.27549657214458012</v>
      </c>
      <c r="I3" s="32">
        <v>0.27046581466204661</v>
      </c>
      <c r="J3" s="32">
        <v>0.26584362523155974</v>
      </c>
      <c r="K3" s="32">
        <v>0.2649606261456201</v>
      </c>
      <c r="L3" s="32">
        <v>0.26493516065709788</v>
      </c>
      <c r="M3" s="32">
        <v>0.26339574168243385</v>
      </c>
      <c r="N3" s="32">
        <v>0.25447944403367084</v>
      </c>
      <c r="O3" s="32">
        <v>0.24701359713847942</v>
      </c>
      <c r="P3" s="32">
        <v>0.23127810107075433</v>
      </c>
      <c r="Q3" s="32">
        <v>0.21298955870146788</v>
      </c>
      <c r="R3" s="32">
        <v>0.18379639810089704</v>
      </c>
      <c r="S3" s="32">
        <v>0.19201943357878801</v>
      </c>
      <c r="T3" s="32">
        <v>0.22914343287517699</v>
      </c>
      <c r="U3" s="32">
        <v>0.2318975850669856</v>
      </c>
      <c r="V3" s="32"/>
    </row>
    <row r="4" spans="1:22">
      <c r="A4" s="11" t="s">
        <v>11</v>
      </c>
      <c r="B4" s="32">
        <v>0.34759229022318755</v>
      </c>
      <c r="C4" s="32">
        <v>0.27223866469541275</v>
      </c>
      <c r="D4" s="32">
        <v>0.28125350635832375</v>
      </c>
      <c r="E4" s="32">
        <v>0.29086219957975862</v>
      </c>
      <c r="F4" s="32">
        <v>0.29924450521756096</v>
      </c>
      <c r="G4" s="32">
        <v>0.32969675862548831</v>
      </c>
      <c r="H4" s="32">
        <v>0.33970479962034034</v>
      </c>
      <c r="I4" s="32">
        <v>0.33278551142606322</v>
      </c>
      <c r="J4" s="32">
        <v>0.34484803154506866</v>
      </c>
      <c r="K4" s="32">
        <v>0.3515046473259642</v>
      </c>
      <c r="L4" s="32">
        <v>0.35122778050215459</v>
      </c>
      <c r="M4" s="32">
        <v>0.35545752927932672</v>
      </c>
      <c r="N4" s="32">
        <v>0.35992611117346401</v>
      </c>
      <c r="O4" s="32">
        <v>0.34485895028319846</v>
      </c>
      <c r="P4" s="32">
        <v>0.33454343824433119</v>
      </c>
      <c r="Q4" s="32">
        <v>0.3234893496138333</v>
      </c>
      <c r="R4" s="32">
        <v>0.29498417828993506</v>
      </c>
      <c r="S4" s="32">
        <v>0.2971172681189187</v>
      </c>
      <c r="T4" s="32">
        <v>0.31798873677343953</v>
      </c>
      <c r="U4" s="32">
        <v>0.31931105272788296</v>
      </c>
      <c r="V4" s="32"/>
    </row>
    <row r="5" spans="1:22">
      <c r="A5" s="11" t="s">
        <v>12</v>
      </c>
      <c r="B5" s="32">
        <v>0.38230525151494765</v>
      </c>
      <c r="C5" s="32">
        <v>0.29049696019851906</v>
      </c>
      <c r="D5" s="32">
        <v>0.31520811144368066</v>
      </c>
      <c r="E5" s="32">
        <v>0.31822660281662052</v>
      </c>
      <c r="F5" s="32">
        <v>0.34308341834072326</v>
      </c>
      <c r="G5" s="32">
        <v>0.36415818141541062</v>
      </c>
      <c r="H5" s="32">
        <v>0.3811406985535748</v>
      </c>
      <c r="I5" s="32">
        <v>0.37674349127308282</v>
      </c>
      <c r="J5" s="32">
        <v>0.37972297740362537</v>
      </c>
      <c r="K5" s="32">
        <v>0.38305918759236901</v>
      </c>
      <c r="L5" s="32">
        <v>0.38182147376063691</v>
      </c>
      <c r="M5" s="32">
        <v>0.37838689055237468</v>
      </c>
      <c r="N5" s="32">
        <v>0.38276823580506181</v>
      </c>
      <c r="O5" s="32">
        <v>0.37868465407947349</v>
      </c>
      <c r="P5" s="32">
        <v>0.3710877977182131</v>
      </c>
      <c r="Q5" s="32">
        <v>0.35825827441580016</v>
      </c>
      <c r="R5" s="32">
        <v>0.31380795369061937</v>
      </c>
      <c r="S5" s="32">
        <v>0.31476740118203456</v>
      </c>
      <c r="T5" s="32">
        <v>0.33773932000790335</v>
      </c>
      <c r="U5" s="32">
        <v>0.33776423557336821</v>
      </c>
      <c r="V5" s="32"/>
    </row>
    <row r="6" spans="1:22">
      <c r="A6" s="11" t="s">
        <v>13</v>
      </c>
      <c r="B6" s="32">
        <v>0.37916290941886166</v>
      </c>
      <c r="C6" s="32">
        <v>0.2915847207915554</v>
      </c>
      <c r="D6" s="32">
        <v>0.31011232003750511</v>
      </c>
      <c r="E6" s="32">
        <v>0.32209229649040072</v>
      </c>
      <c r="F6" s="32">
        <v>0.34647845455284443</v>
      </c>
      <c r="G6" s="32">
        <v>0.36268115753694768</v>
      </c>
      <c r="H6" s="32">
        <v>0.37781338097277894</v>
      </c>
      <c r="I6" s="32">
        <v>0.37220459866241284</v>
      </c>
      <c r="J6" s="32">
        <v>0.36715321848326554</v>
      </c>
      <c r="K6" s="32">
        <v>0.36560096998283609</v>
      </c>
      <c r="L6" s="32">
        <v>0.36498010698448996</v>
      </c>
      <c r="M6" s="32">
        <v>0.35924139778665809</v>
      </c>
      <c r="N6" s="32">
        <v>0.36021738321780894</v>
      </c>
      <c r="O6" s="32">
        <v>0.35262168658930526</v>
      </c>
      <c r="P6" s="32">
        <v>0.34192766980674022</v>
      </c>
      <c r="Q6" s="32">
        <v>0.32875125955041201</v>
      </c>
      <c r="R6" s="32">
        <v>0.30294940680290439</v>
      </c>
      <c r="S6" s="32">
        <v>0.30626924659799371</v>
      </c>
      <c r="T6" s="32">
        <v>0.33187823187722265</v>
      </c>
      <c r="U6" s="32">
        <v>0.33306154988832415</v>
      </c>
      <c r="V6" s="32"/>
    </row>
    <row r="7" spans="1:22">
      <c r="A7" s="11"/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</row>
    <row r="8" spans="1:22">
      <c r="A8" s="11" t="s">
        <v>14</v>
      </c>
      <c r="B8" s="32">
        <v>0.31791423134605662</v>
      </c>
      <c r="C8" s="32">
        <v>0.24233958609651118</v>
      </c>
      <c r="D8" s="32">
        <v>0.26201631461688796</v>
      </c>
      <c r="E8" s="32">
        <v>0.29300412054469782</v>
      </c>
      <c r="F8" s="32">
        <v>0.28963180182106851</v>
      </c>
      <c r="G8" s="32">
        <v>0.30920688258514123</v>
      </c>
      <c r="H8" s="32">
        <v>0.32145182187481491</v>
      </c>
      <c r="I8" s="32">
        <v>0.3135233875160191</v>
      </c>
      <c r="J8" s="32">
        <v>0.31426446073171133</v>
      </c>
      <c r="K8" s="32">
        <v>0.31719508642304756</v>
      </c>
      <c r="L8" s="32">
        <v>0.32019983346035735</v>
      </c>
      <c r="M8" s="32">
        <v>0.31731734141355911</v>
      </c>
      <c r="N8" s="32">
        <v>0.31943134835841863</v>
      </c>
      <c r="O8" s="32">
        <v>0.31043197144252122</v>
      </c>
      <c r="P8" s="32">
        <v>0.29426836838353304</v>
      </c>
      <c r="Q8" s="32">
        <v>0.28063382220977406</v>
      </c>
      <c r="R8" s="32">
        <v>0.26560166355614512</v>
      </c>
      <c r="S8" s="32">
        <v>0.27133972356451885</v>
      </c>
      <c r="T8" s="32">
        <v>0.30046512221376698</v>
      </c>
      <c r="U8" s="32">
        <v>0.30197841761844813</v>
      </c>
      <c r="V8" s="32"/>
    </row>
    <row r="9" spans="1:22">
      <c r="A9" s="11" t="s">
        <v>15</v>
      </c>
      <c r="B9" s="32">
        <v>0.32443110495450939</v>
      </c>
      <c r="C9" s="32">
        <v>0.23995763494895131</v>
      </c>
      <c r="D9" s="32">
        <v>0.266442197805831</v>
      </c>
      <c r="E9" s="32">
        <v>0.30604536854783615</v>
      </c>
      <c r="F9" s="32">
        <v>0.3102529026227267</v>
      </c>
      <c r="G9" s="32">
        <v>0.33866181535893053</v>
      </c>
      <c r="H9" s="32">
        <v>0.34498576149075599</v>
      </c>
      <c r="I9" s="32">
        <v>0.3302540070640283</v>
      </c>
      <c r="J9" s="32">
        <v>0.33346115568857049</v>
      </c>
      <c r="K9" s="32">
        <v>0.33264857342482634</v>
      </c>
      <c r="L9" s="32">
        <v>0.33187241705487536</v>
      </c>
      <c r="M9" s="32">
        <v>0.32651305884338261</v>
      </c>
      <c r="N9" s="32">
        <v>0.33088907266701062</v>
      </c>
      <c r="O9" s="32">
        <v>0.31476751407663239</v>
      </c>
      <c r="P9" s="32">
        <v>0.30695622901574859</v>
      </c>
      <c r="Q9" s="32">
        <v>0.29641486463617461</v>
      </c>
      <c r="R9" s="32">
        <v>0.26383789522456502</v>
      </c>
      <c r="S9" s="32">
        <v>0.26869788457799582</v>
      </c>
      <c r="T9" s="32">
        <v>0.2975138124965277</v>
      </c>
      <c r="U9" s="32">
        <v>0.29971951580094913</v>
      </c>
      <c r="V9" s="32"/>
    </row>
    <row r="10" spans="1:22">
      <c r="A10" s="11" t="s">
        <v>16</v>
      </c>
      <c r="B10" s="32">
        <v>0.29980817253758735</v>
      </c>
      <c r="C10" s="32">
        <v>0.25586726220960715</v>
      </c>
      <c r="D10" s="32">
        <v>0.28069742361332284</v>
      </c>
      <c r="E10" s="32">
        <v>0.29642882993476294</v>
      </c>
      <c r="F10" s="32">
        <v>0.3054318559916509</v>
      </c>
      <c r="G10" s="32">
        <v>0.32531284671941674</v>
      </c>
      <c r="H10" s="32">
        <v>0.33794762163309866</v>
      </c>
      <c r="I10" s="32">
        <v>0.31955676549459444</v>
      </c>
      <c r="J10" s="32">
        <v>0.3266589889452135</v>
      </c>
      <c r="K10" s="32">
        <v>0.32667367575068806</v>
      </c>
      <c r="L10" s="32">
        <v>0.31837734988835975</v>
      </c>
      <c r="M10" s="32">
        <v>0.3065801782931164</v>
      </c>
      <c r="N10" s="32">
        <v>0.31037577417289192</v>
      </c>
      <c r="O10" s="32">
        <v>0.29124047093327732</v>
      </c>
      <c r="P10" s="32">
        <v>0.27778555942384198</v>
      </c>
      <c r="Q10" s="32">
        <v>0.26925967875864887</v>
      </c>
      <c r="R10" s="32">
        <v>0.2615940959423485</v>
      </c>
      <c r="S10" s="32">
        <v>0.26361617670883503</v>
      </c>
      <c r="T10" s="32">
        <v>0.29055485321542784</v>
      </c>
      <c r="U10" s="32">
        <v>0.2931964886253382</v>
      </c>
      <c r="V10" s="32"/>
    </row>
    <row r="11" spans="1:22">
      <c r="A11" s="11"/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</row>
    <row r="12" spans="1:22">
      <c r="A12" s="11" t="s">
        <v>17</v>
      </c>
      <c r="B12" s="32">
        <v>0.23165454635107058</v>
      </c>
      <c r="C12" s="32">
        <v>0.2122913894802971</v>
      </c>
      <c r="D12" s="32">
        <v>0.22901301431499743</v>
      </c>
      <c r="E12" s="32">
        <v>0.22957540831992068</v>
      </c>
      <c r="F12" s="32">
        <v>0.23636675643926808</v>
      </c>
      <c r="G12" s="32">
        <v>0.23330376061867492</v>
      </c>
      <c r="H12" s="32">
        <v>0.23974743423751999</v>
      </c>
      <c r="I12" s="32">
        <v>0.236409781958411</v>
      </c>
      <c r="J12" s="32">
        <v>0.23121834868786922</v>
      </c>
      <c r="K12" s="32">
        <v>0.22996678302603296</v>
      </c>
      <c r="L12" s="32">
        <v>0.23019851852451167</v>
      </c>
      <c r="M12" s="32">
        <v>0.22572831642023392</v>
      </c>
      <c r="N12" s="32">
        <v>0.21596713370848891</v>
      </c>
      <c r="O12" s="32">
        <v>0.21123137710615453</v>
      </c>
      <c r="P12" s="32">
        <v>0.20581006896052167</v>
      </c>
      <c r="Q12" s="32">
        <v>0.19158574892404642</v>
      </c>
      <c r="R12" s="32">
        <v>0.17820675776720826</v>
      </c>
      <c r="S12" s="32">
        <v>0.189541233307434</v>
      </c>
      <c r="T12" s="32">
        <v>0.2372133977960118</v>
      </c>
      <c r="U12" s="32">
        <v>0.23888757302191882</v>
      </c>
      <c r="V12" s="32"/>
    </row>
    <row r="13" spans="1:22">
      <c r="A13" s="11" t="s">
        <v>18</v>
      </c>
      <c r="B13" s="32">
        <v>0.30448245818485248</v>
      </c>
      <c r="C13" s="32">
        <v>0.24045679534436482</v>
      </c>
      <c r="D13" s="32">
        <v>0.25270981319215474</v>
      </c>
      <c r="E13" s="32">
        <v>0.25658815324792594</v>
      </c>
      <c r="F13" s="32">
        <v>0.26362874821170235</v>
      </c>
      <c r="G13" s="32">
        <v>0.29071397607154675</v>
      </c>
      <c r="H13" s="32">
        <v>0.30762341476588118</v>
      </c>
      <c r="I13" s="32">
        <v>0.3041779859091539</v>
      </c>
      <c r="J13" s="32">
        <v>0.31720677270497721</v>
      </c>
      <c r="K13" s="32">
        <v>0.32109475384906461</v>
      </c>
      <c r="L13" s="32">
        <v>0.32383076330276006</v>
      </c>
      <c r="M13" s="32">
        <v>0.3234963434203012</v>
      </c>
      <c r="N13" s="32">
        <v>0.32179572373384657</v>
      </c>
      <c r="O13" s="32">
        <v>0.31161173571427636</v>
      </c>
      <c r="P13" s="32">
        <v>0.29585231939098844</v>
      </c>
      <c r="Q13" s="32">
        <v>0.28329472258509525</v>
      </c>
      <c r="R13" s="32">
        <v>0.25478920012720219</v>
      </c>
      <c r="S13" s="32">
        <v>0.25825042740173509</v>
      </c>
      <c r="T13" s="32">
        <v>0.28463280807544539</v>
      </c>
      <c r="U13" s="32">
        <v>0.28504322158714546</v>
      </c>
      <c r="V13" s="32"/>
    </row>
    <row r="14" spans="1:22">
      <c r="A14" s="11" t="s">
        <v>19</v>
      </c>
      <c r="B14" s="32">
        <v>0.31852954768977559</v>
      </c>
      <c r="C14" s="32">
        <v>0.27572875149067821</v>
      </c>
      <c r="D14" s="32">
        <v>0.28400446649159594</v>
      </c>
      <c r="E14" s="32">
        <v>0.28807065355737521</v>
      </c>
      <c r="F14" s="32">
        <v>0.29518518064081484</v>
      </c>
      <c r="G14" s="32">
        <v>0.31631757997299342</v>
      </c>
      <c r="H14" s="32">
        <v>0.32476985639519296</v>
      </c>
      <c r="I14" s="32">
        <v>0.32059597197483813</v>
      </c>
      <c r="J14" s="32">
        <v>0.32027712672004133</v>
      </c>
      <c r="K14" s="32">
        <v>0.32041897842834011</v>
      </c>
      <c r="L14" s="32">
        <v>0.31925498666333929</v>
      </c>
      <c r="M14" s="32">
        <v>0.31426644322527419</v>
      </c>
      <c r="N14" s="32">
        <v>0.31046070702828565</v>
      </c>
      <c r="O14" s="32">
        <v>0.30299007928682481</v>
      </c>
      <c r="P14" s="32">
        <v>0.29135521967973754</v>
      </c>
      <c r="Q14" s="32">
        <v>0.2796722037230096</v>
      </c>
      <c r="R14" s="32">
        <v>0.23931432267371283</v>
      </c>
      <c r="S14" s="32">
        <v>0.24356886121676874</v>
      </c>
      <c r="T14" s="32">
        <v>0.27001501918353821</v>
      </c>
      <c r="U14" s="32">
        <v>0.2711188046008251</v>
      </c>
      <c r="V14" s="32"/>
    </row>
    <row r="15" spans="1:22">
      <c r="A15" s="11" t="s">
        <v>20</v>
      </c>
      <c r="B15" s="32">
        <v>0.38926597807902574</v>
      </c>
      <c r="C15" s="32">
        <v>0.31743134674830509</v>
      </c>
      <c r="D15" s="32">
        <v>0.32804109422574951</v>
      </c>
      <c r="E15" s="32">
        <v>0.33446238145611495</v>
      </c>
      <c r="F15" s="32">
        <v>0.34323126958736333</v>
      </c>
      <c r="G15" s="32">
        <v>0.35830202442129211</v>
      </c>
      <c r="H15" s="32">
        <v>0.39031389544419315</v>
      </c>
      <c r="I15" s="32">
        <v>0.37474347233749006</v>
      </c>
      <c r="J15" s="32">
        <v>0.39495903547774036</v>
      </c>
      <c r="K15" s="32">
        <v>0.39821178297327869</v>
      </c>
      <c r="L15" s="32">
        <v>0.3942157055557175</v>
      </c>
      <c r="M15" s="32">
        <v>0.383955013428391</v>
      </c>
      <c r="N15" s="32">
        <v>0.38752478875334734</v>
      </c>
      <c r="O15" s="32">
        <v>0.37240288577793257</v>
      </c>
      <c r="P15" s="32">
        <v>0.37264159758202375</v>
      </c>
      <c r="Q15" s="32">
        <v>0.36050283101738445</v>
      </c>
      <c r="R15" s="32">
        <v>0.30789910004938309</v>
      </c>
      <c r="S15" s="32">
        <v>0.30836207613122724</v>
      </c>
      <c r="T15" s="32">
        <v>0.32915247869986114</v>
      </c>
      <c r="U15" s="32">
        <v>0.33082206385823437</v>
      </c>
      <c r="V15" s="32"/>
    </row>
    <row r="16" spans="1:22">
      <c r="A16" s="11" t="s">
        <v>21</v>
      </c>
      <c r="B16" s="32">
        <v>0.36160476001091479</v>
      </c>
      <c r="C16" s="32">
        <v>0.2919802189620837</v>
      </c>
      <c r="D16" s="32">
        <v>0.29391916506419546</v>
      </c>
      <c r="E16" s="32">
        <v>0.30217845135090005</v>
      </c>
      <c r="F16" s="32">
        <v>0.31686085089231553</v>
      </c>
      <c r="G16" s="32">
        <v>0.34336561454056924</v>
      </c>
      <c r="H16" s="32">
        <v>0.35411541470103519</v>
      </c>
      <c r="I16" s="32">
        <v>0.35293289450044396</v>
      </c>
      <c r="J16" s="32">
        <v>0.35546483777760085</v>
      </c>
      <c r="K16" s="32">
        <v>0.36014072737617686</v>
      </c>
      <c r="L16" s="32">
        <v>0.35754334542428867</v>
      </c>
      <c r="M16" s="32">
        <v>0.3582756532681588</v>
      </c>
      <c r="N16" s="32">
        <v>0.35610801457367214</v>
      </c>
      <c r="O16" s="32">
        <v>0.35019123769186289</v>
      </c>
      <c r="P16" s="32">
        <v>0.32926919440770658</v>
      </c>
      <c r="Q16" s="32">
        <v>0.3155766425473554</v>
      </c>
      <c r="R16" s="32">
        <v>0.27213414176341133</v>
      </c>
      <c r="S16" s="32">
        <v>0.27541630107811921</v>
      </c>
      <c r="T16" s="32">
        <v>0.30099897304587775</v>
      </c>
      <c r="U16" s="32">
        <v>0.30155382798419317</v>
      </c>
      <c r="V16" s="32"/>
    </row>
    <row r="17" spans="1:22">
      <c r="A17" s="11" t="s">
        <v>22</v>
      </c>
      <c r="B17" s="32">
        <v>0.32559067128398489</v>
      </c>
      <c r="C17" s="32">
        <v>0.27054617581135937</v>
      </c>
      <c r="D17" s="32">
        <v>0.28563558728159755</v>
      </c>
      <c r="E17" s="32">
        <v>0.30327230410647782</v>
      </c>
      <c r="F17" s="32">
        <v>0.31447444412025355</v>
      </c>
      <c r="G17" s="32">
        <v>0.34694486103198507</v>
      </c>
      <c r="H17" s="32">
        <v>0.35906741395061931</v>
      </c>
      <c r="I17" s="32">
        <v>0.34771189476164077</v>
      </c>
      <c r="J17" s="32">
        <v>0.35490443419089124</v>
      </c>
      <c r="K17" s="32">
        <v>0.35376534095040635</v>
      </c>
      <c r="L17" s="32">
        <v>0.35803395485896783</v>
      </c>
      <c r="M17" s="32">
        <v>0.35002031383446108</v>
      </c>
      <c r="N17" s="32">
        <v>0.3544314097773078</v>
      </c>
      <c r="O17" s="32">
        <v>0.34090302275991408</v>
      </c>
      <c r="P17" s="32">
        <v>0.33112051134629639</v>
      </c>
      <c r="Q17" s="32">
        <v>0.32162824438193693</v>
      </c>
      <c r="R17" s="32">
        <v>0.29491272037105565</v>
      </c>
      <c r="S17" s="32">
        <v>0.29828104325439064</v>
      </c>
      <c r="T17" s="32">
        <v>0.31855249196947522</v>
      </c>
      <c r="U17" s="32">
        <v>0.31907952548535901</v>
      </c>
      <c r="V17" s="32"/>
    </row>
    <row r="18" spans="1:22">
      <c r="A18" s="11" t="s">
        <v>23</v>
      </c>
      <c r="B18" s="32">
        <v>0.36351183820910371</v>
      </c>
      <c r="C18" s="32">
        <v>0.29081794441773168</v>
      </c>
      <c r="D18" s="32">
        <v>0.29955457032227095</v>
      </c>
      <c r="E18" s="32">
        <v>0.31559597027338182</v>
      </c>
      <c r="F18" s="32">
        <v>0.32376574530931868</v>
      </c>
      <c r="G18" s="32">
        <v>0.3429181957285945</v>
      </c>
      <c r="H18" s="32">
        <v>0.35419088999100889</v>
      </c>
      <c r="I18" s="32">
        <v>0.35090070267094142</v>
      </c>
      <c r="J18" s="32">
        <v>0.3543767469514455</v>
      </c>
      <c r="K18" s="32">
        <v>0.35679838182067647</v>
      </c>
      <c r="L18" s="32">
        <v>0.35904912877036721</v>
      </c>
      <c r="M18" s="32">
        <v>0.35854281256747877</v>
      </c>
      <c r="N18" s="32">
        <v>0.35804062355750721</v>
      </c>
      <c r="O18" s="32">
        <v>0.34958843886982777</v>
      </c>
      <c r="P18" s="32">
        <v>0.33996188294603424</v>
      </c>
      <c r="Q18" s="32">
        <v>0.32842780765584201</v>
      </c>
      <c r="R18" s="32">
        <v>0.29175186063672248</v>
      </c>
      <c r="S18" s="32">
        <v>0.29321820284989791</v>
      </c>
      <c r="T18" s="32">
        <v>0.31390276207245493</v>
      </c>
      <c r="U18" s="32">
        <v>0.31356230107016297</v>
      </c>
      <c r="V18" s="32"/>
    </row>
    <row r="19" spans="1:22">
      <c r="A19" s="11"/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</row>
    <row r="20" spans="1:22">
      <c r="A20" s="11" t="s">
        <v>24</v>
      </c>
      <c r="B20" s="32">
        <v>0.36780755595880532</v>
      </c>
      <c r="C20" s="32">
        <v>0.28373017885353996</v>
      </c>
      <c r="D20" s="32">
        <v>0.2896438943227298</v>
      </c>
      <c r="E20" s="32">
        <v>0.29698114803257586</v>
      </c>
      <c r="F20" s="32">
        <v>0.30903053317058377</v>
      </c>
      <c r="G20" s="32">
        <v>0.34740108871249115</v>
      </c>
      <c r="H20" s="32">
        <v>0.37753145047900805</v>
      </c>
      <c r="I20" s="32">
        <v>0.36851219914880606</v>
      </c>
      <c r="J20" s="32">
        <v>0.37486534850304898</v>
      </c>
      <c r="K20" s="32">
        <v>0.37375976351174284</v>
      </c>
      <c r="L20" s="32">
        <v>0.3718086352657316</v>
      </c>
      <c r="M20" s="32">
        <v>0.37133880881898929</v>
      </c>
      <c r="N20" s="32">
        <v>0.37642237159267222</v>
      </c>
      <c r="O20" s="32">
        <v>0.36356624271146304</v>
      </c>
      <c r="P20" s="32">
        <v>0.35592116247679395</v>
      </c>
      <c r="Q20" s="32">
        <v>0.34472074614379405</v>
      </c>
      <c r="R20" s="32">
        <v>0.30189689610697701</v>
      </c>
      <c r="S20" s="32">
        <v>0.30411606716806561</v>
      </c>
      <c r="T20" s="32">
        <v>0.32367307791680328</v>
      </c>
      <c r="U20" s="32">
        <v>0.32379235669437945</v>
      </c>
      <c r="V20" s="32"/>
    </row>
    <row r="21" spans="1:22">
      <c r="A21" s="11" t="s">
        <v>25</v>
      </c>
      <c r="B21" s="32">
        <v>0.3681098948867601</v>
      </c>
      <c r="C21" s="32">
        <v>0.29411269861014155</v>
      </c>
      <c r="D21" s="32">
        <v>0.30720423850278045</v>
      </c>
      <c r="E21" s="32">
        <v>0.31520011093695999</v>
      </c>
      <c r="F21" s="32">
        <v>0.31976034192548436</v>
      </c>
      <c r="G21" s="32">
        <v>0.35522727896680578</v>
      </c>
      <c r="H21" s="32">
        <v>0.36540199883521823</v>
      </c>
      <c r="I21" s="32">
        <v>0.35533225301515559</v>
      </c>
      <c r="J21" s="32">
        <v>0.36154227883595613</v>
      </c>
      <c r="K21" s="32">
        <v>0.36301645700775009</v>
      </c>
      <c r="L21" s="32">
        <v>0.36322666437843004</v>
      </c>
      <c r="M21" s="32">
        <v>0.35802676723004101</v>
      </c>
      <c r="N21" s="32">
        <v>0.35987276818846059</v>
      </c>
      <c r="O21" s="32">
        <v>0.34817709390200158</v>
      </c>
      <c r="P21" s="32">
        <v>0.33465243227636504</v>
      </c>
      <c r="Q21" s="32">
        <v>0.32300570044054</v>
      </c>
      <c r="R21" s="32">
        <v>0.27664547326899547</v>
      </c>
      <c r="S21" s="32">
        <v>0.27880791749596645</v>
      </c>
      <c r="T21" s="32">
        <v>0.3022326213004512</v>
      </c>
      <c r="U21" s="32">
        <v>0.30590850081315757</v>
      </c>
      <c r="V21" s="32"/>
    </row>
    <row r="22" spans="1:22">
      <c r="A22" s="11" t="s">
        <v>26</v>
      </c>
      <c r="B22" s="32">
        <v>0.39954103212104952</v>
      </c>
      <c r="C22" s="32">
        <v>0.32622193052055437</v>
      </c>
      <c r="D22" s="32">
        <v>0.33578613292776377</v>
      </c>
      <c r="E22" s="32">
        <v>0.3447198755861125</v>
      </c>
      <c r="F22" s="32">
        <v>0.35534589531297123</v>
      </c>
      <c r="G22" s="32">
        <v>0.36585399610124392</v>
      </c>
      <c r="H22" s="32">
        <v>0.38105228738674912</v>
      </c>
      <c r="I22" s="32">
        <v>0.37776958646065728</v>
      </c>
      <c r="J22" s="32">
        <v>0.37965943114991441</v>
      </c>
      <c r="K22" s="32">
        <v>0.38077706457789667</v>
      </c>
      <c r="L22" s="32">
        <v>0.38174577266558207</v>
      </c>
      <c r="M22" s="32">
        <v>0.37368873166543676</v>
      </c>
      <c r="N22" s="32">
        <v>0.37395867147163153</v>
      </c>
      <c r="O22" s="32">
        <v>0.35928512340852742</v>
      </c>
      <c r="P22" s="32">
        <v>0.35603152546575634</v>
      </c>
      <c r="Q22" s="32">
        <v>0.34740568479203315</v>
      </c>
      <c r="R22" s="32">
        <v>0.31677189714059795</v>
      </c>
      <c r="S22" s="32">
        <v>0.31835468975976366</v>
      </c>
      <c r="T22" s="32">
        <v>0.33849417852379504</v>
      </c>
      <c r="U22" s="32">
        <v>0.33911261541877824</v>
      </c>
      <c r="V22" s="32"/>
    </row>
    <row r="23" spans="1:22">
      <c r="A23" s="11" t="s">
        <v>27</v>
      </c>
      <c r="B23" s="32">
        <v>0.35313127469537198</v>
      </c>
      <c r="C23" s="32">
        <v>0.31057947312948542</v>
      </c>
      <c r="D23" s="32">
        <v>0.3111951556422175</v>
      </c>
      <c r="E23" s="32">
        <v>0.32265012387126135</v>
      </c>
      <c r="F23" s="32">
        <v>0.33425750079755701</v>
      </c>
      <c r="G23" s="32">
        <v>0.33980266516545965</v>
      </c>
      <c r="H23" s="32">
        <v>0.35333444629291844</v>
      </c>
      <c r="I23" s="32">
        <v>0.35128852550694412</v>
      </c>
      <c r="J23" s="32">
        <v>0.3497966464963489</v>
      </c>
      <c r="K23" s="32">
        <v>0.34220520876358212</v>
      </c>
      <c r="L23" s="32">
        <v>0.3409124626420727</v>
      </c>
      <c r="M23" s="32">
        <v>0.33342974900240036</v>
      </c>
      <c r="N23" s="32">
        <v>0.33171136320623507</v>
      </c>
      <c r="O23" s="32">
        <v>0.32283335875947333</v>
      </c>
      <c r="P23" s="32">
        <v>0.30722012737170223</v>
      </c>
      <c r="Q23" s="32">
        <v>0.29442984260975857</v>
      </c>
      <c r="R23" s="32">
        <v>0.26363660332633893</v>
      </c>
      <c r="S23" s="32">
        <v>0.26988361345293604</v>
      </c>
      <c r="T23" s="32">
        <v>0.29811795071216596</v>
      </c>
      <c r="U23" s="32">
        <v>0.29969907697715115</v>
      </c>
      <c r="V23" s="32"/>
    </row>
    <row r="24" spans="1:22">
      <c r="A24" s="11" t="s">
        <v>28</v>
      </c>
      <c r="B24" s="32">
        <v>0.39154230063166684</v>
      </c>
      <c r="C24" s="32">
        <v>0.33516168259714163</v>
      </c>
      <c r="D24" s="32">
        <v>0.33562398065969884</v>
      </c>
      <c r="E24" s="32">
        <v>0.36556526736448308</v>
      </c>
      <c r="F24" s="32">
        <v>0.38627220826485797</v>
      </c>
      <c r="G24" s="32">
        <v>0.41353491276116988</v>
      </c>
      <c r="H24" s="32">
        <v>0.42475268347167022</v>
      </c>
      <c r="I24" s="32">
        <v>0.42473805767078421</v>
      </c>
      <c r="J24" s="32">
        <v>0.42531661320223624</v>
      </c>
      <c r="K24" s="32">
        <v>0.41448698710956017</v>
      </c>
      <c r="L24" s="32">
        <v>0.42634141301005407</v>
      </c>
      <c r="M24" s="32">
        <v>0.4281596886423511</v>
      </c>
      <c r="N24" s="32">
        <v>0.43055129338776743</v>
      </c>
      <c r="O24" s="32">
        <v>0.41739025159338727</v>
      </c>
      <c r="P24" s="32">
        <v>0.41130465975726643</v>
      </c>
      <c r="Q24" s="32">
        <v>0.396149040955807</v>
      </c>
      <c r="R24" s="32">
        <v>0.33752061659345267</v>
      </c>
      <c r="S24" s="32">
        <v>0.3386839078134416</v>
      </c>
      <c r="T24" s="32">
        <v>0.35692737920400242</v>
      </c>
      <c r="U24" s="32">
        <v>0.35584901726322787</v>
      </c>
      <c r="V24" s="32"/>
    </row>
    <row r="25" spans="1:22">
      <c r="A25" s="11" t="s">
        <v>29</v>
      </c>
      <c r="B25" s="32">
        <v>0.37532536463546157</v>
      </c>
      <c r="C25" s="32">
        <v>0.31213753429585717</v>
      </c>
      <c r="D25" s="32">
        <v>0.32629346548931115</v>
      </c>
      <c r="E25" s="32">
        <v>0.31688503898943393</v>
      </c>
      <c r="F25" s="32">
        <v>0.3316323800219198</v>
      </c>
      <c r="G25" s="32">
        <v>0.35735607790690715</v>
      </c>
      <c r="H25" s="32">
        <v>0.35881661078621335</v>
      </c>
      <c r="I25" s="32">
        <v>0.34929348605649269</v>
      </c>
      <c r="J25" s="32">
        <v>0.34952911833451539</v>
      </c>
      <c r="K25" s="32">
        <v>0.36124945789671953</v>
      </c>
      <c r="L25" s="32">
        <v>0.36012098150126659</v>
      </c>
      <c r="M25" s="32">
        <v>0.35708125741192348</v>
      </c>
      <c r="N25" s="32">
        <v>0.35543834774064259</v>
      </c>
      <c r="O25" s="32">
        <v>0.35330904999593349</v>
      </c>
      <c r="P25" s="32">
        <v>0.34872399074798455</v>
      </c>
      <c r="Q25" s="32">
        <v>0.33702411675951272</v>
      </c>
      <c r="R25" s="32">
        <v>0.29616137612053961</v>
      </c>
      <c r="S25" s="32">
        <v>0.2966752988168796</v>
      </c>
      <c r="T25" s="32">
        <v>0.31646356354953664</v>
      </c>
      <c r="U25" s="32">
        <v>0.31546589656228763</v>
      </c>
      <c r="V25" s="32"/>
    </row>
    <row r="26" spans="1:22">
      <c r="A26" s="11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</row>
    <row r="27" spans="1:22">
      <c r="A27" s="11" t="s">
        <v>30</v>
      </c>
      <c r="B27" s="32">
        <v>0.36403780875177916</v>
      </c>
      <c r="C27" s="32">
        <v>0.37086174974722164</v>
      </c>
      <c r="D27" s="32">
        <v>0.38726987652455785</v>
      </c>
      <c r="E27" s="32">
        <v>0.3831184737391331</v>
      </c>
      <c r="F27" s="32">
        <v>0.38588554404741743</v>
      </c>
      <c r="G27" s="32">
        <v>0.40158850215709924</v>
      </c>
      <c r="H27" s="32">
        <v>0.41652464154521712</v>
      </c>
      <c r="I27" s="32">
        <v>0.41114871902089983</v>
      </c>
      <c r="J27" s="32">
        <v>0.40856629788929499</v>
      </c>
      <c r="K27" s="32">
        <v>0.42117946876414469</v>
      </c>
      <c r="L27" s="32">
        <v>0.3953313133233709</v>
      </c>
      <c r="M27" s="32">
        <v>0.38374624458972451</v>
      </c>
      <c r="N27" s="32">
        <v>0.38093687222802419</v>
      </c>
      <c r="O27" s="32">
        <v>0.36461429105398069</v>
      </c>
      <c r="P27" s="32">
        <v>0.34965113568716888</v>
      </c>
      <c r="Q27" s="32">
        <v>0.33576541213883571</v>
      </c>
      <c r="R27" s="32">
        <v>0.29385609160403159</v>
      </c>
      <c r="S27" s="32">
        <v>0.29504191306852073</v>
      </c>
      <c r="T27" s="32">
        <v>0.31615616142275205</v>
      </c>
      <c r="U27" s="32">
        <v>0.31402302592792242</v>
      </c>
      <c r="V27" s="32"/>
    </row>
    <row r="28" spans="1:22">
      <c r="A28" s="11" t="s">
        <v>31</v>
      </c>
      <c r="B28" s="32">
        <v>0.42312921759643052</v>
      </c>
      <c r="C28" s="32">
        <v>0.34044113678458232</v>
      </c>
      <c r="D28" s="32">
        <v>0.35021046238928549</v>
      </c>
      <c r="E28" s="32">
        <v>0.36057546177597527</v>
      </c>
      <c r="F28" s="32">
        <v>0.37212616691959866</v>
      </c>
      <c r="G28" s="32">
        <v>0.37952559661479213</v>
      </c>
      <c r="H28" s="32">
        <v>0.3886916271291484</v>
      </c>
      <c r="I28" s="32">
        <v>0.37918319005258966</v>
      </c>
      <c r="J28" s="32">
        <v>0.3778402779489165</v>
      </c>
      <c r="K28" s="32">
        <v>0.38736728371055257</v>
      </c>
      <c r="L28" s="32">
        <v>0.38812777348922811</v>
      </c>
      <c r="M28" s="32">
        <v>0.38366669606327664</v>
      </c>
      <c r="N28" s="32">
        <v>0.38942202584777397</v>
      </c>
      <c r="O28" s="32">
        <v>0.3794612195335158</v>
      </c>
      <c r="P28" s="32">
        <v>0.37087495172437523</v>
      </c>
      <c r="Q28" s="32">
        <v>0.36092134186296682</v>
      </c>
      <c r="R28" s="32">
        <v>0.31884778191772645</v>
      </c>
      <c r="S28" s="32">
        <v>0.32021322538656216</v>
      </c>
      <c r="T28" s="32">
        <v>0.3389167667327061</v>
      </c>
      <c r="U28" s="32">
        <v>0.3389399149450617</v>
      </c>
      <c r="V28" s="32"/>
    </row>
    <row r="29" spans="1:22">
      <c r="A29" s="11" t="s">
        <v>32</v>
      </c>
      <c r="B29" s="32">
        <v>0.41752281258007351</v>
      </c>
      <c r="C29" s="32">
        <v>0.3778796346708661</v>
      </c>
      <c r="D29" s="32">
        <v>0.39066691538977355</v>
      </c>
      <c r="E29" s="32">
        <v>0.39649388813583419</v>
      </c>
      <c r="F29" s="32">
        <v>0.40473637343636382</v>
      </c>
      <c r="G29" s="32">
        <v>0.41951654818303508</v>
      </c>
      <c r="H29" s="32">
        <v>0.43711307312573994</v>
      </c>
      <c r="I29" s="32">
        <v>0.43579172885637019</v>
      </c>
      <c r="J29" s="32">
        <v>0.4445624115008181</v>
      </c>
      <c r="K29" s="32">
        <v>0.45730914591077076</v>
      </c>
      <c r="L29" s="32">
        <v>0.45374463228657624</v>
      </c>
      <c r="M29" s="32">
        <v>0.44139328900499131</v>
      </c>
      <c r="N29" s="32">
        <v>0.45349611102787823</v>
      </c>
      <c r="O29" s="32">
        <v>0.43844452715555482</v>
      </c>
      <c r="P29" s="32">
        <v>0.43419965162132451</v>
      </c>
      <c r="Q29" s="32">
        <v>0.42596900344493505</v>
      </c>
      <c r="R29" s="32">
        <v>0.38434408822643551</v>
      </c>
      <c r="S29" s="32">
        <v>0.3830150726935565</v>
      </c>
      <c r="T29" s="32">
        <v>0.39904757662323875</v>
      </c>
      <c r="U29" s="32">
        <v>0.39867185057051974</v>
      </c>
      <c r="V29" s="32"/>
    </row>
    <row r="30" spans="1:22">
      <c r="A30" s="11" t="s">
        <v>33</v>
      </c>
      <c r="B30" s="32">
        <v>0.47483133294972646</v>
      </c>
      <c r="C30" s="32">
        <v>0.42541912521443226</v>
      </c>
      <c r="D30" s="32">
        <v>0.42523250207289498</v>
      </c>
      <c r="E30" s="32">
        <v>0.42592028811194732</v>
      </c>
      <c r="F30" s="32">
        <v>0.43787915088999307</v>
      </c>
      <c r="G30" s="32">
        <v>0.45576509412855903</v>
      </c>
      <c r="H30" s="32">
        <v>0.46387280637004524</v>
      </c>
      <c r="I30" s="32">
        <v>0.47168802397191345</v>
      </c>
      <c r="J30" s="32">
        <v>0.46527075881429947</v>
      </c>
      <c r="K30" s="32">
        <v>0.46138235743294259</v>
      </c>
      <c r="L30" s="32">
        <v>0.4548204225366082</v>
      </c>
      <c r="M30" s="32">
        <v>0.44976927765420582</v>
      </c>
      <c r="N30" s="32">
        <v>0.45354212018625756</v>
      </c>
      <c r="O30" s="32">
        <v>0.43841171425643155</v>
      </c>
      <c r="P30" s="32">
        <v>0.4336842300425453</v>
      </c>
      <c r="Q30" s="32">
        <v>0.42209719074365221</v>
      </c>
      <c r="R30" s="32">
        <v>0.37187917062153997</v>
      </c>
      <c r="S30" s="32">
        <v>0.37301708032208369</v>
      </c>
      <c r="T30" s="32">
        <v>0.38940998269076432</v>
      </c>
      <c r="U30" s="32">
        <v>0.38937817415369491</v>
      </c>
      <c r="V30" s="32"/>
    </row>
    <row r="31" spans="1:22">
      <c r="A31" s="11" t="s">
        <v>34</v>
      </c>
      <c r="B31" s="32">
        <v>0.43114480033382668</v>
      </c>
      <c r="C31" s="32">
        <v>0.44640486060155826</v>
      </c>
      <c r="D31" s="32">
        <v>0.45463753064233081</v>
      </c>
      <c r="E31" s="32">
        <v>0.4689156081074794</v>
      </c>
      <c r="F31" s="32">
        <v>0.49053845578969035</v>
      </c>
      <c r="G31" s="32">
        <v>0.50029604435924258</v>
      </c>
      <c r="H31" s="32">
        <v>0.49865544565614089</v>
      </c>
      <c r="I31" s="32">
        <v>0.48852738785192434</v>
      </c>
      <c r="J31" s="32">
        <v>0.47317900904868249</v>
      </c>
      <c r="K31" s="32">
        <v>0.41704768458711122</v>
      </c>
      <c r="L31" s="32">
        <v>0.43630533415109607</v>
      </c>
      <c r="M31" s="32">
        <v>0.42986115632285593</v>
      </c>
      <c r="N31" s="32">
        <v>0.43294931706629702</v>
      </c>
      <c r="O31" s="32">
        <v>0.41302223460137499</v>
      </c>
      <c r="P31" s="32">
        <v>0.40246057993888018</v>
      </c>
      <c r="Q31" s="32">
        <v>0.38958095223548628</v>
      </c>
      <c r="R31" s="32">
        <v>0.36197405100599056</v>
      </c>
      <c r="S31" s="32">
        <v>0.36583088857142526</v>
      </c>
      <c r="T31" s="32">
        <v>0.39582723620908256</v>
      </c>
      <c r="U31" s="32">
        <v>0.40140050890022855</v>
      </c>
      <c r="V31" s="32"/>
    </row>
    <row r="32" spans="1:22">
      <c r="A32" s="11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</row>
    <row r="33" spans="1:22">
      <c r="A33" s="11" t="s">
        <v>35</v>
      </c>
      <c r="B33" s="32">
        <v>0.43019504989826762</v>
      </c>
      <c r="C33" s="32">
        <v>0.35931237884090461</v>
      </c>
      <c r="D33" s="32">
        <v>0.37381666859136126</v>
      </c>
      <c r="E33" s="32">
        <v>0.39748370548127654</v>
      </c>
      <c r="F33" s="32">
        <v>0.40470743368717499</v>
      </c>
      <c r="G33" s="32">
        <v>0.43458819851286612</v>
      </c>
      <c r="H33" s="32">
        <v>0.44476067123320046</v>
      </c>
      <c r="I33" s="32">
        <v>0.43683797882403375</v>
      </c>
      <c r="J33" s="32">
        <v>0.43808982689487191</v>
      </c>
      <c r="K33" s="32">
        <v>0.43721920264645264</v>
      </c>
      <c r="L33" s="32">
        <v>0.43229496821348756</v>
      </c>
      <c r="M33" s="32">
        <v>0.43181831132291193</v>
      </c>
      <c r="N33" s="32">
        <v>0.42834694658848471</v>
      </c>
      <c r="O33" s="32">
        <v>0.40924827634223171</v>
      </c>
      <c r="P33" s="32">
        <v>0.39849191196569067</v>
      </c>
      <c r="Q33" s="32">
        <v>0.38106883743651238</v>
      </c>
      <c r="R33" s="32">
        <v>0.33748510818070487</v>
      </c>
      <c r="S33" s="32">
        <v>0.33796287258023366</v>
      </c>
      <c r="T33" s="32">
        <v>0.35840357067288692</v>
      </c>
      <c r="U33" s="32">
        <v>0.35790701033056177</v>
      </c>
      <c r="V33" s="32"/>
    </row>
    <row r="34" spans="1:22">
      <c r="A34" s="11" t="s">
        <v>36</v>
      </c>
      <c r="B34" s="32">
        <v>0.41474166621101816</v>
      </c>
      <c r="C34" s="32">
        <v>0.33750074508146</v>
      </c>
      <c r="D34" s="32">
        <v>0.36833777645865101</v>
      </c>
      <c r="E34" s="32">
        <v>0.37906575743656884</v>
      </c>
      <c r="F34" s="32">
        <v>0.39467552785570537</v>
      </c>
      <c r="G34" s="32">
        <v>0.4253965808568313</v>
      </c>
      <c r="H34" s="32">
        <v>0.43892378832248968</v>
      </c>
      <c r="I34" s="32">
        <v>0.43693213482763793</v>
      </c>
      <c r="J34" s="32">
        <v>0.44439623916590226</v>
      </c>
      <c r="K34" s="32">
        <v>0.44725253488410366</v>
      </c>
      <c r="L34" s="32">
        <v>0.4546005895533789</v>
      </c>
      <c r="M34" s="32">
        <v>0.43817906325186468</v>
      </c>
      <c r="N34" s="32">
        <v>0.44107530283926899</v>
      </c>
      <c r="O34" s="32">
        <v>0.4288781678093444</v>
      </c>
      <c r="P34" s="32">
        <v>0.42749386249756943</v>
      </c>
      <c r="Q34" s="32">
        <v>0.41702377969169008</v>
      </c>
      <c r="R34" s="32">
        <v>0.38452391027979532</v>
      </c>
      <c r="S34" s="32">
        <v>0.38521987241645195</v>
      </c>
      <c r="T34" s="32">
        <v>0.40242335502068649</v>
      </c>
      <c r="U34" s="32">
        <v>0.40502480891662024</v>
      </c>
      <c r="V34" s="32"/>
    </row>
    <row r="35" spans="1:22">
      <c r="A35" s="11" t="s">
        <v>37</v>
      </c>
      <c r="B35" s="32">
        <v>0.41704736586898683</v>
      </c>
      <c r="C35" s="32">
        <v>0.35980263177000249</v>
      </c>
      <c r="D35" s="32">
        <v>0.37617632841206028</v>
      </c>
      <c r="E35" s="32">
        <v>0.3932373275053328</v>
      </c>
      <c r="F35" s="32">
        <v>0.40980783419040157</v>
      </c>
      <c r="G35" s="32">
        <v>0.41667121294879306</v>
      </c>
      <c r="H35" s="32">
        <v>0.42459821967761546</v>
      </c>
      <c r="I35" s="32">
        <v>0.41889884164287561</v>
      </c>
      <c r="J35" s="32">
        <v>0.42396954518591834</v>
      </c>
      <c r="K35" s="32">
        <v>0.42661715604100175</v>
      </c>
      <c r="L35" s="32">
        <v>0.42965237619533225</v>
      </c>
      <c r="M35" s="32">
        <v>0.42533543960286524</v>
      </c>
      <c r="N35" s="32">
        <v>0.42332597038758385</v>
      </c>
      <c r="O35" s="32">
        <v>0.40867151246893219</v>
      </c>
      <c r="P35" s="32">
        <v>0.39579193778248367</v>
      </c>
      <c r="Q35" s="32">
        <v>0.37813386801747295</v>
      </c>
      <c r="R35" s="32">
        <v>0.34446269029039733</v>
      </c>
      <c r="S35" s="32">
        <v>0.3445021809670894</v>
      </c>
      <c r="T35" s="32">
        <v>0.36957574898033607</v>
      </c>
      <c r="U35" s="32">
        <v>0.37027796033543015</v>
      </c>
      <c r="V35" s="32"/>
    </row>
    <row r="36" spans="1:22">
      <c r="A36" s="11" t="s">
        <v>38</v>
      </c>
      <c r="B36" s="32">
        <v>0.41462001416304656</v>
      </c>
      <c r="C36" s="32">
        <v>0.30858226636694241</v>
      </c>
      <c r="D36" s="32">
        <v>0.32353707196380921</v>
      </c>
      <c r="E36" s="32">
        <v>0.34860670171723518</v>
      </c>
      <c r="F36" s="32">
        <v>0.36461645739848558</v>
      </c>
      <c r="G36" s="32">
        <v>0.38425717947982069</v>
      </c>
      <c r="H36" s="32">
        <v>0.39207978528588922</v>
      </c>
      <c r="I36" s="32">
        <v>0.38175409223510404</v>
      </c>
      <c r="J36" s="32">
        <v>0.3902207377831497</v>
      </c>
      <c r="K36" s="32">
        <v>0.39567331616893553</v>
      </c>
      <c r="L36" s="32">
        <v>0.39800445401799434</v>
      </c>
      <c r="M36" s="32">
        <v>0.40146241724941634</v>
      </c>
      <c r="N36" s="32">
        <v>0.39730718380740326</v>
      </c>
      <c r="O36" s="32">
        <v>0.38732053451285819</v>
      </c>
      <c r="P36" s="32">
        <v>0.37637765854325966</v>
      </c>
      <c r="Q36" s="32">
        <v>0.36302994542521178</v>
      </c>
      <c r="R36" s="32">
        <v>0.31677869844612427</v>
      </c>
      <c r="S36" s="32">
        <v>0.31751820775856887</v>
      </c>
      <c r="T36" s="32">
        <v>0.33919798388690264</v>
      </c>
      <c r="U36" s="32">
        <v>0.34024890739593627</v>
      </c>
      <c r="V36" s="32"/>
    </row>
    <row r="37" spans="1:22">
      <c r="A37" s="11" t="s">
        <v>39</v>
      </c>
      <c r="B37" s="32">
        <v>0.43626364212631563</v>
      </c>
      <c r="C37" s="32">
        <v>0.37022094014740836</v>
      </c>
      <c r="D37" s="32">
        <v>0.40174519637866363</v>
      </c>
      <c r="E37" s="32">
        <v>0.39430462075728567</v>
      </c>
      <c r="F37" s="32">
        <v>0.40914465592096105</v>
      </c>
      <c r="G37" s="32">
        <v>0.42301603794360776</v>
      </c>
      <c r="H37" s="32">
        <v>0.41273285722692277</v>
      </c>
      <c r="I37" s="32">
        <v>0.40319165432107967</v>
      </c>
      <c r="J37" s="32">
        <v>0.39579864505522577</v>
      </c>
      <c r="K37" s="32">
        <v>0.39643099054063669</v>
      </c>
      <c r="L37" s="32">
        <v>0.39590916012215793</v>
      </c>
      <c r="M37" s="32">
        <v>0.39595709231600051</v>
      </c>
      <c r="N37" s="32">
        <v>0.39191902608519569</v>
      </c>
      <c r="O37" s="32">
        <v>0.37633203396864578</v>
      </c>
      <c r="P37" s="32">
        <v>0.36976446174062683</v>
      </c>
      <c r="Q37" s="32">
        <v>0.35825504006675801</v>
      </c>
      <c r="R37" s="32">
        <v>0.32224390324351387</v>
      </c>
      <c r="S37" s="32">
        <v>0.32578574816876577</v>
      </c>
      <c r="T37" s="32">
        <v>0.35645156228612174</v>
      </c>
      <c r="U37" s="32">
        <v>0.35948541915565574</v>
      </c>
      <c r="V37" s="32"/>
    </row>
    <row r="38" spans="1:22">
      <c r="A38" s="18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</row>
    <row r="39" spans="1:22" ht="17" thickBot="1">
      <c r="A39" s="11" t="s">
        <v>51</v>
      </c>
      <c r="B39" s="34">
        <f>AVERAGE(B2:B37)</f>
        <v>0.36749151644695921</v>
      </c>
      <c r="C39" s="34">
        <f t="shared" ref="C39:U39" si="0">AVERAGE(C2:C37)</f>
        <v>0.30858100074863526</v>
      </c>
      <c r="D39" s="34">
        <f t="shared" si="0"/>
        <v>0.32159733867714074</v>
      </c>
      <c r="E39" s="34">
        <f t="shared" si="0"/>
        <v>0.33193512290106197</v>
      </c>
      <c r="F39" s="34">
        <f t="shared" si="0"/>
        <v>0.34248124818370818</v>
      </c>
      <c r="G39" s="34">
        <f t="shared" si="0"/>
        <v>0.3614473004417455</v>
      </c>
      <c r="H39" s="34">
        <f t="shared" si="0"/>
        <v>0.37258985396820099</v>
      </c>
      <c r="I39" s="34">
        <f t="shared" si="0"/>
        <v>0.36620673186414399</v>
      </c>
      <c r="J39" s="34">
        <f t="shared" si="0"/>
        <v>0.3682085400891017</v>
      </c>
      <c r="K39" s="34">
        <f t="shared" si="0"/>
        <v>0.36817259809417008</v>
      </c>
      <c r="L39" s="34">
        <f t="shared" si="0"/>
        <v>0.36781623639297445</v>
      </c>
      <c r="M39" s="34">
        <f t="shared" si="0"/>
        <v>0.36327439047768695</v>
      </c>
      <c r="N39" s="34">
        <f t="shared" si="0"/>
        <v>0.36359960657895635</v>
      </c>
      <c r="O39" s="34">
        <f t="shared" si="0"/>
        <v>0.35187634766330239</v>
      </c>
      <c r="P39" s="34">
        <f t="shared" si="0"/>
        <v>0.34234323372072639</v>
      </c>
      <c r="Q39" s="34">
        <f t="shared" si="0"/>
        <v>0.32991148420416361</v>
      </c>
      <c r="R39" s="34">
        <f t="shared" si="0"/>
        <v>0.29518551102973656</v>
      </c>
      <c r="S39" s="34">
        <f t="shared" si="0"/>
        <v>0.29812288779993501</v>
      </c>
      <c r="T39" s="34">
        <f t="shared" si="0"/>
        <v>0.3228597749804305</v>
      </c>
      <c r="U39" s="34">
        <f t="shared" si="0"/>
        <v>0.32395734255892145</v>
      </c>
    </row>
    <row r="40" spans="1:22">
      <c r="A40" s="33" t="s">
        <v>52</v>
      </c>
      <c r="B40" s="23">
        <v>1997</v>
      </c>
      <c r="C40" s="23">
        <v>1998</v>
      </c>
      <c r="D40" s="23">
        <v>1999</v>
      </c>
      <c r="E40" s="23">
        <v>2000</v>
      </c>
      <c r="F40" s="23">
        <v>2001</v>
      </c>
      <c r="G40" s="23">
        <v>2002</v>
      </c>
      <c r="H40" s="23">
        <v>2003</v>
      </c>
      <c r="I40" s="23">
        <v>2004</v>
      </c>
      <c r="J40" s="23">
        <v>2005</v>
      </c>
      <c r="K40" s="23">
        <v>2006</v>
      </c>
      <c r="L40" s="23">
        <v>2007</v>
      </c>
      <c r="M40" s="23">
        <v>2008</v>
      </c>
      <c r="N40" s="23">
        <v>2009</v>
      </c>
      <c r="O40" s="23">
        <v>2010</v>
      </c>
      <c r="P40" s="23">
        <v>2011</v>
      </c>
      <c r="Q40" s="23">
        <v>2012</v>
      </c>
      <c r="R40" s="23">
        <v>2013</v>
      </c>
      <c r="S40" s="23">
        <v>2014</v>
      </c>
      <c r="T40" s="23">
        <v>2015</v>
      </c>
      <c r="U40" s="23">
        <v>2016</v>
      </c>
      <c r="V40" s="35"/>
    </row>
  </sheetData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6553F-7D9D-5548-82F8-CD7293560DDE}">
  <dimension ref="A1:W39"/>
  <sheetViews>
    <sheetView workbookViewId="0">
      <selection sqref="A1:A1048576"/>
    </sheetView>
  </sheetViews>
  <sheetFormatPr baseColWidth="10" defaultRowHeight="16"/>
  <cols>
    <col min="1" max="1" width="19" customWidth="1"/>
  </cols>
  <sheetData>
    <row r="1" spans="1:23" ht="17">
      <c r="A1" s="23" t="s">
        <v>1</v>
      </c>
      <c r="B1" s="23">
        <v>1995</v>
      </c>
      <c r="C1" s="23">
        <v>1996</v>
      </c>
      <c r="D1" s="23">
        <v>1997</v>
      </c>
      <c r="E1" s="23">
        <v>1998</v>
      </c>
      <c r="F1" s="23">
        <v>1999</v>
      </c>
      <c r="G1" s="23">
        <v>2000</v>
      </c>
      <c r="H1" s="23">
        <v>2001</v>
      </c>
      <c r="I1" s="23">
        <v>2002</v>
      </c>
      <c r="J1" s="23">
        <v>2003</v>
      </c>
      <c r="K1" s="23">
        <v>2004</v>
      </c>
      <c r="L1" s="23">
        <v>2005</v>
      </c>
      <c r="M1" s="23">
        <v>2006</v>
      </c>
      <c r="N1" s="23">
        <v>2007</v>
      </c>
      <c r="O1" s="23">
        <v>2008</v>
      </c>
      <c r="P1" s="23">
        <v>2009</v>
      </c>
      <c r="Q1" s="23">
        <v>2010</v>
      </c>
      <c r="R1" s="23">
        <v>2011</v>
      </c>
      <c r="S1" s="23">
        <v>2012</v>
      </c>
      <c r="T1" s="23">
        <v>2013</v>
      </c>
      <c r="U1" s="23">
        <v>2014</v>
      </c>
      <c r="V1" s="23">
        <v>2015</v>
      </c>
      <c r="W1" s="23">
        <v>2016</v>
      </c>
    </row>
    <row r="2" spans="1:23">
      <c r="A2" s="16" t="s">
        <v>9</v>
      </c>
      <c r="B2" s="11">
        <v>375.46</v>
      </c>
      <c r="C2" s="11">
        <v>451.96</v>
      </c>
      <c r="D2" s="11">
        <v>492.88</v>
      </c>
      <c r="E2" s="11">
        <v>563.62</v>
      </c>
      <c r="F2" s="11">
        <v>633.76</v>
      </c>
      <c r="G2" s="11">
        <v>808.53</v>
      </c>
      <c r="H2" s="11">
        <v>913.95</v>
      </c>
      <c r="I2" s="11">
        <v>1049.21</v>
      </c>
      <c r="J2" s="11">
        <v>1209.27</v>
      </c>
      <c r="K2" s="11">
        <v>1354.23</v>
      </c>
      <c r="L2" s="11">
        <v>2248.02</v>
      </c>
      <c r="M2" s="11">
        <v>2615.2600000000002</v>
      </c>
      <c r="N2" s="11">
        <v>3039.03</v>
      </c>
      <c r="O2" s="11">
        <v>3385.6</v>
      </c>
      <c r="P2" s="11">
        <v>3821.5</v>
      </c>
      <c r="Q2" s="11">
        <v>4648.2</v>
      </c>
      <c r="R2" s="11">
        <v>5525</v>
      </c>
      <c r="S2" s="11">
        <v>6203.29</v>
      </c>
      <c r="T2" s="11">
        <v>6974.32</v>
      </c>
      <c r="U2" s="11">
        <v>7691.63</v>
      </c>
      <c r="V2" s="11">
        <v>8471.4</v>
      </c>
      <c r="W2" s="11">
        <v>10621.7</v>
      </c>
    </row>
    <row r="3" spans="1:23">
      <c r="A3" s="11" t="s">
        <v>10</v>
      </c>
      <c r="B3" s="11">
        <v>301.66000000000003</v>
      </c>
      <c r="C3" s="11">
        <v>389.35</v>
      </c>
      <c r="D3" s="11">
        <v>422.52</v>
      </c>
      <c r="E3" s="11">
        <v>470.08</v>
      </c>
      <c r="F3" s="11">
        <v>503.82</v>
      </c>
      <c r="G3" s="11">
        <v>557.34</v>
      </c>
      <c r="H3" s="11">
        <v>621</v>
      </c>
      <c r="I3" s="11">
        <v>656.38</v>
      </c>
      <c r="J3" s="11">
        <v>722.86</v>
      </c>
      <c r="K3" s="11">
        <v>806.11</v>
      </c>
      <c r="L3" s="11">
        <v>980.05</v>
      </c>
      <c r="M3" s="11">
        <v>1118.76</v>
      </c>
      <c r="N3" s="11">
        <v>1309.24</v>
      </c>
      <c r="O3" s="11">
        <v>1603.68</v>
      </c>
      <c r="P3" s="11">
        <v>1821</v>
      </c>
      <c r="Q3" s="11">
        <v>2247.5</v>
      </c>
      <c r="R3" s="11">
        <v>2736.72</v>
      </c>
      <c r="S3" s="11">
        <v>3180.68</v>
      </c>
      <c r="T3" s="11">
        <v>3788.67</v>
      </c>
      <c r="U3" s="11">
        <v>4258.1099999999997</v>
      </c>
      <c r="V3" s="11">
        <v>4993.1000000000004</v>
      </c>
      <c r="W3" s="11">
        <v>5636.3</v>
      </c>
    </row>
    <row r="4" spans="1:23">
      <c r="A4" s="11" t="s">
        <v>11</v>
      </c>
      <c r="B4" s="11">
        <v>1081.0899999999999</v>
      </c>
      <c r="C4" s="11">
        <v>1243.31</v>
      </c>
      <c r="D4" s="11">
        <v>1399.02</v>
      </c>
      <c r="E4" s="11">
        <v>1415.78</v>
      </c>
      <c r="F4" s="11">
        <v>1523.64</v>
      </c>
      <c r="G4" s="11">
        <v>1682.76</v>
      </c>
      <c r="H4" s="11">
        <v>1857.54</v>
      </c>
      <c r="I4" s="11">
        <v>2051.65</v>
      </c>
      <c r="J4" s="11">
        <v>2331.08</v>
      </c>
      <c r="K4" s="11">
        <v>2619.1799999999998</v>
      </c>
      <c r="L4" s="11">
        <v>2944.38</v>
      </c>
      <c r="M4" s="11">
        <v>3399.15</v>
      </c>
      <c r="N4" s="11">
        <v>3951.08</v>
      </c>
      <c r="O4" s="11">
        <v>4576.7299999999996</v>
      </c>
      <c r="P4" s="11">
        <v>5043.3999999999996</v>
      </c>
      <c r="Q4" s="11">
        <v>5731.4</v>
      </c>
      <c r="R4" s="11">
        <v>6892.66</v>
      </c>
      <c r="S4" s="11">
        <v>7808.39</v>
      </c>
      <c r="T4" s="11">
        <v>8448.06</v>
      </c>
      <c r="U4" s="11">
        <v>8955.86</v>
      </c>
      <c r="V4" s="11">
        <v>9499.1</v>
      </c>
      <c r="W4" s="11">
        <v>10670.8</v>
      </c>
    </row>
    <row r="5" spans="1:23">
      <c r="A5" s="11" t="s">
        <v>12</v>
      </c>
      <c r="B5" s="11">
        <v>486.52</v>
      </c>
      <c r="C5" s="11">
        <v>581.4</v>
      </c>
      <c r="D5" s="11">
        <v>620.47</v>
      </c>
      <c r="E5" s="11">
        <v>579.34</v>
      </c>
      <c r="F5" s="11">
        <v>584.4</v>
      </c>
      <c r="G5" s="11">
        <v>651.84</v>
      </c>
      <c r="H5" s="11">
        <v>727.68</v>
      </c>
      <c r="I5" s="11">
        <v>841.01</v>
      </c>
      <c r="J5" s="11">
        <v>969.27</v>
      </c>
      <c r="K5" s="11">
        <v>1147.27</v>
      </c>
      <c r="L5" s="11">
        <v>1395.73</v>
      </c>
      <c r="M5" s="11">
        <v>1629.58</v>
      </c>
      <c r="N5" s="11">
        <v>1869.59</v>
      </c>
      <c r="O5" s="11">
        <v>2104.67</v>
      </c>
      <c r="P5" s="11">
        <v>2343.3000000000002</v>
      </c>
      <c r="Q5" s="11">
        <v>2855.2</v>
      </c>
      <c r="R5" s="11">
        <v>3492.53</v>
      </c>
      <c r="S5" s="11">
        <v>3900.7</v>
      </c>
      <c r="T5" s="11">
        <v>4372.6899999999996</v>
      </c>
      <c r="U5" s="11">
        <v>4569.66</v>
      </c>
      <c r="V5" s="11">
        <v>5251.4</v>
      </c>
      <c r="W5" s="11">
        <v>5533.3</v>
      </c>
    </row>
    <row r="6" spans="1:23">
      <c r="A6" s="11" t="s">
        <v>13</v>
      </c>
      <c r="B6" s="11">
        <v>395.88</v>
      </c>
      <c r="C6" s="11">
        <v>448.43</v>
      </c>
      <c r="D6" s="11">
        <v>496.29</v>
      </c>
      <c r="E6" s="11">
        <v>503.68</v>
      </c>
      <c r="F6" s="11">
        <v>540.19000000000005</v>
      </c>
      <c r="G6" s="11">
        <v>578.66514199999995</v>
      </c>
      <c r="H6" s="11">
        <v>671.12020704186784</v>
      </c>
      <c r="I6" s="11">
        <v>827.02517583476651</v>
      </c>
      <c r="J6" s="11">
        <v>896.64</v>
      </c>
      <c r="K6" s="11">
        <v>1019.05</v>
      </c>
      <c r="L6" s="11">
        <v>1102.1500000000001</v>
      </c>
      <c r="M6" s="11">
        <v>1385.9</v>
      </c>
      <c r="N6" s="11">
        <v>1693.96</v>
      </c>
      <c r="O6" s="11">
        <v>1953.64</v>
      </c>
      <c r="P6" s="11">
        <v>2337.6</v>
      </c>
      <c r="Q6" s="11">
        <v>2710.6</v>
      </c>
      <c r="R6" s="11">
        <v>3285.5</v>
      </c>
      <c r="S6" s="11">
        <v>3777.27</v>
      </c>
      <c r="T6" s="11">
        <v>4281.2700000000004</v>
      </c>
      <c r="U6" s="11">
        <v>4959.22</v>
      </c>
      <c r="V6" s="11">
        <v>5225.2</v>
      </c>
      <c r="W6" s="11">
        <v>5608</v>
      </c>
    </row>
    <row r="7" spans="1:23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</row>
    <row r="8" spans="1:23">
      <c r="A8" s="11" t="s">
        <v>14</v>
      </c>
      <c r="B8" s="11">
        <v>1177.5899999999999</v>
      </c>
      <c r="C8" s="11">
        <v>1327.68</v>
      </c>
      <c r="D8" s="11">
        <v>1419.79</v>
      </c>
      <c r="E8" s="11">
        <v>1578.49</v>
      </c>
      <c r="F8" s="11">
        <v>1707.3</v>
      </c>
      <c r="G8" s="11">
        <v>1867.36</v>
      </c>
      <c r="H8" s="11">
        <v>2001.97</v>
      </c>
      <c r="I8" s="11">
        <v>2141.4699999999998</v>
      </c>
      <c r="J8" s="11">
        <v>2172.06</v>
      </c>
      <c r="K8" s="11">
        <v>2344.9899999999998</v>
      </c>
      <c r="L8" s="11">
        <v>2720.95</v>
      </c>
      <c r="M8" s="11">
        <v>2942.13</v>
      </c>
      <c r="N8" s="11">
        <v>3423.38</v>
      </c>
      <c r="O8" s="11">
        <v>4144.8900000000003</v>
      </c>
      <c r="P8" s="11">
        <v>4683</v>
      </c>
      <c r="Q8" s="11">
        <v>5622.1</v>
      </c>
      <c r="R8" s="11">
        <v>6846.44</v>
      </c>
      <c r="S8" s="11">
        <v>7894.43</v>
      </c>
      <c r="T8" s="11">
        <v>8847.41</v>
      </c>
      <c r="U8" s="11">
        <v>9773.6299999999992</v>
      </c>
      <c r="V8" s="11">
        <v>10393.9</v>
      </c>
      <c r="W8" s="11">
        <v>10367.6</v>
      </c>
    </row>
    <row r="9" spans="1:23">
      <c r="A9" s="11" t="s">
        <v>15</v>
      </c>
      <c r="B9" s="11">
        <v>586.16999999999996</v>
      </c>
      <c r="C9" s="11">
        <v>684.5</v>
      </c>
      <c r="D9" s="11">
        <v>772.85</v>
      </c>
      <c r="E9" s="11">
        <v>794.43</v>
      </c>
      <c r="F9" s="11">
        <v>824.71</v>
      </c>
      <c r="G9" s="11">
        <v>899.31</v>
      </c>
      <c r="H9" s="11">
        <v>971.22</v>
      </c>
      <c r="I9" s="11">
        <v>1042.78</v>
      </c>
      <c r="J9" s="11">
        <v>1231.2</v>
      </c>
      <c r="K9" s="11">
        <v>1389.86</v>
      </c>
      <c r="L9" s="11">
        <v>1392.42</v>
      </c>
      <c r="M9" s="11">
        <v>1552.9</v>
      </c>
      <c r="N9" s="11">
        <v>1819.8</v>
      </c>
      <c r="O9" s="11">
        <v>2075.65</v>
      </c>
      <c r="P9" s="11">
        <v>2304</v>
      </c>
      <c r="Q9" s="11">
        <v>2510.6</v>
      </c>
      <c r="R9" s="11">
        <v>2970.81</v>
      </c>
      <c r="S9" s="11">
        <v>3375.86</v>
      </c>
      <c r="T9" s="11">
        <v>3761.99</v>
      </c>
      <c r="U9" s="11">
        <v>3759.93</v>
      </c>
      <c r="V9" s="11">
        <v>4027.4</v>
      </c>
      <c r="W9" s="11">
        <v>3802.5</v>
      </c>
    </row>
    <row r="10" spans="1:23">
      <c r="A10" s="11" t="s">
        <v>16</v>
      </c>
      <c r="B10" s="11">
        <v>976.62</v>
      </c>
      <c r="C10" s="11">
        <v>1112.1600000000001</v>
      </c>
      <c r="D10" s="11">
        <v>1200.54</v>
      </c>
      <c r="E10" s="11">
        <v>1232.4100000000001</v>
      </c>
      <c r="F10" s="11">
        <v>1297.67</v>
      </c>
      <c r="G10" s="11">
        <v>1394.21</v>
      </c>
      <c r="H10" s="11">
        <v>1534.64</v>
      </c>
      <c r="I10" s="11">
        <v>1653.11</v>
      </c>
      <c r="J10" s="11">
        <v>1771.63</v>
      </c>
      <c r="K10" s="11">
        <v>1958.36</v>
      </c>
      <c r="L10" s="11">
        <v>1841.27</v>
      </c>
      <c r="M10" s="11">
        <v>1964.76</v>
      </c>
      <c r="N10" s="11">
        <v>2288.69</v>
      </c>
      <c r="O10" s="11">
        <v>2692.15</v>
      </c>
      <c r="P10" s="11">
        <v>2959.7</v>
      </c>
      <c r="Q10" s="11">
        <v>3409.6</v>
      </c>
      <c r="R10" s="11">
        <v>4075.36</v>
      </c>
      <c r="S10" s="11">
        <v>4447.74</v>
      </c>
      <c r="T10" s="11">
        <v>4976.5200000000004</v>
      </c>
      <c r="U10" s="11">
        <v>5833.42</v>
      </c>
      <c r="V10" s="11">
        <v>6304.4</v>
      </c>
      <c r="W10" s="11">
        <v>6619.1</v>
      </c>
    </row>
    <row r="11" spans="1:23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</row>
    <row r="12" spans="1:23">
      <c r="A12" s="11" t="s">
        <v>17</v>
      </c>
      <c r="B12" s="11">
        <v>872.67</v>
      </c>
      <c r="C12" s="11">
        <v>1008.72</v>
      </c>
      <c r="D12" s="11">
        <v>1135.24</v>
      </c>
      <c r="E12" s="11">
        <v>1201.8399999999999</v>
      </c>
      <c r="F12" s="11">
        <v>1352.86</v>
      </c>
      <c r="G12" s="11">
        <v>1521.05</v>
      </c>
      <c r="H12" s="11">
        <v>1663.73</v>
      </c>
      <c r="I12" s="11">
        <v>1902.19</v>
      </c>
      <c r="J12" s="11">
        <v>2122.9</v>
      </c>
      <c r="K12" s="11">
        <v>2476.19</v>
      </c>
      <c r="L12" s="11">
        <v>3271.64</v>
      </c>
      <c r="M12" s="11">
        <v>3763.15</v>
      </c>
      <c r="N12" s="11">
        <v>4455.5200000000004</v>
      </c>
      <c r="O12" s="11">
        <v>5122.05</v>
      </c>
      <c r="P12" s="11">
        <v>5633.1</v>
      </c>
      <c r="Q12" s="11">
        <v>7281.9</v>
      </c>
      <c r="R12" s="11">
        <v>8239.76</v>
      </c>
      <c r="S12" s="11">
        <v>8721.25</v>
      </c>
      <c r="T12" s="11">
        <v>9404.9500000000007</v>
      </c>
      <c r="U12" s="11">
        <v>10409.36</v>
      </c>
      <c r="V12" s="11">
        <v>11089.6</v>
      </c>
      <c r="W12" s="11">
        <v>11994.8</v>
      </c>
    </row>
    <row r="13" spans="1:23">
      <c r="A13" s="11" t="s">
        <v>18</v>
      </c>
      <c r="B13" s="11">
        <v>1806.43</v>
      </c>
      <c r="C13" s="11">
        <v>2218.6799999999998</v>
      </c>
      <c r="D13" s="11">
        <v>2417.77</v>
      </c>
      <c r="E13" s="11">
        <v>2513.52</v>
      </c>
      <c r="F13" s="11">
        <v>2594.1799999999998</v>
      </c>
      <c r="G13" s="11">
        <v>2815.51</v>
      </c>
      <c r="H13" s="11">
        <v>3181.71</v>
      </c>
      <c r="I13" s="11">
        <v>3475.13</v>
      </c>
      <c r="J13" s="11">
        <v>3909.55</v>
      </c>
      <c r="K13" s="11">
        <v>4581.5</v>
      </c>
      <c r="L13" s="11">
        <v>5339.09</v>
      </c>
      <c r="M13" s="11">
        <v>6236.42</v>
      </c>
      <c r="N13" s="11">
        <v>7328.19</v>
      </c>
      <c r="O13" s="11">
        <v>8425.61</v>
      </c>
      <c r="P13" s="11">
        <v>9235.4</v>
      </c>
      <c r="Q13" s="11">
        <v>10942.8</v>
      </c>
      <c r="R13" s="11">
        <v>13534.19</v>
      </c>
      <c r="S13" s="11">
        <v>15385.57</v>
      </c>
      <c r="T13" s="11">
        <v>18702.18</v>
      </c>
      <c r="U13" s="11">
        <v>22510.560000000001</v>
      </c>
      <c r="V13" s="11">
        <v>25245.200000000001</v>
      </c>
      <c r="W13" s="11">
        <v>28654.7</v>
      </c>
    </row>
    <row r="14" spans="1:23">
      <c r="A14" s="11" t="s">
        <v>19</v>
      </c>
      <c r="B14" s="11">
        <v>1235.98</v>
      </c>
      <c r="C14" s="11">
        <v>1496.28</v>
      </c>
      <c r="D14" s="11">
        <v>1619</v>
      </c>
      <c r="E14" s="11">
        <v>1678.15</v>
      </c>
      <c r="F14" s="11">
        <v>1727.94</v>
      </c>
      <c r="G14" s="11">
        <v>1957.85</v>
      </c>
      <c r="H14" s="11">
        <v>2197.33</v>
      </c>
      <c r="I14" s="11">
        <v>2553.86</v>
      </c>
      <c r="J14" s="11">
        <v>3008.27</v>
      </c>
      <c r="K14" s="11">
        <v>3216.42</v>
      </c>
      <c r="L14" s="11">
        <v>4705.79</v>
      </c>
      <c r="M14" s="11">
        <v>5512.66</v>
      </c>
      <c r="N14" s="11">
        <v>6309.51</v>
      </c>
      <c r="O14" s="11">
        <v>7071.58</v>
      </c>
      <c r="P14" s="11">
        <v>8131.8</v>
      </c>
      <c r="Q14" s="11">
        <v>9701.7999999999993</v>
      </c>
      <c r="R14" s="11">
        <v>11643.89</v>
      </c>
      <c r="S14" s="11">
        <v>12496.1</v>
      </c>
      <c r="T14" s="11">
        <v>13593.16</v>
      </c>
      <c r="U14" s="11">
        <v>14794.82</v>
      </c>
      <c r="V14" s="11">
        <v>15858.8</v>
      </c>
      <c r="W14" s="11">
        <v>17106.7</v>
      </c>
    </row>
    <row r="15" spans="1:23">
      <c r="A15" s="11" t="s">
        <v>20</v>
      </c>
      <c r="B15" s="11">
        <v>996.1</v>
      </c>
      <c r="C15" s="11">
        <v>1172.1500000000001</v>
      </c>
      <c r="D15" s="11">
        <v>1383.75</v>
      </c>
      <c r="E15" s="11">
        <v>1453.35</v>
      </c>
      <c r="F15" s="11">
        <v>1559.1</v>
      </c>
      <c r="G15" s="11">
        <v>1615.4342300000001</v>
      </c>
      <c r="H15" s="11">
        <v>1725.80475</v>
      </c>
      <c r="I15" s="11">
        <v>1833.19</v>
      </c>
      <c r="J15" s="11">
        <v>2038.1</v>
      </c>
      <c r="K15" s="11">
        <v>2296.38</v>
      </c>
      <c r="L15" s="11">
        <v>2410.5700000000002</v>
      </c>
      <c r="M15" s="11">
        <v>2715.43</v>
      </c>
      <c r="N15" s="11">
        <v>3226.91</v>
      </c>
      <c r="O15" s="11">
        <v>3906.57</v>
      </c>
      <c r="P15" s="11">
        <v>4188.3</v>
      </c>
      <c r="Q15" s="11">
        <v>4873.3999999999996</v>
      </c>
      <c r="R15" s="11">
        <v>5995.11</v>
      </c>
      <c r="S15" s="11">
        <v>6562.72</v>
      </c>
      <c r="T15" s="11">
        <v>6981.34</v>
      </c>
      <c r="U15" s="11">
        <v>7839.17</v>
      </c>
      <c r="V15" s="11">
        <v>8522.5</v>
      </c>
      <c r="W15" s="11">
        <v>9541.6</v>
      </c>
    </row>
    <row r="16" spans="1:23">
      <c r="A16" s="11" t="s">
        <v>21</v>
      </c>
      <c r="B16" s="11">
        <v>930.89</v>
      </c>
      <c r="C16" s="11">
        <v>1075.3399999999999</v>
      </c>
      <c r="D16" s="11">
        <v>1239.8399999999999</v>
      </c>
      <c r="E16" s="11">
        <v>1284.42</v>
      </c>
      <c r="F16" s="11">
        <v>1337.05</v>
      </c>
      <c r="G16" s="11">
        <v>1496.2</v>
      </c>
      <c r="H16" s="11">
        <v>1586.7</v>
      </c>
      <c r="I16" s="11">
        <v>1699.74</v>
      </c>
      <c r="J16" s="11">
        <v>1859.6</v>
      </c>
      <c r="K16" s="11">
        <v>2078.7199999999998</v>
      </c>
      <c r="L16" s="11">
        <v>2393.17</v>
      </c>
      <c r="M16" s="11">
        <v>2775.43</v>
      </c>
      <c r="N16" s="11">
        <v>3131.13</v>
      </c>
      <c r="O16" s="11">
        <v>3722.1</v>
      </c>
      <c r="P16" s="11">
        <v>3959.2</v>
      </c>
      <c r="Q16" s="11">
        <v>4710.8</v>
      </c>
      <c r="R16" s="11">
        <v>5544.31</v>
      </c>
      <c r="S16" s="11">
        <v>6028.12</v>
      </c>
      <c r="T16" s="11">
        <v>6436.96</v>
      </c>
      <c r="U16" s="11">
        <v>7238.38</v>
      </c>
      <c r="V16" s="11">
        <v>7961.5</v>
      </c>
      <c r="W16" s="11">
        <v>9006.7999999999993</v>
      </c>
    </row>
    <row r="17" spans="1:23">
      <c r="A17" s="11" t="s">
        <v>22</v>
      </c>
      <c r="B17" s="11">
        <v>629.78</v>
      </c>
      <c r="C17" s="11">
        <v>758.36</v>
      </c>
      <c r="D17" s="11">
        <v>796.77</v>
      </c>
      <c r="E17" s="11">
        <v>823.03</v>
      </c>
      <c r="F17" s="11">
        <v>865.87</v>
      </c>
      <c r="G17" s="11">
        <v>989.2</v>
      </c>
      <c r="H17" s="11">
        <v>1041.96</v>
      </c>
      <c r="I17" s="11">
        <v>1114.58</v>
      </c>
      <c r="J17" s="11">
        <v>1161.01</v>
      </c>
      <c r="K17" s="11">
        <v>1431.42</v>
      </c>
      <c r="L17" s="11">
        <v>1642.2</v>
      </c>
      <c r="M17" s="11">
        <v>1804.79</v>
      </c>
      <c r="N17" s="11">
        <v>2047.13</v>
      </c>
      <c r="O17" s="11">
        <v>2522.19</v>
      </c>
      <c r="P17" s="11">
        <v>2750.7</v>
      </c>
      <c r="Q17" s="11">
        <v>3545.5</v>
      </c>
      <c r="R17" s="11">
        <v>4261.66</v>
      </c>
      <c r="S17" s="11">
        <v>4753.79</v>
      </c>
      <c r="T17" s="11">
        <v>5375.15</v>
      </c>
      <c r="U17" s="11">
        <v>5415.58</v>
      </c>
      <c r="V17" s="11">
        <v>6598.1</v>
      </c>
      <c r="W17" s="11">
        <v>7344.9</v>
      </c>
    </row>
    <row r="18" spans="1:23">
      <c r="A18" s="11" t="s">
        <v>23</v>
      </c>
      <c r="B18" s="11">
        <v>1688.25</v>
      </c>
      <c r="C18" s="11">
        <v>1994.23</v>
      </c>
      <c r="D18" s="11">
        <v>2384.46</v>
      </c>
      <c r="E18" s="11">
        <v>2554.64</v>
      </c>
      <c r="F18" s="11">
        <v>2821.87</v>
      </c>
      <c r="G18" s="11">
        <v>3099.76</v>
      </c>
      <c r="H18" s="11">
        <v>3382.64</v>
      </c>
      <c r="I18" s="11">
        <v>3581.27</v>
      </c>
      <c r="J18" s="11">
        <v>3992.22</v>
      </c>
      <c r="K18" s="11">
        <v>4545.3900000000003</v>
      </c>
      <c r="L18" s="11">
        <v>5435.38</v>
      </c>
      <c r="M18" s="11">
        <v>6517.96</v>
      </c>
      <c r="N18" s="11">
        <v>7540.85</v>
      </c>
      <c r="O18" s="11">
        <v>8991.11</v>
      </c>
      <c r="P18" s="11">
        <v>9910.2000000000007</v>
      </c>
      <c r="Q18" s="11">
        <v>11059</v>
      </c>
      <c r="R18" s="11">
        <v>12999.98</v>
      </c>
      <c r="S18" s="11">
        <v>14583.38</v>
      </c>
      <c r="T18" s="11">
        <v>16241.4</v>
      </c>
      <c r="U18" s="11">
        <v>18726.59</v>
      </c>
      <c r="V18" s="11">
        <v>20308.400000000001</v>
      </c>
      <c r="W18" s="11">
        <v>25593.4</v>
      </c>
    </row>
    <row r="19" spans="1:23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</row>
    <row r="20" spans="1:23">
      <c r="A20" s="11" t="s">
        <v>24</v>
      </c>
      <c r="B20" s="11">
        <v>1253.06</v>
      </c>
      <c r="C20" s="11">
        <v>1540.28</v>
      </c>
      <c r="D20" s="11">
        <v>1696.54</v>
      </c>
      <c r="E20" s="11">
        <v>1727.81</v>
      </c>
      <c r="F20" s="11">
        <v>1778.88</v>
      </c>
      <c r="G20" s="11">
        <v>2084.08</v>
      </c>
      <c r="H20" s="11">
        <v>2270.83</v>
      </c>
      <c r="I20" s="11">
        <v>2473.85</v>
      </c>
      <c r="J20" s="11">
        <v>2913.36</v>
      </c>
      <c r="K20" s="11">
        <v>3422.11</v>
      </c>
      <c r="L20" s="11">
        <v>3817.86</v>
      </c>
      <c r="M20" s="11">
        <v>4347.5</v>
      </c>
      <c r="N20" s="11">
        <v>4820</v>
      </c>
      <c r="O20" s="11">
        <v>5521.46</v>
      </c>
      <c r="P20" s="11">
        <v>6248.9</v>
      </c>
      <c r="Q20" s="11">
        <v>7402.6</v>
      </c>
      <c r="R20" s="11">
        <v>8617.9</v>
      </c>
      <c r="S20" s="11">
        <v>9754.41</v>
      </c>
      <c r="T20" s="11">
        <v>11086.71</v>
      </c>
      <c r="U20" s="11">
        <v>12325.62</v>
      </c>
      <c r="V20" s="11">
        <v>13721</v>
      </c>
      <c r="W20" s="11">
        <v>15250.8</v>
      </c>
    </row>
    <row r="21" spans="1:23">
      <c r="A21" s="11" t="s">
        <v>25</v>
      </c>
      <c r="B21" s="11">
        <v>1122.5999999999999</v>
      </c>
      <c r="C21" s="11">
        <v>1390.56</v>
      </c>
      <c r="D21" s="11">
        <v>1496.82</v>
      </c>
      <c r="E21" s="11">
        <v>1593.62</v>
      </c>
      <c r="F21" s="11">
        <v>1593.94</v>
      </c>
      <c r="G21" s="11">
        <v>1699.45</v>
      </c>
      <c r="H21" s="11">
        <v>1899.35</v>
      </c>
      <c r="I21" s="11">
        <v>2114.11</v>
      </c>
      <c r="J21" s="11">
        <v>2388.96</v>
      </c>
      <c r="K21" s="11">
        <v>2814.42</v>
      </c>
      <c r="L21" s="11">
        <v>2785.42</v>
      </c>
      <c r="M21" s="11">
        <v>3154.4</v>
      </c>
      <c r="N21" s="11">
        <v>3709.69</v>
      </c>
      <c r="O21" s="11">
        <v>4225.38</v>
      </c>
      <c r="P21" s="11">
        <v>4456.3</v>
      </c>
      <c r="Q21" s="11">
        <v>5136.8</v>
      </c>
      <c r="R21" s="11">
        <v>6241.95</v>
      </c>
      <c r="S21" s="11">
        <v>7085.46</v>
      </c>
      <c r="T21" s="11">
        <v>8053.82</v>
      </c>
      <c r="U21" s="11">
        <v>9124.48</v>
      </c>
      <c r="V21" s="11">
        <v>10167.9</v>
      </c>
      <c r="W21" s="11">
        <v>11379.2</v>
      </c>
    </row>
    <row r="22" spans="1:23">
      <c r="A22" s="11" t="s">
        <v>26</v>
      </c>
      <c r="B22" s="11">
        <v>1108.78</v>
      </c>
      <c r="C22" s="11">
        <v>1409.44</v>
      </c>
      <c r="D22" s="11">
        <v>1540.67</v>
      </c>
      <c r="E22" s="11">
        <v>1601.83</v>
      </c>
      <c r="F22" s="11">
        <v>1690.66</v>
      </c>
      <c r="G22" s="11">
        <v>1782.77</v>
      </c>
      <c r="H22" s="11">
        <v>1871.64</v>
      </c>
      <c r="I22" s="11">
        <v>1992.05</v>
      </c>
      <c r="J22" s="11">
        <v>2016.88</v>
      </c>
      <c r="K22" s="11">
        <v>2301.5700000000002</v>
      </c>
      <c r="L22" s="11">
        <v>3056.07</v>
      </c>
      <c r="M22" s="11">
        <v>3482.44</v>
      </c>
      <c r="N22" s="11">
        <v>3961.61</v>
      </c>
      <c r="O22" s="11">
        <v>4549.8599999999997</v>
      </c>
      <c r="P22" s="11">
        <v>5069.1000000000004</v>
      </c>
      <c r="Q22" s="11">
        <v>5788.9</v>
      </c>
      <c r="R22" s="11">
        <v>6942.88</v>
      </c>
      <c r="S22" s="11">
        <v>7768.35</v>
      </c>
      <c r="T22" s="11">
        <v>8610.74</v>
      </c>
      <c r="U22" s="11">
        <v>9657.14</v>
      </c>
      <c r="V22" s="11">
        <v>11011.5</v>
      </c>
      <c r="W22" s="11">
        <v>11897.7</v>
      </c>
    </row>
    <row r="23" spans="1:23">
      <c r="A23" s="11" t="s">
        <v>27</v>
      </c>
      <c r="B23" s="11">
        <v>2586.46</v>
      </c>
      <c r="C23" s="11">
        <v>2902.09</v>
      </c>
      <c r="D23" s="11">
        <v>3172.8</v>
      </c>
      <c r="E23" s="11">
        <v>3330.07</v>
      </c>
      <c r="F23" s="11">
        <v>3435.0045300000002</v>
      </c>
      <c r="G23" s="11">
        <v>3754.8</v>
      </c>
      <c r="H23" s="11">
        <v>3907.02</v>
      </c>
      <c r="I23" s="11">
        <v>4450</v>
      </c>
      <c r="J23" s="11">
        <v>4900.01</v>
      </c>
      <c r="K23" s="11">
        <v>5930.47</v>
      </c>
      <c r="L23" s="11">
        <v>8989.7000000000007</v>
      </c>
      <c r="M23" s="11">
        <v>10015.290000000001</v>
      </c>
      <c r="N23" s="11">
        <v>11873.01</v>
      </c>
      <c r="O23" s="11">
        <v>13665.86</v>
      </c>
      <c r="P23" s="11">
        <v>14665.9</v>
      </c>
      <c r="Q23" s="11">
        <v>16722.3</v>
      </c>
      <c r="R23" s="11">
        <v>20504.11</v>
      </c>
      <c r="S23" s="11">
        <v>23022.47</v>
      </c>
      <c r="T23" s="11">
        <v>25208.46</v>
      </c>
      <c r="U23" s="11">
        <v>26263.14</v>
      </c>
      <c r="V23" s="11">
        <v>28438.6</v>
      </c>
      <c r="W23" s="11">
        <v>31127.599999999999</v>
      </c>
    </row>
    <row r="24" spans="1:23">
      <c r="A24" s="11" t="s">
        <v>28</v>
      </c>
      <c r="B24" s="11">
        <v>754.12</v>
      </c>
      <c r="C24" s="11">
        <v>919.89</v>
      </c>
      <c r="D24" s="11">
        <v>936.65</v>
      </c>
      <c r="E24" s="11">
        <v>952.63</v>
      </c>
      <c r="F24" s="11">
        <v>978.81</v>
      </c>
      <c r="G24" s="11">
        <v>1019.36</v>
      </c>
      <c r="H24" s="11">
        <v>1075.8900000000001</v>
      </c>
      <c r="I24" s="11">
        <v>1157.95</v>
      </c>
      <c r="J24" s="11">
        <v>1244.7</v>
      </c>
      <c r="K24" s="11">
        <v>1395.28</v>
      </c>
      <c r="L24" s="11">
        <v>1822.03</v>
      </c>
      <c r="M24" s="11">
        <v>2030.6</v>
      </c>
      <c r="N24" s="11">
        <v>2365.63</v>
      </c>
      <c r="O24" s="11">
        <v>2924.38</v>
      </c>
      <c r="P24" s="11">
        <v>3333.6</v>
      </c>
      <c r="Q24" s="11">
        <v>3657.1</v>
      </c>
      <c r="R24" s="11">
        <v>4248.3</v>
      </c>
      <c r="S24" s="11">
        <v>4905.76</v>
      </c>
      <c r="T24" s="11">
        <v>5504.38</v>
      </c>
      <c r="U24" s="11">
        <v>6131.54</v>
      </c>
      <c r="V24" s="11">
        <v>6645.7</v>
      </c>
      <c r="W24" s="11">
        <v>7231.8</v>
      </c>
    </row>
    <row r="25" spans="1:23">
      <c r="A25" s="11" t="s">
        <v>29</v>
      </c>
      <c r="B25" s="11">
        <v>153.09</v>
      </c>
      <c r="C25" s="11">
        <v>168.27</v>
      </c>
      <c r="D25" s="11">
        <v>176.82</v>
      </c>
      <c r="E25" s="11">
        <v>186.75</v>
      </c>
      <c r="F25" s="11">
        <v>201.49</v>
      </c>
      <c r="G25" s="11">
        <v>218.38</v>
      </c>
      <c r="H25" s="11">
        <v>226.61</v>
      </c>
      <c r="I25" s="11">
        <v>247.57</v>
      </c>
      <c r="J25" s="11">
        <v>264.27</v>
      </c>
      <c r="K25" s="11">
        <v>294.74</v>
      </c>
      <c r="L25" s="11">
        <v>341.06</v>
      </c>
      <c r="M25" s="11">
        <v>394.02</v>
      </c>
      <c r="N25" s="11">
        <v>466.65</v>
      </c>
      <c r="O25" s="11">
        <v>556.46</v>
      </c>
      <c r="P25" s="11">
        <v>575.20000000000005</v>
      </c>
      <c r="Q25" s="11">
        <v>654.29999999999995</v>
      </c>
      <c r="R25" s="11">
        <v>806.42</v>
      </c>
      <c r="S25" s="11">
        <v>937.93</v>
      </c>
      <c r="T25" s="11">
        <v>1043.43</v>
      </c>
      <c r="U25" s="11">
        <v>1161.51</v>
      </c>
      <c r="V25" s="11">
        <v>1543.9</v>
      </c>
      <c r="W25" s="11">
        <v>1684.5</v>
      </c>
    </row>
    <row r="26" spans="1:23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</row>
    <row r="27" spans="1:23">
      <c r="A27" s="11" t="s">
        <v>30</v>
      </c>
      <c r="B27" s="11"/>
      <c r="C27" s="11">
        <v>618.19000000000005</v>
      </c>
      <c r="D27" s="11">
        <v>670.51</v>
      </c>
      <c r="E27" s="11">
        <v>678.54</v>
      </c>
      <c r="F27" s="11">
        <v>716.36</v>
      </c>
      <c r="G27" s="11">
        <v>760.02</v>
      </c>
      <c r="H27" s="11">
        <v>817.56</v>
      </c>
      <c r="I27" s="11">
        <v>880.86</v>
      </c>
      <c r="J27" s="11">
        <v>1004.38</v>
      </c>
      <c r="K27" s="11">
        <v>1128.05</v>
      </c>
      <c r="L27" s="11">
        <v>1336.96</v>
      </c>
      <c r="M27" s="11">
        <v>1518.47</v>
      </c>
      <c r="N27" s="11">
        <v>1840.4</v>
      </c>
      <c r="O27" s="11">
        <v>2780.82</v>
      </c>
      <c r="P27" s="11">
        <v>2367.1</v>
      </c>
      <c r="Q27" s="11">
        <v>2792.3</v>
      </c>
      <c r="R27" s="11">
        <v>3433.33</v>
      </c>
      <c r="S27" s="11">
        <v>4003.79</v>
      </c>
      <c r="T27" s="11">
        <v>4516.25</v>
      </c>
      <c r="U27" s="11">
        <v>5145.33</v>
      </c>
      <c r="V27" s="11">
        <v>5665.4</v>
      </c>
      <c r="W27" s="11">
        <v>6378.1</v>
      </c>
    </row>
    <row r="28" spans="1:23">
      <c r="A28" s="11" t="s">
        <v>31</v>
      </c>
      <c r="B28" s="11">
        <v>1806.84</v>
      </c>
      <c r="C28" s="11">
        <v>1542.96</v>
      </c>
      <c r="D28" s="11">
        <v>1689.39</v>
      </c>
      <c r="E28" s="11">
        <v>1758.19</v>
      </c>
      <c r="F28" s="11">
        <v>1826.99</v>
      </c>
      <c r="G28" s="11">
        <v>2059.1999999999998</v>
      </c>
      <c r="H28" s="11">
        <v>2076.8000000000002</v>
      </c>
      <c r="I28" s="11">
        <v>2216.29</v>
      </c>
      <c r="J28" s="11">
        <v>2413.6</v>
      </c>
      <c r="K28" s="11">
        <v>2943.58</v>
      </c>
      <c r="L28" s="11">
        <v>3366.47</v>
      </c>
      <c r="M28" s="11">
        <v>3686.82</v>
      </c>
      <c r="N28" s="11">
        <v>4285.21</v>
      </c>
      <c r="O28" s="11">
        <v>4937.87</v>
      </c>
      <c r="P28" s="11">
        <v>5601.3</v>
      </c>
      <c r="Q28" s="11">
        <v>6638.5</v>
      </c>
      <c r="R28" s="11">
        <v>7967.5</v>
      </c>
      <c r="S28" s="11">
        <v>9095.2999999999993</v>
      </c>
      <c r="T28" s="11">
        <v>10102.469999999999</v>
      </c>
      <c r="U28" s="11">
        <v>11174.2</v>
      </c>
      <c r="V28" s="11">
        <v>12073.4</v>
      </c>
      <c r="W28" s="11">
        <v>13183.4</v>
      </c>
    </row>
    <row r="29" spans="1:23">
      <c r="A29" s="11" t="s">
        <v>32</v>
      </c>
      <c r="B29" s="11">
        <v>427.66</v>
      </c>
      <c r="C29" s="11">
        <v>497.22</v>
      </c>
      <c r="D29" s="11">
        <v>529.65</v>
      </c>
      <c r="E29" s="11">
        <v>548.69000000000005</v>
      </c>
      <c r="F29" s="11">
        <v>568.05999999999995</v>
      </c>
      <c r="G29" s="11">
        <v>600.07000000000005</v>
      </c>
      <c r="H29" s="11">
        <v>611.30999999999995</v>
      </c>
      <c r="I29" s="11">
        <v>639.29</v>
      </c>
      <c r="J29" s="11">
        <v>665.97</v>
      </c>
      <c r="K29" s="11">
        <v>750.57</v>
      </c>
      <c r="L29" s="11">
        <v>1230.07</v>
      </c>
      <c r="M29" s="11">
        <v>1379.6</v>
      </c>
      <c r="N29" s="11">
        <v>1608.75</v>
      </c>
      <c r="O29" s="11">
        <v>1672.03</v>
      </c>
      <c r="P29" s="11">
        <v>1914.5</v>
      </c>
      <c r="Q29" s="11">
        <v>2137.4</v>
      </c>
      <c r="R29" s="11">
        <v>2566.7800000000002</v>
      </c>
      <c r="S29" s="11">
        <v>2910.93</v>
      </c>
      <c r="T29" s="11">
        <v>3332.7</v>
      </c>
      <c r="U29" s="11">
        <v>3982.27</v>
      </c>
      <c r="V29" s="11">
        <v>4530.8999999999996</v>
      </c>
      <c r="W29" s="11">
        <v>5195.2</v>
      </c>
    </row>
    <row r="30" spans="1:23">
      <c r="A30" s="11" t="s">
        <v>33</v>
      </c>
      <c r="B30" s="11">
        <v>588.14</v>
      </c>
      <c r="C30" s="11">
        <v>722.78</v>
      </c>
      <c r="D30" s="11">
        <v>806.33</v>
      </c>
      <c r="E30" s="11">
        <v>847.89</v>
      </c>
      <c r="F30" s="11">
        <v>975.26</v>
      </c>
      <c r="G30" s="11">
        <v>1066.77</v>
      </c>
      <c r="H30" s="11">
        <v>934.6</v>
      </c>
      <c r="I30" s="11">
        <v>1024.5999999999999</v>
      </c>
      <c r="J30" s="11">
        <v>1086.23</v>
      </c>
      <c r="K30" s="11">
        <v>1303.68</v>
      </c>
      <c r="L30" s="11">
        <v>1661.64</v>
      </c>
      <c r="M30" s="11">
        <v>1820.22</v>
      </c>
      <c r="N30" s="11">
        <v>2048.36</v>
      </c>
      <c r="O30" s="11">
        <v>2048.36</v>
      </c>
      <c r="P30" s="11">
        <v>2700.7</v>
      </c>
      <c r="Q30" s="11">
        <v>3082.1</v>
      </c>
      <c r="R30" s="11">
        <v>3821.44</v>
      </c>
      <c r="S30" s="11">
        <v>4543.53</v>
      </c>
      <c r="T30" s="11">
        <v>5244.58</v>
      </c>
      <c r="U30" s="11">
        <v>5750.89</v>
      </c>
      <c r="V30" s="11">
        <v>6354.3</v>
      </c>
      <c r="W30" s="11">
        <v>6912.8</v>
      </c>
    </row>
    <row r="31" spans="1:23">
      <c r="A31" s="11" t="s">
        <v>34</v>
      </c>
      <c r="B31" s="11">
        <v>28.13</v>
      </c>
      <c r="C31" s="11">
        <v>31.1</v>
      </c>
      <c r="D31" s="11">
        <v>35.75</v>
      </c>
      <c r="E31" s="11">
        <v>38.06</v>
      </c>
      <c r="F31" s="11">
        <v>42.32</v>
      </c>
      <c r="G31" s="11">
        <v>46.97</v>
      </c>
      <c r="H31" s="11">
        <v>50.68</v>
      </c>
      <c r="I31" s="11">
        <v>61.27</v>
      </c>
      <c r="J31" s="11">
        <v>75.849999999999994</v>
      </c>
      <c r="K31" s="11">
        <v>86.08</v>
      </c>
      <c r="L31" s="11">
        <v>83.22</v>
      </c>
      <c r="M31" s="11">
        <v>81.319999999999993</v>
      </c>
      <c r="N31" s="11">
        <v>90.84</v>
      </c>
      <c r="O31" s="11">
        <v>100.54</v>
      </c>
      <c r="P31" s="11">
        <v>117.2</v>
      </c>
      <c r="Q31" s="11">
        <v>133.19999999999999</v>
      </c>
      <c r="R31" s="11">
        <v>142.74</v>
      </c>
      <c r="S31" s="11">
        <v>163.09</v>
      </c>
      <c r="T31" s="11">
        <v>195.82</v>
      </c>
      <c r="U31" s="11">
        <v>228.78</v>
      </c>
      <c r="V31" s="11">
        <v>283.7</v>
      </c>
      <c r="W31" s="11">
        <v>322</v>
      </c>
    </row>
    <row r="32" spans="1:23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</row>
    <row r="33" spans="1:23">
      <c r="A33" s="11" t="s">
        <v>35</v>
      </c>
      <c r="B33" s="11">
        <v>503.25</v>
      </c>
      <c r="C33" s="11">
        <v>578.24</v>
      </c>
      <c r="D33" s="11">
        <v>656.35</v>
      </c>
      <c r="E33" s="11">
        <v>667.32</v>
      </c>
      <c r="F33" s="11">
        <v>683.46</v>
      </c>
      <c r="G33" s="11">
        <v>743.07</v>
      </c>
      <c r="H33" s="11">
        <v>789.34</v>
      </c>
      <c r="I33" s="11">
        <v>882.72</v>
      </c>
      <c r="J33" s="11">
        <v>943.19</v>
      </c>
      <c r="K33" s="11">
        <v>1075.6300000000001</v>
      </c>
      <c r="L33" s="11">
        <v>1334.48</v>
      </c>
      <c r="M33" s="11">
        <v>1480.59</v>
      </c>
      <c r="N33" s="11">
        <v>1972.66</v>
      </c>
      <c r="O33" s="11">
        <v>2361.89</v>
      </c>
      <c r="P33" s="11">
        <v>2663</v>
      </c>
      <c r="Q33" s="11">
        <v>3105.8</v>
      </c>
      <c r="R33" s="11">
        <v>3758.99</v>
      </c>
      <c r="S33" s="11">
        <v>4442.2</v>
      </c>
      <c r="T33" s="11">
        <v>4962.87</v>
      </c>
      <c r="U33" s="11">
        <v>5584.31</v>
      </c>
      <c r="V33" s="11">
        <v>5813.5</v>
      </c>
      <c r="W33" s="11">
        <v>6334.7</v>
      </c>
    </row>
    <row r="34" spans="1:23">
      <c r="A34" s="11" t="s">
        <v>36</v>
      </c>
      <c r="B34" s="11">
        <v>283.39999999999998</v>
      </c>
      <c r="C34" s="11">
        <v>381.62</v>
      </c>
      <c r="D34" s="11">
        <v>405.68</v>
      </c>
      <c r="E34" s="11">
        <v>405.76</v>
      </c>
      <c r="F34" s="11">
        <v>419.19</v>
      </c>
      <c r="G34" s="11">
        <v>444.22</v>
      </c>
      <c r="H34" s="11">
        <v>473.85</v>
      </c>
      <c r="I34" s="11">
        <v>510.47</v>
      </c>
      <c r="J34" s="11">
        <v>564.05999999999995</v>
      </c>
      <c r="K34" s="11">
        <v>642.29</v>
      </c>
      <c r="L34" s="11">
        <v>893.15</v>
      </c>
      <c r="M34" s="11">
        <v>990.76</v>
      </c>
      <c r="N34" s="11">
        <v>1116.31</v>
      </c>
      <c r="O34" s="11">
        <v>1276.99</v>
      </c>
      <c r="P34" s="11">
        <v>1390.7</v>
      </c>
      <c r="Q34" s="11">
        <v>1567.7</v>
      </c>
      <c r="R34" s="11">
        <v>1919.68</v>
      </c>
      <c r="S34" s="11">
        <v>2196.0300000000002</v>
      </c>
      <c r="T34" s="11">
        <v>2480.71</v>
      </c>
      <c r="U34" s="11">
        <v>2761.81</v>
      </c>
      <c r="V34" s="11">
        <v>3079.9</v>
      </c>
      <c r="W34" s="11">
        <v>3408.5</v>
      </c>
    </row>
    <row r="35" spans="1:23">
      <c r="A35" s="11" t="s">
        <v>37</v>
      </c>
      <c r="B35" s="11">
        <v>81.41</v>
      </c>
      <c r="C35" s="11">
        <v>96.36</v>
      </c>
      <c r="D35" s="11">
        <v>97.64</v>
      </c>
      <c r="E35" s="11">
        <v>103.21</v>
      </c>
      <c r="F35" s="11">
        <v>109.91</v>
      </c>
      <c r="G35" s="11">
        <v>116.82</v>
      </c>
      <c r="H35" s="11">
        <v>128.22999999999999</v>
      </c>
      <c r="I35" s="11">
        <v>140.36000000000001</v>
      </c>
      <c r="J35" s="11">
        <v>155.22999999999999</v>
      </c>
      <c r="K35" s="11">
        <v>172.27</v>
      </c>
      <c r="L35" s="11">
        <v>210.29</v>
      </c>
      <c r="M35" s="11">
        <v>230.69</v>
      </c>
      <c r="N35" s="11">
        <v>273.64</v>
      </c>
      <c r="O35" s="11">
        <v>322.39999999999998</v>
      </c>
      <c r="P35" s="11">
        <v>361</v>
      </c>
      <c r="Q35" s="11">
        <v>405.1</v>
      </c>
      <c r="R35" s="11">
        <v>494.77</v>
      </c>
      <c r="S35" s="11">
        <v>587.16999999999996</v>
      </c>
      <c r="T35" s="11">
        <v>694.58</v>
      </c>
      <c r="U35" s="11">
        <v>785.77</v>
      </c>
      <c r="V35" s="11">
        <v>888.7</v>
      </c>
      <c r="W35" s="11">
        <v>989.9</v>
      </c>
    </row>
    <row r="36" spans="1:23">
      <c r="A36" s="11" t="s">
        <v>38</v>
      </c>
      <c r="B36" s="11">
        <v>83.81</v>
      </c>
      <c r="C36" s="11">
        <v>92.65</v>
      </c>
      <c r="D36" s="11">
        <v>97.02</v>
      </c>
      <c r="E36" s="11">
        <v>103.72</v>
      </c>
      <c r="F36" s="11">
        <v>108.72</v>
      </c>
      <c r="G36" s="11">
        <v>125.69</v>
      </c>
      <c r="H36" s="11">
        <v>133.19999999999999</v>
      </c>
      <c r="I36" s="11">
        <v>146.57</v>
      </c>
      <c r="J36" s="11">
        <v>168.55</v>
      </c>
      <c r="K36" s="11">
        <v>198.83</v>
      </c>
      <c r="L36" s="11">
        <v>261.23</v>
      </c>
      <c r="M36" s="11">
        <v>306.73</v>
      </c>
      <c r="N36" s="11">
        <v>353.04</v>
      </c>
      <c r="O36" s="11">
        <v>441.66</v>
      </c>
      <c r="P36" s="11">
        <v>488.3</v>
      </c>
      <c r="Q36" s="11">
        <v>565.70000000000005</v>
      </c>
      <c r="R36" s="11">
        <v>695.83</v>
      </c>
      <c r="S36" s="11">
        <v>779.8</v>
      </c>
      <c r="T36" s="11">
        <v>880.82</v>
      </c>
      <c r="U36" s="11">
        <v>999.48</v>
      </c>
      <c r="V36" s="11">
        <v>1143.9000000000001</v>
      </c>
      <c r="W36" s="11">
        <v>1246.8</v>
      </c>
    </row>
    <row r="37" spans="1:23">
      <c r="A37" s="11" t="s">
        <v>39</v>
      </c>
      <c r="B37" s="11">
        <v>371.63</v>
      </c>
      <c r="C37" s="11">
        <v>423.39</v>
      </c>
      <c r="D37" s="11">
        <v>465.12</v>
      </c>
      <c r="E37" s="11">
        <v>492.09</v>
      </c>
      <c r="F37" s="11">
        <v>530.37</v>
      </c>
      <c r="G37" s="11">
        <v>585.69000000000005</v>
      </c>
      <c r="H37" s="11">
        <v>541.09</v>
      </c>
      <c r="I37" s="11">
        <v>600.66999999999996</v>
      </c>
      <c r="J37" s="11">
        <v>617.26</v>
      </c>
      <c r="K37" s="11">
        <v>663.52</v>
      </c>
      <c r="L37" s="11">
        <v>764.26</v>
      </c>
      <c r="M37" s="11">
        <v>853.89</v>
      </c>
      <c r="N37" s="11">
        <v>1013.48</v>
      </c>
      <c r="O37" s="11">
        <v>1171.05</v>
      </c>
      <c r="P37" s="11">
        <v>1284.7</v>
      </c>
      <c r="Q37" s="11">
        <v>1578.9</v>
      </c>
      <c r="R37" s="11">
        <v>1954.33</v>
      </c>
      <c r="S37" s="11">
        <v>2370.67</v>
      </c>
      <c r="T37" s="11">
        <v>2563.54</v>
      </c>
      <c r="U37" s="11">
        <v>2837.02</v>
      </c>
      <c r="V37" s="11">
        <v>3187.1</v>
      </c>
      <c r="W37" s="11">
        <v>3627.2</v>
      </c>
    </row>
    <row r="38" spans="1:23">
      <c r="A38" s="10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</row>
    <row r="39" spans="1:23"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</row>
  </sheetData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6A4AA-F58C-2842-B756-61C88F9AB391}">
  <dimension ref="A1:W38"/>
  <sheetViews>
    <sheetView workbookViewId="0">
      <selection sqref="A1:A1048576"/>
    </sheetView>
  </sheetViews>
  <sheetFormatPr baseColWidth="10" defaultRowHeight="16"/>
  <cols>
    <col min="1" max="1" width="19" customWidth="1"/>
  </cols>
  <sheetData>
    <row r="1" spans="1:23" ht="17">
      <c r="A1" s="23" t="s">
        <v>6</v>
      </c>
      <c r="B1" s="23">
        <v>1995</v>
      </c>
      <c r="C1" s="23">
        <v>1996</v>
      </c>
      <c r="D1" s="23">
        <v>1997</v>
      </c>
      <c r="E1" s="23">
        <v>1998</v>
      </c>
      <c r="F1" s="23">
        <v>1999</v>
      </c>
      <c r="G1" s="23">
        <v>2000</v>
      </c>
      <c r="H1" s="23">
        <v>2001</v>
      </c>
      <c r="I1" s="23">
        <v>2002</v>
      </c>
      <c r="J1" s="23">
        <v>2003</v>
      </c>
      <c r="K1" s="23">
        <v>2004</v>
      </c>
      <c r="L1" s="23">
        <v>2005</v>
      </c>
      <c r="M1" s="23">
        <v>2006</v>
      </c>
      <c r="N1" s="23">
        <v>2007</v>
      </c>
      <c r="O1" s="23">
        <v>2008</v>
      </c>
      <c r="P1" s="23">
        <v>2009</v>
      </c>
      <c r="Q1" s="23">
        <v>2010</v>
      </c>
      <c r="R1" s="23">
        <v>2011</v>
      </c>
      <c r="S1" s="23">
        <v>2012</v>
      </c>
      <c r="T1" s="23" t="s">
        <v>2</v>
      </c>
      <c r="U1" s="23" t="s">
        <v>3</v>
      </c>
      <c r="V1" s="23" t="s">
        <v>4</v>
      </c>
      <c r="W1" s="23" t="s">
        <v>5</v>
      </c>
    </row>
    <row r="2" spans="1:23">
      <c r="A2" s="16" t="s">
        <v>9</v>
      </c>
      <c r="B2" s="11">
        <v>280.77</v>
      </c>
      <c r="C2" s="11">
        <v>246.61</v>
      </c>
      <c r="D2" s="11">
        <v>413.97</v>
      </c>
      <c r="E2" s="11">
        <v>517.70000000000005</v>
      </c>
      <c r="F2" s="11">
        <v>460.6</v>
      </c>
      <c r="G2" s="11">
        <v>725.95</v>
      </c>
      <c r="H2" s="11">
        <v>522.89</v>
      </c>
      <c r="I2" s="11">
        <v>320.64</v>
      </c>
      <c r="J2" s="11">
        <v>354.28</v>
      </c>
      <c r="K2" s="11">
        <v>410.63</v>
      </c>
      <c r="L2" s="11">
        <v>441.98</v>
      </c>
      <c r="M2" s="11">
        <v>507.03</v>
      </c>
      <c r="N2" s="11">
        <v>478.44</v>
      </c>
      <c r="O2" s="11">
        <v>548.54999999999995</v>
      </c>
      <c r="P2" s="11">
        <v>632.41</v>
      </c>
      <c r="Q2" s="11">
        <v>618.54</v>
      </c>
      <c r="R2" s="11">
        <v>737.15</v>
      </c>
      <c r="S2" s="11">
        <v>651.5</v>
      </c>
      <c r="T2" s="11">
        <v>723.78789221395937</v>
      </c>
      <c r="U2" s="11">
        <v>764.82594857988283</v>
      </c>
      <c r="V2" s="11">
        <v>742.29587115849824</v>
      </c>
      <c r="W2" s="11">
        <v>769.90801182689711</v>
      </c>
    </row>
    <row r="3" spans="1:23">
      <c r="A3" s="11" t="s">
        <v>10</v>
      </c>
      <c r="B3" s="11">
        <v>261.42</v>
      </c>
      <c r="C3" s="11">
        <v>228.21</v>
      </c>
      <c r="D3" s="11">
        <v>402.79</v>
      </c>
      <c r="E3" s="11">
        <v>493.02</v>
      </c>
      <c r="F3" s="11">
        <v>503.8</v>
      </c>
      <c r="G3" s="11">
        <v>513.37</v>
      </c>
      <c r="H3" s="11">
        <v>565</v>
      </c>
      <c r="I3" s="11">
        <v>284.64</v>
      </c>
      <c r="J3" s="11">
        <v>261.64999999999998</v>
      </c>
      <c r="K3" s="11">
        <v>281.08</v>
      </c>
      <c r="L3" s="11">
        <v>294.67</v>
      </c>
      <c r="M3" s="11">
        <v>329.82</v>
      </c>
      <c r="N3" s="11">
        <v>423.16</v>
      </c>
      <c r="O3" s="11">
        <v>467.75</v>
      </c>
      <c r="P3" s="11">
        <v>507.63</v>
      </c>
      <c r="Q3" s="11">
        <v>628.07000000000005</v>
      </c>
      <c r="R3" s="11">
        <v>616.71</v>
      </c>
      <c r="S3" s="11">
        <v>537.96</v>
      </c>
      <c r="T3" s="11">
        <v>441.99729447182148</v>
      </c>
      <c r="U3" s="11">
        <v>480.77709764318888</v>
      </c>
      <c r="V3" s="11">
        <v>520.29626556760138</v>
      </c>
      <c r="W3" s="11">
        <v>510.14454403727257</v>
      </c>
    </row>
    <row r="4" spans="1:23">
      <c r="A4" s="11" t="s">
        <v>11</v>
      </c>
      <c r="B4" s="11">
        <v>186.92</v>
      </c>
      <c r="C4" s="11">
        <v>173.29</v>
      </c>
      <c r="D4" s="11">
        <v>261.94</v>
      </c>
      <c r="E4" s="11">
        <v>225.8</v>
      </c>
      <c r="F4" s="11">
        <v>255.01</v>
      </c>
      <c r="G4" s="11">
        <v>326.68</v>
      </c>
      <c r="H4" s="11">
        <v>277.02999999999997</v>
      </c>
      <c r="I4" s="11">
        <v>221.88</v>
      </c>
      <c r="J4" s="11">
        <v>224.61</v>
      </c>
      <c r="K4" s="11">
        <v>205.56</v>
      </c>
      <c r="L4" s="11">
        <v>248.44</v>
      </c>
      <c r="M4" s="11">
        <v>264.5</v>
      </c>
      <c r="N4" s="11">
        <v>320.01</v>
      </c>
      <c r="O4" s="11">
        <v>305.7</v>
      </c>
      <c r="P4" s="11">
        <v>325.67</v>
      </c>
      <c r="Q4" s="11">
        <v>353.25</v>
      </c>
      <c r="R4" s="11">
        <v>385.79</v>
      </c>
      <c r="S4" s="11">
        <v>371.96</v>
      </c>
      <c r="T4" s="11">
        <v>358.35062080458744</v>
      </c>
      <c r="U4" s="11">
        <v>374.88314469686156</v>
      </c>
      <c r="V4" s="11">
        <v>384.98004282770358</v>
      </c>
      <c r="W4" s="11">
        <v>414.26631412955822</v>
      </c>
    </row>
    <row r="5" spans="1:23">
      <c r="A5" s="11" t="s">
        <v>12</v>
      </c>
      <c r="B5" s="11">
        <v>94.41</v>
      </c>
      <c r="C5" s="11">
        <v>102.01</v>
      </c>
      <c r="D5" s="11">
        <v>124.89</v>
      </c>
      <c r="E5" s="11">
        <v>117.9</v>
      </c>
      <c r="F5" s="11">
        <v>166.18</v>
      </c>
      <c r="G5" s="11">
        <v>204.95</v>
      </c>
      <c r="H5" s="11">
        <v>181.45</v>
      </c>
      <c r="I5" s="11">
        <v>163.80000000000001</v>
      </c>
      <c r="J5" s="11">
        <v>180.81</v>
      </c>
      <c r="K5" s="11">
        <v>162.27000000000001</v>
      </c>
      <c r="L5" s="11">
        <v>195.64</v>
      </c>
      <c r="M5" s="11">
        <v>241.29</v>
      </c>
      <c r="N5" s="11">
        <v>270.52999999999997</v>
      </c>
      <c r="O5" s="11">
        <v>259.05</v>
      </c>
      <c r="P5" s="11">
        <v>302.19</v>
      </c>
      <c r="Q5" s="11">
        <v>290.27</v>
      </c>
      <c r="R5" s="11">
        <v>421.25</v>
      </c>
      <c r="S5" s="11">
        <v>384.47</v>
      </c>
      <c r="T5" s="11">
        <v>319.287888164143</v>
      </c>
      <c r="U5" s="11">
        <v>307.75903878568903</v>
      </c>
      <c r="V5" s="11">
        <v>309.59750792939695</v>
      </c>
      <c r="W5" s="11">
        <v>291.77398010930915</v>
      </c>
    </row>
    <row r="6" spans="1:23">
      <c r="A6" s="11" t="s">
        <v>13</v>
      </c>
      <c r="B6" s="11">
        <v>82.25</v>
      </c>
      <c r="C6" s="11">
        <v>87.91</v>
      </c>
      <c r="D6" s="11">
        <v>90.46</v>
      </c>
      <c r="E6" s="11">
        <v>103.15</v>
      </c>
      <c r="F6" s="11">
        <v>127.09</v>
      </c>
      <c r="G6" s="11">
        <v>156.86000000000001</v>
      </c>
      <c r="H6" s="11">
        <v>151.97999999999999</v>
      </c>
      <c r="I6" s="11">
        <v>134.76</v>
      </c>
      <c r="J6" s="11">
        <v>140.6</v>
      </c>
      <c r="K6" s="11">
        <v>163.92</v>
      </c>
      <c r="L6" s="11">
        <v>172.12</v>
      </c>
      <c r="M6" s="11">
        <v>220.38</v>
      </c>
      <c r="N6" s="11">
        <v>247.82</v>
      </c>
      <c r="O6" s="11">
        <v>307.92</v>
      </c>
      <c r="P6" s="11">
        <v>364.6</v>
      </c>
      <c r="Q6" s="11">
        <v>456.22</v>
      </c>
      <c r="R6" s="11">
        <v>534.49</v>
      </c>
      <c r="S6" s="11">
        <v>538.84</v>
      </c>
      <c r="T6" s="11">
        <v>452.17816810321659</v>
      </c>
      <c r="U6" s="11">
        <v>497.93146553627872</v>
      </c>
      <c r="V6" s="11">
        <v>467.12348965146492</v>
      </c>
      <c r="W6" s="11">
        <v>479.88173210285805</v>
      </c>
    </row>
    <row r="7" spans="1:23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</row>
    <row r="8" spans="1:23">
      <c r="A8" s="11" t="s">
        <v>14</v>
      </c>
      <c r="B8" s="11">
        <v>88.41</v>
      </c>
      <c r="C8" s="11">
        <v>84.55</v>
      </c>
      <c r="D8" s="11">
        <v>103.19</v>
      </c>
      <c r="E8" s="11">
        <v>141.72999999999999</v>
      </c>
      <c r="F8" s="11">
        <v>138.86000000000001</v>
      </c>
      <c r="G8" s="11">
        <v>177.93</v>
      </c>
      <c r="H8" s="11">
        <v>149.44999999999999</v>
      </c>
      <c r="I8" s="11">
        <v>114.36</v>
      </c>
      <c r="J8" s="11">
        <v>97.42</v>
      </c>
      <c r="K8" s="11">
        <v>97.12</v>
      </c>
      <c r="L8" s="11">
        <v>93.55</v>
      </c>
      <c r="M8" s="11">
        <v>120.25</v>
      </c>
      <c r="N8" s="11">
        <v>204.69</v>
      </c>
      <c r="O8" s="11">
        <v>235.46</v>
      </c>
      <c r="P8" s="11">
        <v>224.23</v>
      </c>
      <c r="Q8" s="11">
        <v>291.11</v>
      </c>
      <c r="R8" s="11">
        <v>320.74</v>
      </c>
      <c r="S8" s="11">
        <v>373.29</v>
      </c>
      <c r="T8" s="11">
        <v>419.98211760594927</v>
      </c>
      <c r="U8" s="11">
        <v>427.99877134033284</v>
      </c>
      <c r="V8" s="11">
        <v>444.03187259206163</v>
      </c>
      <c r="W8" s="11">
        <v>477.7660947943732</v>
      </c>
    </row>
    <row r="9" spans="1:23">
      <c r="A9" s="11" t="s">
        <v>15</v>
      </c>
      <c r="B9" s="11">
        <v>45.07</v>
      </c>
      <c r="C9" s="11">
        <v>69.37</v>
      </c>
      <c r="D9" s="11">
        <v>79.73</v>
      </c>
      <c r="E9" s="11">
        <v>97.43</v>
      </c>
      <c r="F9" s="11">
        <v>89.81</v>
      </c>
      <c r="G9" s="11">
        <v>113.61</v>
      </c>
      <c r="H9" s="11">
        <v>123.14</v>
      </c>
      <c r="I9" s="11">
        <v>97.32</v>
      </c>
      <c r="J9" s="11">
        <v>105.97</v>
      </c>
      <c r="K9" s="11">
        <v>101.46</v>
      </c>
      <c r="L9" s="11">
        <v>125.93</v>
      </c>
      <c r="M9" s="11">
        <v>127.36</v>
      </c>
      <c r="N9" s="11">
        <v>151.05000000000001</v>
      </c>
      <c r="O9" s="11">
        <v>214.28</v>
      </c>
      <c r="P9" s="11">
        <v>214.26</v>
      </c>
      <c r="Q9" s="11">
        <v>306.02999999999997</v>
      </c>
      <c r="R9" s="11">
        <v>315</v>
      </c>
      <c r="S9" s="11">
        <v>286.66000000000003</v>
      </c>
      <c r="T9" s="11">
        <v>333.04324929665802</v>
      </c>
      <c r="U9" s="11">
        <v>336.77061666921179</v>
      </c>
      <c r="V9" s="11">
        <v>335.33469922049994</v>
      </c>
      <c r="W9" s="11">
        <v>339.4524730758892</v>
      </c>
    </row>
    <row r="10" spans="1:23">
      <c r="A10" s="11" t="s">
        <v>16</v>
      </c>
      <c r="B10" s="11">
        <v>68.22</v>
      </c>
      <c r="C10" s="11">
        <v>78.42</v>
      </c>
      <c r="D10" s="11">
        <v>93.97</v>
      </c>
      <c r="E10" s="11">
        <v>97.28</v>
      </c>
      <c r="F10" s="11">
        <v>106.22</v>
      </c>
      <c r="G10" s="11">
        <v>109.09</v>
      </c>
      <c r="H10" s="11">
        <v>129.53</v>
      </c>
      <c r="I10" s="11">
        <v>91.2</v>
      </c>
      <c r="J10" s="11">
        <v>92.17</v>
      </c>
      <c r="K10" s="11">
        <v>93.05</v>
      </c>
      <c r="L10" s="11">
        <v>121.16</v>
      </c>
      <c r="M10" s="11">
        <v>126.71</v>
      </c>
      <c r="N10" s="11">
        <v>139.41999999999999</v>
      </c>
      <c r="O10" s="11">
        <v>192.87</v>
      </c>
      <c r="P10" s="11">
        <v>228.69</v>
      </c>
      <c r="Q10" s="11">
        <v>228.42</v>
      </c>
      <c r="R10" s="11">
        <v>295.14999999999998</v>
      </c>
      <c r="S10" s="11">
        <v>268.97000000000003</v>
      </c>
      <c r="T10" s="11">
        <v>291.96413909147924</v>
      </c>
      <c r="U10" s="11">
        <v>316.3625092984538</v>
      </c>
      <c r="V10" s="11">
        <v>296.59826664277392</v>
      </c>
      <c r="W10" s="11">
        <v>312.40910921960392</v>
      </c>
    </row>
    <row r="11" spans="1:23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</row>
    <row r="12" spans="1:23">
      <c r="A12" s="11" t="s">
        <v>17</v>
      </c>
      <c r="B12" s="11">
        <v>463.47</v>
      </c>
      <c r="C12" s="11">
        <v>417.56</v>
      </c>
      <c r="D12" s="11">
        <v>359.49</v>
      </c>
      <c r="E12" s="11">
        <v>240.79</v>
      </c>
      <c r="F12" s="11">
        <v>581.57000000000005</v>
      </c>
      <c r="G12" s="11">
        <v>393.25</v>
      </c>
      <c r="H12" s="11">
        <v>341.29</v>
      </c>
      <c r="I12" s="11">
        <v>339.96</v>
      </c>
      <c r="J12" s="11">
        <v>433.95</v>
      </c>
      <c r="K12" s="11">
        <v>390.91</v>
      </c>
      <c r="L12" s="11">
        <v>409.74</v>
      </c>
      <c r="M12" s="11">
        <v>458.26</v>
      </c>
      <c r="N12" s="11">
        <v>437.64</v>
      </c>
      <c r="O12" s="11">
        <v>545.29999999999995</v>
      </c>
      <c r="P12" s="11">
        <v>683.87</v>
      </c>
      <c r="Q12" s="11">
        <v>815.82</v>
      </c>
      <c r="R12" s="11">
        <v>743.83</v>
      </c>
      <c r="S12" s="11">
        <v>672.21</v>
      </c>
      <c r="T12" s="11">
        <v>625.24935369590537</v>
      </c>
      <c r="U12" s="11">
        <v>564.75643866592509</v>
      </c>
      <c r="V12" s="11">
        <v>513.79664492428992</v>
      </c>
      <c r="W12" s="11">
        <v>572.81646662485434</v>
      </c>
    </row>
    <row r="13" spans="1:23">
      <c r="A13" s="11" t="s">
        <v>18</v>
      </c>
      <c r="B13" s="11">
        <v>220.91</v>
      </c>
      <c r="C13" s="11">
        <v>211.96</v>
      </c>
      <c r="D13" s="11">
        <v>234.6</v>
      </c>
      <c r="E13" s="11">
        <v>361.24</v>
      </c>
      <c r="F13" s="11">
        <v>360.94</v>
      </c>
      <c r="G13" s="11">
        <v>346.88</v>
      </c>
      <c r="H13" s="11">
        <v>378.55</v>
      </c>
      <c r="I13" s="11">
        <v>231.36</v>
      </c>
      <c r="J13" s="11">
        <v>228.16</v>
      </c>
      <c r="K13" s="11">
        <v>247.38</v>
      </c>
      <c r="L13" s="11">
        <v>286.12</v>
      </c>
      <c r="M13" s="11">
        <v>306.64</v>
      </c>
      <c r="N13" s="11">
        <v>336.98</v>
      </c>
      <c r="O13" s="11">
        <v>365.56</v>
      </c>
      <c r="P13" s="11">
        <v>436.77</v>
      </c>
      <c r="Q13" s="11">
        <v>431.32</v>
      </c>
      <c r="R13" s="11">
        <v>475.03</v>
      </c>
      <c r="S13" s="11">
        <v>487.45</v>
      </c>
      <c r="T13" s="11">
        <v>505.50585547889972</v>
      </c>
      <c r="U13" s="11">
        <v>462.80200883333276</v>
      </c>
      <c r="V13" s="11">
        <v>495.34294812292796</v>
      </c>
      <c r="W13" s="11">
        <v>495.54971274975355</v>
      </c>
    </row>
    <row r="14" spans="1:23">
      <c r="A14" s="11" t="s">
        <v>19</v>
      </c>
      <c r="B14" s="11">
        <v>421</v>
      </c>
      <c r="C14" s="11">
        <v>398.02</v>
      </c>
      <c r="D14" s="11">
        <v>375.99</v>
      </c>
      <c r="E14" s="11">
        <v>436.98</v>
      </c>
      <c r="F14" s="11">
        <v>436.55</v>
      </c>
      <c r="G14" s="11">
        <v>413.68</v>
      </c>
      <c r="H14" s="11">
        <v>544.83000000000004</v>
      </c>
      <c r="I14" s="11">
        <v>282.95999999999998</v>
      </c>
      <c r="J14" s="11">
        <v>320.29000000000002</v>
      </c>
      <c r="K14" s="11">
        <v>316.2</v>
      </c>
      <c r="L14" s="11">
        <v>285.25</v>
      </c>
      <c r="M14" s="11">
        <v>288.08999999999997</v>
      </c>
      <c r="N14" s="11">
        <v>315.66000000000003</v>
      </c>
      <c r="O14" s="11">
        <v>306.86</v>
      </c>
      <c r="P14" s="11">
        <v>390.75</v>
      </c>
      <c r="Q14" s="11">
        <v>380.5</v>
      </c>
      <c r="R14" s="11">
        <v>395.3</v>
      </c>
      <c r="S14" s="11">
        <v>403.46</v>
      </c>
      <c r="T14" s="11">
        <v>513.46871378908702</v>
      </c>
      <c r="U14" s="11">
        <v>462.28570842721325</v>
      </c>
      <c r="V14" s="11">
        <v>444.35848669474058</v>
      </c>
      <c r="W14" s="11">
        <v>435.60665567601467</v>
      </c>
    </row>
    <row r="15" spans="1:23">
      <c r="A15" s="11" t="s">
        <v>20</v>
      </c>
      <c r="B15" s="11">
        <v>144.72999999999999</v>
      </c>
      <c r="C15" s="11">
        <v>125.44</v>
      </c>
      <c r="D15" s="11">
        <v>103.35</v>
      </c>
      <c r="E15" s="11">
        <v>87.53</v>
      </c>
      <c r="F15" s="11">
        <v>148.11000000000001</v>
      </c>
      <c r="G15" s="11">
        <v>173.05</v>
      </c>
      <c r="H15" s="11">
        <v>191.44</v>
      </c>
      <c r="I15" s="11">
        <v>142.08000000000001</v>
      </c>
      <c r="J15" s="11">
        <v>140.66</v>
      </c>
      <c r="K15" s="11">
        <v>137.21</v>
      </c>
      <c r="L15" s="11">
        <v>153.93</v>
      </c>
      <c r="M15" s="11">
        <v>167.08</v>
      </c>
      <c r="N15" s="11">
        <v>204.51</v>
      </c>
      <c r="O15" s="11">
        <v>249.32</v>
      </c>
      <c r="P15" s="11">
        <v>241.25</v>
      </c>
      <c r="Q15" s="11">
        <v>301.86</v>
      </c>
      <c r="R15" s="11">
        <v>339.24</v>
      </c>
      <c r="S15" s="11">
        <v>366.49</v>
      </c>
      <c r="T15" s="11">
        <v>329.42110196218977</v>
      </c>
      <c r="U15" s="11">
        <v>319.88140514380922</v>
      </c>
      <c r="V15" s="11">
        <v>302.57530472179911</v>
      </c>
      <c r="W15" s="11">
        <v>342.91721243616161</v>
      </c>
    </row>
    <row r="16" spans="1:23">
      <c r="A16" s="11" t="s">
        <v>21</v>
      </c>
      <c r="B16" s="11">
        <v>95.81</v>
      </c>
      <c r="C16" s="11">
        <v>132.38</v>
      </c>
      <c r="D16" s="11">
        <v>154.49</v>
      </c>
      <c r="E16" s="11">
        <v>192.6</v>
      </c>
      <c r="F16" s="11">
        <v>158.62</v>
      </c>
      <c r="G16" s="11">
        <v>261.74</v>
      </c>
      <c r="H16" s="11">
        <v>252.93</v>
      </c>
      <c r="I16" s="11">
        <v>231.24</v>
      </c>
      <c r="J16" s="11">
        <v>227.58</v>
      </c>
      <c r="K16" s="11">
        <v>206.19</v>
      </c>
      <c r="L16" s="11">
        <v>203.7</v>
      </c>
      <c r="M16" s="11">
        <v>253.84</v>
      </c>
      <c r="N16" s="11">
        <v>308.97000000000003</v>
      </c>
      <c r="O16" s="11">
        <v>320.38</v>
      </c>
      <c r="P16" s="11">
        <v>416.15</v>
      </c>
      <c r="Q16" s="11">
        <v>426.87</v>
      </c>
      <c r="R16" s="11">
        <v>494.47</v>
      </c>
      <c r="S16" s="11">
        <v>480.41</v>
      </c>
      <c r="T16" s="11">
        <v>519.47018664994175</v>
      </c>
      <c r="U16" s="11">
        <v>451.28118704190314</v>
      </c>
      <c r="V16" s="11">
        <v>436.65039387151688</v>
      </c>
      <c r="W16" s="11">
        <v>427.23609067287873</v>
      </c>
    </row>
    <row r="17" spans="1:23">
      <c r="A17" s="11" t="s">
        <v>22</v>
      </c>
      <c r="B17" s="11">
        <v>96.88</v>
      </c>
      <c r="C17" s="11">
        <v>92.31</v>
      </c>
      <c r="D17" s="11">
        <v>66.44</v>
      </c>
      <c r="E17" s="11">
        <v>114.89</v>
      </c>
      <c r="F17" s="11">
        <v>127.02</v>
      </c>
      <c r="G17" s="11">
        <v>144.44</v>
      </c>
      <c r="H17" s="11">
        <v>153.43</v>
      </c>
      <c r="I17" s="11">
        <v>158.76</v>
      </c>
      <c r="J17" s="11">
        <v>191.96</v>
      </c>
      <c r="K17" s="11">
        <v>144.26</v>
      </c>
      <c r="L17" s="11">
        <v>206.77</v>
      </c>
      <c r="M17" s="11">
        <v>210.8</v>
      </c>
      <c r="N17" s="11">
        <v>291.18</v>
      </c>
      <c r="O17" s="11">
        <v>229.82</v>
      </c>
      <c r="P17" s="11">
        <v>324.85000000000002</v>
      </c>
      <c r="Q17" s="11">
        <v>410.08</v>
      </c>
      <c r="R17" s="11">
        <v>379.17</v>
      </c>
      <c r="S17" s="11">
        <v>336.87</v>
      </c>
      <c r="T17" s="11">
        <v>368.13555120508914</v>
      </c>
      <c r="U17" s="11">
        <v>343.57852248721264</v>
      </c>
      <c r="V17" s="11">
        <v>329.06370844906365</v>
      </c>
      <c r="W17" s="11">
        <v>315.38326601558992</v>
      </c>
    </row>
    <row r="18" spans="1:23">
      <c r="A18" s="11" t="s">
        <v>23</v>
      </c>
      <c r="B18" s="11">
        <v>213.24</v>
      </c>
      <c r="C18" s="11">
        <v>207.41</v>
      </c>
      <c r="D18" s="11">
        <v>236.28</v>
      </c>
      <c r="E18" s="11">
        <v>274.14999999999998</v>
      </c>
      <c r="F18" s="11">
        <v>375.24</v>
      </c>
      <c r="G18" s="11">
        <v>379.73</v>
      </c>
      <c r="H18" s="11">
        <v>340.58</v>
      </c>
      <c r="I18" s="11">
        <v>228.72</v>
      </c>
      <c r="J18" s="11">
        <v>275.66000000000003</v>
      </c>
      <c r="K18" s="11">
        <v>250.96</v>
      </c>
      <c r="L18" s="11">
        <v>275.55</v>
      </c>
      <c r="M18" s="11">
        <v>275.97000000000003</v>
      </c>
      <c r="N18" s="11">
        <v>358.79</v>
      </c>
      <c r="O18" s="11">
        <v>426.8</v>
      </c>
      <c r="P18" s="11">
        <v>469.05</v>
      </c>
      <c r="Q18" s="11">
        <v>455.94</v>
      </c>
      <c r="R18" s="11">
        <v>499.49</v>
      </c>
      <c r="S18" s="11">
        <v>534.44000000000005</v>
      </c>
      <c r="T18" s="11">
        <v>465.47159546635612</v>
      </c>
      <c r="U18" s="11">
        <v>495.89423474607332</v>
      </c>
      <c r="V18" s="11">
        <v>482.24572260550127</v>
      </c>
      <c r="W18" s="11">
        <v>483.37713287339835</v>
      </c>
    </row>
    <row r="19" spans="1:23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</row>
    <row r="20" spans="1:23">
      <c r="A20" s="11" t="s">
        <v>24</v>
      </c>
      <c r="B20" s="11">
        <v>121.38</v>
      </c>
      <c r="C20" s="11">
        <v>110.55</v>
      </c>
      <c r="D20" s="11">
        <v>134.88999999999999</v>
      </c>
      <c r="E20" s="11">
        <v>161.15</v>
      </c>
      <c r="F20" s="11">
        <v>156.66</v>
      </c>
      <c r="G20" s="11">
        <v>187.41</v>
      </c>
      <c r="H20" s="11">
        <v>201.03</v>
      </c>
      <c r="I20" s="11">
        <v>191.04</v>
      </c>
      <c r="J20" s="11">
        <v>196.16</v>
      </c>
      <c r="K20" s="11">
        <v>181.12</v>
      </c>
      <c r="L20" s="11">
        <v>190.08</v>
      </c>
      <c r="M20" s="11">
        <v>230.19</v>
      </c>
      <c r="N20" s="11">
        <v>288.01</v>
      </c>
      <c r="O20" s="11">
        <v>332.85</v>
      </c>
      <c r="P20" s="11">
        <v>340.22</v>
      </c>
      <c r="Q20" s="11">
        <v>444.66</v>
      </c>
      <c r="R20" s="11">
        <v>458.19</v>
      </c>
      <c r="S20" s="11">
        <v>546.23</v>
      </c>
      <c r="T20" s="11">
        <v>469.6546623779231</v>
      </c>
      <c r="U20" s="11">
        <v>481.5351246829108</v>
      </c>
      <c r="V20" s="11">
        <v>451.44601272287429</v>
      </c>
      <c r="W20" s="11">
        <v>438.51948965146488</v>
      </c>
    </row>
    <row r="21" spans="1:23">
      <c r="A21" s="11" t="s">
        <v>25</v>
      </c>
      <c r="B21" s="11">
        <v>138.37</v>
      </c>
      <c r="C21" s="11">
        <v>146.72999999999999</v>
      </c>
      <c r="D21" s="11">
        <v>119.21</v>
      </c>
      <c r="E21" s="11">
        <v>149.13999999999999</v>
      </c>
      <c r="F21" s="11">
        <v>139.02000000000001</v>
      </c>
      <c r="G21" s="11">
        <v>198.65</v>
      </c>
      <c r="H21" s="11">
        <v>184.17</v>
      </c>
      <c r="I21" s="11">
        <v>217.2</v>
      </c>
      <c r="J21" s="11">
        <v>207.37</v>
      </c>
      <c r="K21" s="11">
        <v>153.32</v>
      </c>
      <c r="L21" s="11">
        <v>162.59</v>
      </c>
      <c r="M21" s="11">
        <v>162.55000000000001</v>
      </c>
      <c r="N21" s="11">
        <v>234.27</v>
      </c>
      <c r="O21" s="11">
        <v>265.01</v>
      </c>
      <c r="P21" s="11">
        <v>354.79</v>
      </c>
      <c r="Q21" s="11">
        <v>398.27</v>
      </c>
      <c r="R21" s="11">
        <v>317.76</v>
      </c>
      <c r="S21" s="11">
        <v>400.45</v>
      </c>
      <c r="T21" s="11">
        <v>388.32498983962012</v>
      </c>
      <c r="U21" s="11">
        <v>355.16344914737755</v>
      </c>
      <c r="V21" s="11">
        <v>359.04688307499322</v>
      </c>
      <c r="W21" s="11">
        <v>356.8374926977869</v>
      </c>
    </row>
    <row r="22" spans="1:23">
      <c r="A22" s="11" t="s">
        <v>26</v>
      </c>
      <c r="B22" s="11">
        <v>196.04</v>
      </c>
      <c r="C22" s="11">
        <v>145.35</v>
      </c>
      <c r="D22" s="11">
        <v>149.63999999999999</v>
      </c>
      <c r="E22" s="11">
        <v>158.1</v>
      </c>
      <c r="F22" s="11">
        <v>226.28</v>
      </c>
      <c r="G22" s="11">
        <v>335.59</v>
      </c>
      <c r="H22" s="11">
        <v>257.08</v>
      </c>
      <c r="I22" s="11">
        <v>227.52</v>
      </c>
      <c r="J22" s="11">
        <v>208.98</v>
      </c>
      <c r="K22" s="11">
        <v>168.05</v>
      </c>
      <c r="L22" s="11">
        <v>204.97</v>
      </c>
      <c r="M22" s="11">
        <v>235.6</v>
      </c>
      <c r="N22" s="11">
        <v>248.54</v>
      </c>
      <c r="O22" s="11">
        <v>254.18</v>
      </c>
      <c r="P22" s="11">
        <v>342.4</v>
      </c>
      <c r="Q22" s="11">
        <v>379.81</v>
      </c>
      <c r="R22" s="11">
        <v>362.01</v>
      </c>
      <c r="S22" s="11">
        <v>377.7</v>
      </c>
      <c r="T22" s="11">
        <v>420.37806083684262</v>
      </c>
      <c r="U22" s="11">
        <v>380.80278173313883</v>
      </c>
      <c r="V22" s="11">
        <v>392.786119881731</v>
      </c>
      <c r="W22" s="11">
        <v>424.38457951796426</v>
      </c>
    </row>
    <row r="23" spans="1:23">
      <c r="A23" s="11" t="s">
        <v>27</v>
      </c>
      <c r="B23" s="11">
        <v>340.9</v>
      </c>
      <c r="C23" s="11">
        <v>278.02999999999997</v>
      </c>
      <c r="D23" s="11">
        <v>273.19</v>
      </c>
      <c r="E23" s="11">
        <v>257.7</v>
      </c>
      <c r="F23" s="11">
        <v>297.14999999999998</v>
      </c>
      <c r="G23" s="11">
        <v>324.01</v>
      </c>
      <c r="H23" s="11">
        <v>265.45</v>
      </c>
      <c r="I23" s="11">
        <v>268.44</v>
      </c>
      <c r="J23" s="11">
        <v>316.89</v>
      </c>
      <c r="K23" s="11">
        <v>243.27</v>
      </c>
      <c r="L23" s="11">
        <v>230.86</v>
      </c>
      <c r="M23" s="11">
        <v>229.38</v>
      </c>
      <c r="N23" s="11">
        <v>355.14</v>
      </c>
      <c r="O23" s="11">
        <v>348.66</v>
      </c>
      <c r="P23" s="11">
        <v>385.2</v>
      </c>
      <c r="Q23" s="11">
        <v>412.48</v>
      </c>
      <c r="R23" s="11">
        <v>464.92</v>
      </c>
      <c r="S23" s="11">
        <v>452.9</v>
      </c>
      <c r="T23" s="11">
        <v>564.25209929217806</v>
      </c>
      <c r="U23" s="11">
        <v>473.16145860650545</v>
      </c>
      <c r="V23" s="11">
        <v>498.51110491891404</v>
      </c>
      <c r="W23" s="11">
        <v>527.95882340292087</v>
      </c>
    </row>
    <row r="24" spans="1:23">
      <c r="A24" s="11" t="s">
        <v>28</v>
      </c>
      <c r="B24" s="11">
        <v>250.31</v>
      </c>
      <c r="C24" s="11">
        <v>195.32</v>
      </c>
      <c r="D24" s="11">
        <v>166.24</v>
      </c>
      <c r="E24" s="11">
        <v>178.44</v>
      </c>
      <c r="F24" s="11">
        <v>194.98</v>
      </c>
      <c r="G24" s="11">
        <v>259.5</v>
      </c>
      <c r="H24" s="11">
        <v>280.18</v>
      </c>
      <c r="I24" s="11">
        <v>206.76</v>
      </c>
      <c r="J24" s="11">
        <v>199.45</v>
      </c>
      <c r="K24" s="11">
        <v>231.27</v>
      </c>
      <c r="L24" s="11">
        <v>209.65</v>
      </c>
      <c r="M24" s="11">
        <v>167.4</v>
      </c>
      <c r="N24" s="11">
        <v>229.47</v>
      </c>
      <c r="O24" s="11">
        <v>294.83</v>
      </c>
      <c r="P24" s="11">
        <v>406.93</v>
      </c>
      <c r="Q24" s="11">
        <v>427.17</v>
      </c>
      <c r="R24" s="11">
        <v>388.63</v>
      </c>
      <c r="S24" s="11">
        <v>531.66999999999996</v>
      </c>
      <c r="T24" s="11">
        <v>398.3115579965953</v>
      </c>
      <c r="U24" s="11">
        <v>313.52666430822484</v>
      </c>
      <c r="V24" s="11">
        <v>310.93662575038076</v>
      </c>
      <c r="W24" s="11">
        <v>316.67104524684163</v>
      </c>
    </row>
    <row r="25" spans="1:23">
      <c r="A25" s="11" t="s">
        <v>29</v>
      </c>
      <c r="B25" s="11">
        <v>147.11000000000001</v>
      </c>
      <c r="C25" s="11">
        <v>95.85</v>
      </c>
      <c r="D25" s="11">
        <v>90.82</v>
      </c>
      <c r="E25" s="11">
        <v>70.180000000000007</v>
      </c>
      <c r="F25" s="11">
        <v>71.2</v>
      </c>
      <c r="G25" s="11">
        <v>67.010000000000005</v>
      </c>
      <c r="H25" s="11">
        <v>117.91</v>
      </c>
      <c r="I25" s="11">
        <v>113.64</v>
      </c>
      <c r="J25" s="11">
        <v>137.37</v>
      </c>
      <c r="K25" s="11">
        <v>134.21</v>
      </c>
      <c r="L25" s="11">
        <v>118.46</v>
      </c>
      <c r="M25" s="11">
        <v>168.02</v>
      </c>
      <c r="N25" s="11">
        <v>241.37</v>
      </c>
      <c r="O25" s="11">
        <v>255.76</v>
      </c>
      <c r="P25" s="11">
        <v>235.43</v>
      </c>
      <c r="Q25" s="11">
        <v>211.88</v>
      </c>
      <c r="R25" s="11">
        <v>261.39</v>
      </c>
      <c r="S25" s="11">
        <v>269.74</v>
      </c>
      <c r="T25" s="11">
        <v>377.90215090045695</v>
      </c>
      <c r="U25" s="11">
        <v>331.96269174206702</v>
      </c>
      <c r="V25" s="11">
        <v>314.9539792133321</v>
      </c>
      <c r="W25" s="11">
        <v>292.50985395573872</v>
      </c>
    </row>
    <row r="26" spans="1:23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</row>
    <row r="27" spans="1:23">
      <c r="A27" s="11" t="s">
        <v>30</v>
      </c>
      <c r="B27" s="11"/>
      <c r="C27" s="11"/>
      <c r="D27" s="11">
        <v>285.63</v>
      </c>
      <c r="E27" s="11">
        <v>275.97000000000003</v>
      </c>
      <c r="F27" s="11">
        <v>347.07</v>
      </c>
      <c r="G27" s="11">
        <v>299.63</v>
      </c>
      <c r="H27" s="11">
        <v>300.82</v>
      </c>
      <c r="I27" s="11">
        <v>260.16000000000003</v>
      </c>
      <c r="J27" s="11">
        <v>253.06</v>
      </c>
      <c r="K27" s="11">
        <v>258.89999999999998</v>
      </c>
      <c r="L27" s="11">
        <v>334.07</v>
      </c>
      <c r="M27" s="11">
        <v>305.04000000000002</v>
      </c>
      <c r="N27" s="11">
        <v>385.64</v>
      </c>
      <c r="O27" s="11">
        <v>405.48</v>
      </c>
      <c r="P27" s="11">
        <v>483.87</v>
      </c>
      <c r="Q27" s="11">
        <v>490.55</v>
      </c>
      <c r="R27" s="11">
        <v>483.89</v>
      </c>
      <c r="S27" s="11">
        <v>414.35</v>
      </c>
      <c r="T27" s="11">
        <v>486.09730488307503</v>
      </c>
      <c r="U27" s="11">
        <v>448.04727263447751</v>
      </c>
      <c r="V27" s="11">
        <v>447.65728913179817</v>
      </c>
      <c r="W27" s="11">
        <v>449.49627452737207</v>
      </c>
    </row>
    <row r="28" spans="1:23">
      <c r="A28" s="11" t="s">
        <v>31</v>
      </c>
      <c r="B28" s="11">
        <v>167.93</v>
      </c>
      <c r="C28" s="11">
        <v>151.63</v>
      </c>
      <c r="D28" s="11">
        <v>153.55000000000001</v>
      </c>
      <c r="E28" s="11">
        <v>242.35</v>
      </c>
      <c r="F28" s="11">
        <v>169.08</v>
      </c>
      <c r="G28" s="11">
        <v>213.58</v>
      </c>
      <c r="H28" s="11">
        <v>239.77</v>
      </c>
      <c r="I28" s="11">
        <v>207.48</v>
      </c>
      <c r="J28" s="11">
        <v>217.25</v>
      </c>
      <c r="K28" s="11">
        <v>187.04</v>
      </c>
      <c r="L28" s="11">
        <v>202.6</v>
      </c>
      <c r="M28" s="11">
        <v>241.46</v>
      </c>
      <c r="N28" s="11">
        <v>259.33</v>
      </c>
      <c r="O28" s="11">
        <v>211.86</v>
      </c>
      <c r="P28" s="11">
        <v>279.13</v>
      </c>
      <c r="Q28" s="11">
        <v>380.93</v>
      </c>
      <c r="R28" s="11">
        <v>421</v>
      </c>
      <c r="S28" s="11">
        <v>414.6</v>
      </c>
      <c r="T28" s="11">
        <v>438.70876597079121</v>
      </c>
      <c r="U28" s="11">
        <v>419.62316490353123</v>
      </c>
      <c r="V28" s="11">
        <v>408.72488809246482</v>
      </c>
      <c r="W28" s="11">
        <v>402.00175002239934</v>
      </c>
    </row>
    <row r="29" spans="1:23">
      <c r="A29" s="11" t="s">
        <v>32</v>
      </c>
      <c r="B29" s="11">
        <v>162.69999999999999</v>
      </c>
      <c r="C29" s="11">
        <v>140.51</v>
      </c>
      <c r="D29" s="11">
        <v>122.47</v>
      </c>
      <c r="E29" s="11">
        <v>177.69</v>
      </c>
      <c r="F29" s="11">
        <v>290.98</v>
      </c>
      <c r="G29" s="11">
        <v>239.24</v>
      </c>
      <c r="H29" s="11">
        <v>187.38</v>
      </c>
      <c r="I29" s="11">
        <v>110.64</v>
      </c>
      <c r="J29" s="11">
        <v>100.69</v>
      </c>
      <c r="K29" s="11">
        <v>89.31</v>
      </c>
      <c r="L29" s="11">
        <v>113.47</v>
      </c>
      <c r="M29" s="11">
        <v>159.55000000000001</v>
      </c>
      <c r="N29" s="11">
        <v>162.6</v>
      </c>
      <c r="O29" s="11">
        <v>186.1</v>
      </c>
      <c r="P29" s="11">
        <v>212.21</v>
      </c>
      <c r="Q29" s="11">
        <v>199.59</v>
      </c>
      <c r="R29" s="11">
        <v>366.57</v>
      </c>
      <c r="S29" s="11">
        <v>270.72000000000003</v>
      </c>
      <c r="T29" s="11">
        <v>397.32536606038889</v>
      </c>
      <c r="U29" s="11">
        <v>377.99824303298584</v>
      </c>
      <c r="V29" s="11">
        <v>352.25330973927066</v>
      </c>
      <c r="W29" s="11">
        <v>389.46123322282943</v>
      </c>
    </row>
    <row r="30" spans="1:23">
      <c r="A30" s="11" t="s">
        <v>33</v>
      </c>
      <c r="B30" s="11">
        <v>115.69</v>
      </c>
      <c r="C30" s="11">
        <v>155.41</v>
      </c>
      <c r="D30" s="11">
        <v>161.62</v>
      </c>
      <c r="E30" s="11">
        <v>270.14999999999998</v>
      </c>
      <c r="F30" s="11">
        <v>215.35</v>
      </c>
      <c r="G30" s="11">
        <v>221.11</v>
      </c>
      <c r="H30" s="11">
        <v>171.94</v>
      </c>
      <c r="I30" s="11">
        <v>155.4</v>
      </c>
      <c r="J30" s="11">
        <v>123.74</v>
      </c>
      <c r="K30" s="11">
        <v>141.13999999999999</v>
      </c>
      <c r="L30" s="11">
        <v>131.74</v>
      </c>
      <c r="M30" s="11">
        <v>158.15</v>
      </c>
      <c r="N30" s="11">
        <v>146.49</v>
      </c>
      <c r="O30" s="11">
        <v>158.97</v>
      </c>
      <c r="P30" s="11">
        <v>194.4</v>
      </c>
      <c r="Q30" s="11">
        <v>220.31</v>
      </c>
      <c r="R30" s="11">
        <v>230.55</v>
      </c>
      <c r="S30" s="11">
        <v>241.99</v>
      </c>
      <c r="T30" s="11">
        <v>361.93610672878776</v>
      </c>
      <c r="U30" s="11">
        <v>317.67517463560591</v>
      </c>
      <c r="V30" s="11">
        <v>346.66820858346028</v>
      </c>
      <c r="W30" s="11">
        <v>348.03766795090036</v>
      </c>
    </row>
    <row r="31" spans="1:23">
      <c r="A31" s="11" t="s">
        <v>34</v>
      </c>
      <c r="B31" s="11"/>
      <c r="C31" s="11">
        <v>85.75</v>
      </c>
      <c r="D31" s="11"/>
      <c r="E31" s="11"/>
      <c r="F31" s="11">
        <v>116.29</v>
      </c>
      <c r="G31" s="11">
        <v>150.88999999999999</v>
      </c>
      <c r="H31" s="11">
        <v>144.12</v>
      </c>
      <c r="I31" s="11">
        <v>191.04</v>
      </c>
      <c r="J31" s="11">
        <v>204.37</v>
      </c>
      <c r="K31" s="11">
        <v>121.1</v>
      </c>
      <c r="L31" s="11">
        <v>96.27</v>
      </c>
      <c r="M31" s="11">
        <v>59.21</v>
      </c>
      <c r="N31" s="11">
        <v>41.89</v>
      </c>
      <c r="O31" s="11">
        <v>39.799999999999997</v>
      </c>
      <c r="P31" s="11">
        <v>92.82</v>
      </c>
      <c r="Q31" s="11">
        <v>75.62</v>
      </c>
      <c r="R31" s="11">
        <v>76.010000000000005</v>
      </c>
      <c r="S31" s="11">
        <v>95.16</v>
      </c>
      <c r="T31" s="11">
        <v>198.50687203655588</v>
      </c>
      <c r="U31" s="11">
        <v>308.86173147221899</v>
      </c>
      <c r="V31" s="11">
        <v>241.53112893109935</v>
      </c>
      <c r="W31" s="11">
        <v>301.40166293342884</v>
      </c>
    </row>
    <row r="32" spans="1:23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</row>
    <row r="33" spans="1:23">
      <c r="A33" s="11" t="s">
        <v>35</v>
      </c>
      <c r="B33" s="11">
        <v>184.81</v>
      </c>
      <c r="C33" s="11">
        <v>170.34</v>
      </c>
      <c r="D33" s="11">
        <v>180.01</v>
      </c>
      <c r="E33" s="11">
        <v>183.03</v>
      </c>
      <c r="F33" s="11">
        <v>257.89</v>
      </c>
      <c r="G33" s="11">
        <v>282.70999999999998</v>
      </c>
      <c r="H33" s="11">
        <v>328.22</v>
      </c>
      <c r="I33" s="11">
        <v>266.16000000000003</v>
      </c>
      <c r="J33" s="11">
        <v>204.4</v>
      </c>
      <c r="K33" s="11">
        <v>225.57</v>
      </c>
      <c r="L33" s="11">
        <v>177.65</v>
      </c>
      <c r="M33" s="11">
        <v>262.52</v>
      </c>
      <c r="N33" s="11">
        <v>259.13</v>
      </c>
      <c r="O33" s="11">
        <v>287.22000000000003</v>
      </c>
      <c r="P33" s="11">
        <v>319.11</v>
      </c>
      <c r="Q33" s="11">
        <v>288.92</v>
      </c>
      <c r="R33" s="11">
        <v>365.93</v>
      </c>
      <c r="S33" s="11">
        <v>369.93</v>
      </c>
      <c r="T33" s="11">
        <v>388.79058975002243</v>
      </c>
      <c r="U33" s="11">
        <v>407.62517490481667</v>
      </c>
      <c r="V33" s="11">
        <v>423.91244386703698</v>
      </c>
      <c r="W33" s="11">
        <v>419.35610823402919</v>
      </c>
    </row>
    <row r="34" spans="1:23">
      <c r="A34" s="11" t="s">
        <v>36</v>
      </c>
      <c r="B34" s="11">
        <v>91.31</v>
      </c>
      <c r="C34" s="11">
        <v>88.94</v>
      </c>
      <c r="D34" s="11">
        <v>79.459999999999994</v>
      </c>
      <c r="E34" s="11">
        <v>91.12</v>
      </c>
      <c r="F34" s="11">
        <v>169.89</v>
      </c>
      <c r="G34" s="11">
        <v>227.1</v>
      </c>
      <c r="H34" s="11">
        <v>202</v>
      </c>
      <c r="I34" s="11">
        <v>164.04</v>
      </c>
      <c r="J34" s="11">
        <v>139.68</v>
      </c>
      <c r="K34" s="11">
        <v>158.97</v>
      </c>
      <c r="L34" s="11">
        <v>186.47</v>
      </c>
      <c r="M34" s="11">
        <v>211.2</v>
      </c>
      <c r="N34" s="11">
        <v>250.69</v>
      </c>
      <c r="O34" s="11">
        <v>238.04</v>
      </c>
      <c r="P34" s="11">
        <v>248.89</v>
      </c>
      <c r="Q34" s="11">
        <v>268.67</v>
      </c>
      <c r="R34" s="11">
        <v>267.14</v>
      </c>
      <c r="S34" s="11">
        <v>356.06</v>
      </c>
      <c r="T34" s="11">
        <v>344.4266171848401</v>
      </c>
      <c r="U34" s="11">
        <v>377.63701921631338</v>
      </c>
      <c r="V34" s="11">
        <v>367.40820410357497</v>
      </c>
      <c r="W34" s="11">
        <v>407.52080387062085</v>
      </c>
    </row>
    <row r="35" spans="1:23">
      <c r="A35" s="11" t="s">
        <v>37</v>
      </c>
      <c r="B35" s="11">
        <v>114.56</v>
      </c>
      <c r="C35" s="11">
        <v>97.62</v>
      </c>
      <c r="D35" s="11">
        <v>91.12</v>
      </c>
      <c r="E35" s="11">
        <v>102.22</v>
      </c>
      <c r="F35" s="11">
        <v>141.07</v>
      </c>
      <c r="G35" s="11">
        <v>204.85</v>
      </c>
      <c r="H35" s="11">
        <v>210.57</v>
      </c>
      <c r="I35" s="11">
        <v>119.16</v>
      </c>
      <c r="J35" s="11">
        <v>185.07</v>
      </c>
      <c r="K35" s="11">
        <v>259.98</v>
      </c>
      <c r="L35" s="11">
        <v>168.3</v>
      </c>
      <c r="M35" s="11">
        <v>216.26</v>
      </c>
      <c r="N35" s="11">
        <v>230.31</v>
      </c>
      <c r="O35" s="11">
        <v>242.21</v>
      </c>
      <c r="P35" s="11">
        <v>221.7</v>
      </c>
      <c r="Q35" s="11">
        <v>266.20999999999998</v>
      </c>
      <c r="R35" s="11">
        <v>295.37</v>
      </c>
      <c r="S35" s="11">
        <v>414.26</v>
      </c>
      <c r="T35" s="11">
        <v>326.31588051249889</v>
      </c>
      <c r="U35" s="11">
        <v>349.64211441145699</v>
      </c>
      <c r="V35" s="11">
        <v>385.3719797509184</v>
      </c>
      <c r="W35" s="11">
        <v>405.37450515186805</v>
      </c>
    </row>
    <row r="36" spans="1:23">
      <c r="A36" s="11" t="s">
        <v>38</v>
      </c>
      <c r="B36" s="11">
        <v>129.72</v>
      </c>
      <c r="C36" s="11">
        <v>108.07</v>
      </c>
      <c r="D36" s="11">
        <v>131.26</v>
      </c>
      <c r="E36" s="11">
        <v>120.22</v>
      </c>
      <c r="F36" s="11">
        <v>154.72</v>
      </c>
      <c r="G36" s="11">
        <v>228.34</v>
      </c>
      <c r="H36" s="11">
        <v>297.92</v>
      </c>
      <c r="I36" s="11">
        <v>192.12</v>
      </c>
      <c r="J36" s="11">
        <v>205.31</v>
      </c>
      <c r="K36" s="11">
        <v>196.32</v>
      </c>
      <c r="L36" s="11">
        <v>225.77</v>
      </c>
      <c r="M36" s="11">
        <v>260.87</v>
      </c>
      <c r="N36" s="11">
        <v>229.25</v>
      </c>
      <c r="O36" s="11">
        <v>303.8</v>
      </c>
      <c r="P36" s="11">
        <v>328.62</v>
      </c>
      <c r="Q36" s="11">
        <v>318.48</v>
      </c>
      <c r="R36" s="11">
        <v>369.99</v>
      </c>
      <c r="S36" s="11">
        <v>372.95</v>
      </c>
      <c r="T36" s="11">
        <v>367.28134034584718</v>
      </c>
      <c r="U36" s="11">
        <v>379.49463212842426</v>
      </c>
      <c r="V36" s="11">
        <v>387.16835731565271</v>
      </c>
      <c r="W36" s="11">
        <v>381.76521924558722</v>
      </c>
    </row>
    <row r="37" spans="1:23">
      <c r="A37" s="11" t="s">
        <v>39</v>
      </c>
      <c r="B37" s="11">
        <v>127.53</v>
      </c>
      <c r="C37" s="11">
        <v>116.32</v>
      </c>
      <c r="D37" s="11">
        <v>140.35</v>
      </c>
      <c r="E37" s="11">
        <v>122.29</v>
      </c>
      <c r="F37" s="11">
        <v>255.17</v>
      </c>
      <c r="G37" s="11">
        <v>229.1</v>
      </c>
      <c r="H37" s="11">
        <v>233.33</v>
      </c>
      <c r="I37" s="11">
        <v>184.56</v>
      </c>
      <c r="J37" s="11">
        <v>113.71</v>
      </c>
      <c r="K37" s="11">
        <v>130.41999999999999</v>
      </c>
      <c r="L37" s="11">
        <v>121.97</v>
      </c>
      <c r="M37" s="11">
        <v>139.97</v>
      </c>
      <c r="N37" s="11">
        <v>201.08</v>
      </c>
      <c r="O37" s="11">
        <v>223.22</v>
      </c>
      <c r="P37" s="11">
        <v>202.88</v>
      </c>
      <c r="Q37" s="11">
        <v>259.25</v>
      </c>
      <c r="R37" s="11">
        <v>279.89</v>
      </c>
      <c r="S37" s="11">
        <v>303.05</v>
      </c>
      <c r="T37" s="11">
        <v>358.47526959949823</v>
      </c>
      <c r="U37" s="11">
        <v>376.96303449847522</v>
      </c>
      <c r="V37" s="11">
        <v>420.12372027596092</v>
      </c>
      <c r="W37" s="11">
        <v>473.35085171579601</v>
      </c>
    </row>
    <row r="38" spans="1:23">
      <c r="A38" s="10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</row>
  </sheetData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930C7-4E18-9545-8322-A3672F6F9048}">
  <dimension ref="A1:W38"/>
  <sheetViews>
    <sheetView workbookViewId="0">
      <selection activeCell="G23" sqref="G23"/>
    </sheetView>
  </sheetViews>
  <sheetFormatPr baseColWidth="10" defaultRowHeight="16"/>
  <cols>
    <col min="1" max="1" width="19" customWidth="1"/>
  </cols>
  <sheetData>
    <row r="1" spans="1:23" ht="17">
      <c r="A1" s="23" t="s">
        <v>6</v>
      </c>
      <c r="B1" s="23">
        <v>1995</v>
      </c>
      <c r="C1" s="23">
        <v>1996</v>
      </c>
      <c r="D1" s="23">
        <v>1997</v>
      </c>
      <c r="E1" s="23">
        <v>1998</v>
      </c>
      <c r="F1" s="23">
        <v>1999</v>
      </c>
      <c r="G1" s="23">
        <v>2000</v>
      </c>
      <c r="H1" s="23">
        <v>2001</v>
      </c>
      <c r="I1" s="23">
        <v>2002</v>
      </c>
      <c r="J1" s="23">
        <v>2003</v>
      </c>
      <c r="K1" s="23">
        <v>2004</v>
      </c>
      <c r="L1" s="23">
        <v>2005</v>
      </c>
      <c r="M1" s="23">
        <v>2006</v>
      </c>
      <c r="N1" s="23">
        <v>2007</v>
      </c>
      <c r="O1" s="23">
        <v>2008</v>
      </c>
      <c r="P1" s="23">
        <v>2009</v>
      </c>
      <c r="Q1" s="23">
        <v>2010</v>
      </c>
      <c r="R1" s="23">
        <v>2011</v>
      </c>
      <c r="S1" s="23">
        <v>2012</v>
      </c>
      <c r="T1" s="23">
        <v>2013</v>
      </c>
      <c r="U1" s="23">
        <v>2014</v>
      </c>
      <c r="V1" s="23">
        <v>2015</v>
      </c>
      <c r="W1" s="23">
        <v>2016</v>
      </c>
    </row>
    <row r="2" spans="1:23">
      <c r="A2" s="16" t="s">
        <v>9</v>
      </c>
      <c r="B2" s="11">
        <v>116.01647470869537</v>
      </c>
      <c r="C2" s="11">
        <v>101.9979335904746</v>
      </c>
      <c r="D2" s="11">
        <v>113.23629650667425</v>
      </c>
      <c r="E2" s="11">
        <v>120.44161953871591</v>
      </c>
      <c r="F2" s="11">
        <v>145.83227976130271</v>
      </c>
      <c r="G2" s="11">
        <v>138.77068749793693</v>
      </c>
      <c r="H2" s="11">
        <v>124.67984459879786</v>
      </c>
      <c r="I2" s="11">
        <v>118.68170749847525</v>
      </c>
      <c r="J2" s="11">
        <v>112.57860102364123</v>
      </c>
      <c r="K2" s="11">
        <v>110.89942386243867</v>
      </c>
      <c r="L2" s="11">
        <v>156.08530322503086</v>
      </c>
      <c r="M2" s="11">
        <v>142.38574523570713</v>
      </c>
      <c r="N2" s="11">
        <v>161.37059654370222</v>
      </c>
      <c r="O2" s="11">
        <v>179.98237640936691</v>
      </c>
      <c r="P2" s="11">
        <v>240.88448341593596</v>
      </c>
      <c r="Q2" s="11">
        <v>205.82648898678414</v>
      </c>
      <c r="R2" s="11">
        <v>295.94759186864735</v>
      </c>
      <c r="S2" s="11">
        <v>299.06495898608216</v>
      </c>
      <c r="T2" s="11">
        <v>329.29278702625214</v>
      </c>
      <c r="U2" s="11">
        <v>344.74238652450498</v>
      </c>
      <c r="V2" s="11">
        <v>324.2951425499507</v>
      </c>
      <c r="W2" s="11">
        <v>354.59920974823041</v>
      </c>
    </row>
    <row r="3" spans="1:23">
      <c r="A3" s="11" t="s">
        <v>10</v>
      </c>
      <c r="B3" s="11">
        <v>39.285032329763588</v>
      </c>
      <c r="C3" s="11">
        <v>46.13355123260105</v>
      </c>
      <c r="D3" s="11">
        <v>56.716614598125538</v>
      </c>
      <c r="E3" s="11">
        <v>64.437084325869463</v>
      </c>
      <c r="F3" s="11">
        <v>59.133995397997367</v>
      </c>
      <c r="G3" s="11">
        <v>56.000776101230322</v>
      </c>
      <c r="H3" s="11">
        <v>42.291787943864328</v>
      </c>
      <c r="I3" s="11">
        <v>38.855042201589967</v>
      </c>
      <c r="J3" s="11">
        <v>40.064967097245912</v>
      </c>
      <c r="K3" s="11">
        <v>52.951461088342292</v>
      </c>
      <c r="L3" s="11">
        <v>55.91823545342789</v>
      </c>
      <c r="M3" s="11">
        <v>57.435705115346039</v>
      </c>
      <c r="N3" s="11">
        <v>60.126736457294783</v>
      </c>
      <c r="O3" s="11">
        <v>68.678191673894204</v>
      </c>
      <c r="P3" s="11">
        <v>85.691917651544045</v>
      </c>
      <c r="Q3" s="11">
        <v>101.26618061674009</v>
      </c>
      <c r="R3" s="11">
        <v>145.91112587959341</v>
      </c>
      <c r="S3" s="11">
        <v>174.47917377525661</v>
      </c>
      <c r="T3" s="11">
        <v>219.63850891497179</v>
      </c>
      <c r="U3" s="11">
        <v>308.83316548696354</v>
      </c>
      <c r="V3" s="11">
        <v>376.81469026072932</v>
      </c>
      <c r="W3" s="11">
        <v>334.51598602275777</v>
      </c>
    </row>
    <row r="4" spans="1:23">
      <c r="A4" s="11" t="s">
        <v>11</v>
      </c>
      <c r="B4" s="11">
        <v>34.378098269010572</v>
      </c>
      <c r="C4" s="11">
        <v>42.179555928224055</v>
      </c>
      <c r="D4" s="11">
        <v>43.013381615071474</v>
      </c>
      <c r="E4" s="11">
        <v>43.40365580248298</v>
      </c>
      <c r="F4" s="11">
        <v>47.46858248204714</v>
      </c>
      <c r="G4" s="11">
        <v>38.580149792693632</v>
      </c>
      <c r="H4" s="11">
        <v>38.013061243953729</v>
      </c>
      <c r="I4" s="11">
        <v>36.187756933050231</v>
      </c>
      <c r="J4" s="11">
        <v>37.300609310260782</v>
      </c>
      <c r="K4" s="11">
        <v>39.241913057506586</v>
      </c>
      <c r="L4" s="11">
        <v>48.459084380660713</v>
      </c>
      <c r="M4" s="11">
        <v>54.3530110330993</v>
      </c>
      <c r="N4" s="11">
        <v>66.630898969757396</v>
      </c>
      <c r="O4" s="11">
        <v>67.931543798785782</v>
      </c>
      <c r="P4" s="11">
        <v>77.739992375142975</v>
      </c>
      <c r="Q4" s="11">
        <v>95.129889867841413</v>
      </c>
      <c r="R4" s="11">
        <v>131.25705629397967</v>
      </c>
      <c r="S4" s="11">
        <v>135.27730955302837</v>
      </c>
      <c r="T4" s="11">
        <v>140.26655568497449</v>
      </c>
      <c r="U4" s="11">
        <v>176.07996416091748</v>
      </c>
      <c r="V4" s="11">
        <v>172.28893916315741</v>
      </c>
      <c r="W4" s="11">
        <v>183.10994211988171</v>
      </c>
    </row>
    <row r="5" spans="1:23">
      <c r="A5" s="11" t="s">
        <v>12</v>
      </c>
      <c r="B5" s="11">
        <v>25.391905772209874</v>
      </c>
      <c r="C5" s="11">
        <v>31.805051148750628</v>
      </c>
      <c r="D5" s="11">
        <v>32.132850515951908</v>
      </c>
      <c r="E5" s="11">
        <v>30.633561359751145</v>
      </c>
      <c r="F5" s="11">
        <v>30.394394153939515</v>
      </c>
      <c r="G5" s="11">
        <v>28.764770958816065</v>
      </c>
      <c r="H5" s="11">
        <v>29.138886244971278</v>
      </c>
      <c r="I5" s="11">
        <v>34.109922634379473</v>
      </c>
      <c r="J5" s="11">
        <v>28.648325615403362</v>
      </c>
      <c r="K5" s="11">
        <v>28.923561164566998</v>
      </c>
      <c r="L5" s="11">
        <v>32.914782051026087</v>
      </c>
      <c r="M5" s="11">
        <v>46.118417251755268</v>
      </c>
      <c r="N5" s="11">
        <v>57.337205051512129</v>
      </c>
      <c r="O5" s="11">
        <v>61.815290546400696</v>
      </c>
      <c r="P5" s="11">
        <v>71.29359512009151</v>
      </c>
      <c r="Q5" s="11">
        <v>75.452039647577095</v>
      </c>
      <c r="R5" s="11">
        <v>100.99627834245504</v>
      </c>
      <c r="S5" s="11">
        <v>115.32491106642186</v>
      </c>
      <c r="T5" s="11">
        <v>105.65818439207956</v>
      </c>
      <c r="U5" s="11">
        <v>119.20058991129827</v>
      </c>
      <c r="V5" s="11">
        <v>124.89723286443865</v>
      </c>
      <c r="W5" s="11">
        <v>118.32238222381505</v>
      </c>
    </row>
    <row r="6" spans="1:23">
      <c r="A6" s="11" t="s">
        <v>13</v>
      </c>
      <c r="B6" s="11">
        <v>29.565755708223882</v>
      </c>
      <c r="C6" s="11">
        <v>32.96799094415563</v>
      </c>
      <c r="D6" s="11">
        <v>37.138223042696204</v>
      </c>
      <c r="E6" s="11">
        <v>36.730943026090856</v>
      </c>
      <c r="F6" s="11">
        <v>37.738634064933755</v>
      </c>
      <c r="G6" s="11">
        <v>35.954089206863152</v>
      </c>
      <c r="H6" s="11">
        <v>34.485050303990889</v>
      </c>
      <c r="I6" s="11">
        <v>34.200357812278504</v>
      </c>
      <c r="J6" s="11">
        <v>34.218688764318792</v>
      </c>
      <c r="K6" s="11">
        <v>34.112846073555453</v>
      </c>
      <c r="L6" s="11">
        <v>40.303794114514268</v>
      </c>
      <c r="M6" s="11">
        <v>45.99173119358074</v>
      </c>
      <c r="N6" s="11">
        <v>55.809604519774012</v>
      </c>
      <c r="O6" s="11">
        <v>57.585776235906344</v>
      </c>
      <c r="P6" s="11">
        <v>67.534337272842805</v>
      </c>
      <c r="Q6" s="11">
        <v>77.316394273127756</v>
      </c>
      <c r="R6" s="11">
        <v>100.76018960125099</v>
      </c>
      <c r="S6" s="11">
        <v>103.99255972121877</v>
      </c>
      <c r="T6" s="11">
        <v>110.82744323985307</v>
      </c>
      <c r="U6" s="11">
        <v>148.31617453633186</v>
      </c>
      <c r="V6" s="11">
        <v>155.1416987725114</v>
      </c>
      <c r="W6" s="11">
        <v>155.39202723770271</v>
      </c>
    </row>
    <row r="7" spans="1:23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</row>
    <row r="8" spans="1:23">
      <c r="A8" s="11" t="s">
        <v>14</v>
      </c>
      <c r="B8" s="11">
        <v>35.542756112345927</v>
      </c>
      <c r="C8" s="11">
        <v>39.226229750125775</v>
      </c>
      <c r="D8" s="11">
        <v>42.849271040424121</v>
      </c>
      <c r="E8" s="11">
        <v>43.634916346719727</v>
      </c>
      <c r="F8" s="11">
        <v>41.960402548801461</v>
      </c>
      <c r="G8" s="11">
        <v>41.582850667889574</v>
      </c>
      <c r="H8" s="11">
        <v>37.974808966422685</v>
      </c>
      <c r="I8" s="11">
        <v>36.640143857236893</v>
      </c>
      <c r="J8" s="11">
        <v>35.619088471849864</v>
      </c>
      <c r="K8" s="11">
        <v>35.416654544924427</v>
      </c>
      <c r="L8" s="11">
        <v>47.94911949233925</v>
      </c>
      <c r="M8" s="11">
        <v>52.654479438314951</v>
      </c>
      <c r="N8" s="11">
        <v>67.399443336656702</v>
      </c>
      <c r="O8" s="11">
        <v>71.047792714657419</v>
      </c>
      <c r="P8" s="11">
        <v>84.628923624348715</v>
      </c>
      <c r="Q8" s="11">
        <v>80.497530837004405</v>
      </c>
      <c r="R8" s="11">
        <v>93.350316653635659</v>
      </c>
      <c r="S8" s="11">
        <v>96.853031599384749</v>
      </c>
      <c r="T8" s="11">
        <v>109.76426234208404</v>
      </c>
      <c r="U8" s="11">
        <v>114.97189785861481</v>
      </c>
      <c r="V8" s="11">
        <v>129.50249171221216</v>
      </c>
      <c r="W8" s="11">
        <v>140.79719595018366</v>
      </c>
    </row>
    <row r="9" spans="1:23">
      <c r="A9" s="11" t="s">
        <v>15</v>
      </c>
      <c r="B9" s="11">
        <v>38.374589142587723</v>
      </c>
      <c r="C9" s="11">
        <v>36.884123092403158</v>
      </c>
      <c r="D9" s="11">
        <v>37.553969831802839</v>
      </c>
      <c r="E9" s="11">
        <v>33.995300002802459</v>
      </c>
      <c r="F9" s="11">
        <v>36.393749367856785</v>
      </c>
      <c r="G9" s="11">
        <v>37.520714076920818</v>
      </c>
      <c r="H9" s="11">
        <v>37.795745901372065</v>
      </c>
      <c r="I9" s="11">
        <v>33.922581017183724</v>
      </c>
      <c r="J9" s="11">
        <v>30.00187180112113</v>
      </c>
      <c r="K9" s="11">
        <v>30.29435110818423</v>
      </c>
      <c r="L9" s="11">
        <v>39.116506979946905</v>
      </c>
      <c r="M9" s="11">
        <v>49.318413239719163</v>
      </c>
      <c r="N9" s="11">
        <v>57.379901960784316</v>
      </c>
      <c r="O9" s="11">
        <v>55.797398091934092</v>
      </c>
      <c r="P9" s="11">
        <v>76.809302325581413</v>
      </c>
      <c r="Q9" s="11">
        <v>74.713251101321575</v>
      </c>
      <c r="R9" s="11">
        <v>96.212374902267399</v>
      </c>
      <c r="S9" s="11">
        <v>97.400834141217217</v>
      </c>
      <c r="T9" s="11">
        <v>100.1223114416271</v>
      </c>
      <c r="U9" s="11">
        <v>123.29063632291013</v>
      </c>
      <c r="V9" s="11">
        <v>115.45808529701638</v>
      </c>
      <c r="W9" s="11">
        <v>115.16425696622166</v>
      </c>
    </row>
    <row r="10" spans="1:23">
      <c r="A10" s="11" t="s">
        <v>16</v>
      </c>
      <c r="B10" s="11">
        <v>33.367151613120491</v>
      </c>
      <c r="C10" s="11">
        <v>31.237103806808655</v>
      </c>
      <c r="D10" s="11">
        <v>32.417308845340656</v>
      </c>
      <c r="E10" s="11">
        <v>30.300771796093379</v>
      </c>
      <c r="F10" s="11">
        <v>29.757035754020432</v>
      </c>
      <c r="G10" s="11">
        <v>29.993356935672931</v>
      </c>
      <c r="H10" s="11">
        <v>32.567053471153599</v>
      </c>
      <c r="I10" s="11">
        <v>30.314056217950615</v>
      </c>
      <c r="J10" s="11">
        <v>25.316519619790398</v>
      </c>
      <c r="K10" s="11">
        <v>24.332661517884173</v>
      </c>
      <c r="L10" s="11">
        <v>35.226383827972306</v>
      </c>
      <c r="M10" s="11">
        <v>37.189396188565702</v>
      </c>
      <c r="N10" s="11">
        <v>49.808316716517112</v>
      </c>
      <c r="O10" s="11">
        <v>58.122289679098017</v>
      </c>
      <c r="P10" s="11">
        <v>73.465205235735169</v>
      </c>
      <c r="Q10" s="11">
        <v>71.545151982378854</v>
      </c>
      <c r="R10" s="11">
        <v>86.85580531665363</v>
      </c>
      <c r="S10" s="11">
        <v>88.790002987270938</v>
      </c>
      <c r="T10" s="11">
        <v>105.84149144341905</v>
      </c>
      <c r="U10" s="11">
        <v>120.62170773228205</v>
      </c>
      <c r="V10" s="11">
        <v>116.76454170773228</v>
      </c>
      <c r="W10" s="11">
        <v>118.56767350595823</v>
      </c>
    </row>
    <row r="11" spans="1:23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</row>
    <row r="12" spans="1:23">
      <c r="A12" s="11" t="s">
        <v>17</v>
      </c>
      <c r="B12" s="11">
        <v>168.11865528389575</v>
      </c>
      <c r="C12" s="11">
        <v>196.54223444574882</v>
      </c>
      <c r="D12" s="11">
        <v>184.79397740540884</v>
      </c>
      <c r="E12" s="11">
        <v>208.16269231847099</v>
      </c>
      <c r="F12" s="11">
        <v>227.27381915646811</v>
      </c>
      <c r="G12" s="11">
        <v>132.83959739680543</v>
      </c>
      <c r="H12" s="11">
        <v>167.78269007817809</v>
      </c>
      <c r="I12" s="11">
        <v>148.06252058593196</v>
      </c>
      <c r="J12" s="11">
        <v>154.36153058737509</v>
      </c>
      <c r="K12" s="11">
        <v>168.06229185606117</v>
      </c>
      <c r="L12" s="11">
        <v>218.74464572041629</v>
      </c>
      <c r="M12" s="11">
        <v>225.70763490471415</v>
      </c>
      <c r="N12" s="11">
        <v>214.1487205051512</v>
      </c>
      <c r="O12" s="11">
        <v>225.31776235906335</v>
      </c>
      <c r="P12" s="11">
        <v>219.26875079425596</v>
      </c>
      <c r="Q12" s="11">
        <v>229.46337665198237</v>
      </c>
      <c r="R12" s="11">
        <v>268.76425136825645</v>
      </c>
      <c r="S12" s="11">
        <v>249.80115805624081</v>
      </c>
      <c r="T12" s="11">
        <v>254.32020302840249</v>
      </c>
      <c r="U12" s="11">
        <v>238.99042379715078</v>
      </c>
      <c r="V12" s="11">
        <v>235.97868918555685</v>
      </c>
      <c r="W12" s="11">
        <v>243.72755021951434</v>
      </c>
    </row>
    <row r="13" spans="1:23">
      <c r="A13" s="11" t="s">
        <v>18</v>
      </c>
      <c r="B13" s="11">
        <v>78.599624503266639</v>
      </c>
      <c r="C13" s="11">
        <v>96.772818044608428</v>
      </c>
      <c r="D13" s="11">
        <v>103.13255546088548</v>
      </c>
      <c r="E13" s="11">
        <v>86.745266093097555</v>
      </c>
      <c r="F13" s="11">
        <v>90.019564832608467</v>
      </c>
      <c r="G13" s="11">
        <v>67.809837148281403</v>
      </c>
      <c r="H13" s="11">
        <v>65.169727684422199</v>
      </c>
      <c r="I13" s="11">
        <v>68.294025319494878</v>
      </c>
      <c r="J13" s="11">
        <v>71.706712161832812</v>
      </c>
      <c r="K13" s="11">
        <v>69.012228533057495</v>
      </c>
      <c r="L13" s="11">
        <v>80.202796184514469</v>
      </c>
      <c r="M13" s="11">
        <v>93.59753660982949</v>
      </c>
      <c r="N13" s="11">
        <v>108.40745264207378</v>
      </c>
      <c r="O13" s="11">
        <v>111.82281439722466</v>
      </c>
      <c r="P13" s="11">
        <v>130.64789681026815</v>
      </c>
      <c r="Q13" s="11">
        <v>142.40801101321586</v>
      </c>
      <c r="R13" s="11">
        <v>208.40008795934324</v>
      </c>
      <c r="S13" s="11">
        <v>206.04572514898553</v>
      </c>
      <c r="T13" s="11">
        <v>203.98408673057969</v>
      </c>
      <c r="U13" s="11">
        <v>249.21553982618045</v>
      </c>
      <c r="V13" s="11">
        <v>246.26703341994443</v>
      </c>
      <c r="W13" s="11">
        <v>279.08015625839977</v>
      </c>
    </row>
    <row r="14" spans="1:23">
      <c r="A14" s="11" t="s">
        <v>19</v>
      </c>
      <c r="B14" s="11">
        <v>87.396634000134711</v>
      </c>
      <c r="C14" s="11">
        <v>88.350970316954559</v>
      </c>
      <c r="D14" s="11">
        <v>88.400896210041338</v>
      </c>
      <c r="E14" s="11">
        <v>88.905578006333556</v>
      </c>
      <c r="F14" s="11">
        <v>97.749728178416092</v>
      </c>
      <c r="G14" s="11">
        <v>86.046853866292267</v>
      </c>
      <c r="H14" s="11">
        <v>89.001678427795881</v>
      </c>
      <c r="I14" s="11">
        <v>89.926206997143197</v>
      </c>
      <c r="J14" s="11">
        <v>107.60171581769436</v>
      </c>
      <c r="K14" s="11">
        <v>118.13530754579612</v>
      </c>
      <c r="L14" s="11">
        <v>124.36488753366278</v>
      </c>
      <c r="M14" s="11">
        <v>135.24909729187564</v>
      </c>
      <c r="N14" s="11">
        <v>160.7301429046195</v>
      </c>
      <c r="O14" s="11">
        <v>162.76476582827411</v>
      </c>
      <c r="P14" s="11">
        <v>170.76793747617234</v>
      </c>
      <c r="Q14" s="11">
        <v>178.44785462555066</v>
      </c>
      <c r="R14" s="11">
        <v>224.80618451915558</v>
      </c>
      <c r="S14" s="11">
        <v>233.6736148040803</v>
      </c>
      <c r="T14" s="11">
        <v>207.10030660335096</v>
      </c>
      <c r="U14" s="11">
        <v>258.78208906012009</v>
      </c>
      <c r="V14" s="11">
        <v>262.85902983603614</v>
      </c>
      <c r="W14" s="11">
        <v>266.84625356150877</v>
      </c>
    </row>
    <row r="15" spans="1:23">
      <c r="A15" s="11" t="s">
        <v>20</v>
      </c>
      <c r="B15" s="11">
        <v>33.834197144204211</v>
      </c>
      <c r="C15" s="11">
        <v>39.388500419252054</v>
      </c>
      <c r="D15" s="11">
        <v>34.97196345735113</v>
      </c>
      <c r="E15" s="11">
        <v>36.917079561696049</v>
      </c>
      <c r="F15" s="11">
        <v>37.84973323556185</v>
      </c>
      <c r="G15" s="11">
        <v>33.959793527832865</v>
      </c>
      <c r="H15" s="11">
        <v>33.979988059450243</v>
      </c>
      <c r="I15" s="11">
        <v>34.439254324260617</v>
      </c>
      <c r="J15" s="11">
        <v>39.02377772361686</v>
      </c>
      <c r="K15" s="11">
        <v>37.069061644455495</v>
      </c>
      <c r="L15" s="11">
        <v>50.78376954895505</v>
      </c>
      <c r="M15" s="11">
        <v>54.803450351053158</v>
      </c>
      <c r="N15" s="11">
        <v>68.424169159189091</v>
      </c>
      <c r="O15" s="11">
        <v>74.007558542931491</v>
      </c>
      <c r="P15" s="11">
        <v>104.77562587368153</v>
      </c>
      <c r="Q15" s="11">
        <v>100.48827973568281</v>
      </c>
      <c r="R15" s="11">
        <v>126.01754300234559</v>
      </c>
      <c r="S15" s="11">
        <v>134.11502627622028</v>
      </c>
      <c r="T15" s="11">
        <v>143.12614568587043</v>
      </c>
      <c r="U15" s="11">
        <v>172.85645300600305</v>
      </c>
      <c r="V15" s="11">
        <v>162.81713018546725</v>
      </c>
      <c r="W15" s="11">
        <v>197.21419084311441</v>
      </c>
    </row>
    <row r="16" spans="1:23">
      <c r="A16" s="11" t="s">
        <v>21</v>
      </c>
      <c r="B16" s="11">
        <v>49.098900451269614</v>
      </c>
      <c r="C16" s="11">
        <v>49.860367600201251</v>
      </c>
      <c r="D16" s="11">
        <v>53.735272492031939</v>
      </c>
      <c r="E16" s="11">
        <v>56.427572793767347</v>
      </c>
      <c r="F16" s="11">
        <v>60.075414685951252</v>
      </c>
      <c r="G16" s="11">
        <v>65.022849079428298</v>
      </c>
      <c r="H16" s="11">
        <v>69.186866038742636</v>
      </c>
      <c r="I16" s="11">
        <v>73.751715625843516</v>
      </c>
      <c r="J16" s="11">
        <v>76.350416768218366</v>
      </c>
      <c r="K16" s="11">
        <v>75.359830251351809</v>
      </c>
      <c r="L16" s="11">
        <v>73.733862085833181</v>
      </c>
      <c r="M16" s="11">
        <v>78.512511534603817</v>
      </c>
      <c r="N16" s="11">
        <v>87.391085078099039</v>
      </c>
      <c r="O16" s="11">
        <v>99.639488291413727</v>
      </c>
      <c r="P16" s="11">
        <v>118.92758927436779</v>
      </c>
      <c r="Q16" s="11">
        <v>127.20635022026431</v>
      </c>
      <c r="R16" s="11">
        <v>147.91580922595779</v>
      </c>
      <c r="S16" s="11">
        <v>164.96791456958633</v>
      </c>
      <c r="T16" s="11">
        <v>177.22125723501478</v>
      </c>
      <c r="U16" s="11">
        <v>222.76888379177495</v>
      </c>
      <c r="V16" s="11">
        <v>202.69671212256966</v>
      </c>
      <c r="W16" s="11">
        <v>210.9198412328644</v>
      </c>
    </row>
    <row r="17" spans="1:23">
      <c r="A17" s="11" t="s">
        <v>22</v>
      </c>
      <c r="B17" s="11">
        <v>34.212563144069506</v>
      </c>
      <c r="C17" s="11">
        <v>39.123458326345805</v>
      </c>
      <c r="D17" s="11">
        <v>39.014553946164284</v>
      </c>
      <c r="E17" s="11">
        <v>37.780076226774653</v>
      </c>
      <c r="F17" s="11">
        <v>40.369930211388699</v>
      </c>
      <c r="G17" s="11">
        <v>32.709147399884067</v>
      </c>
      <c r="H17" s="11">
        <v>33.555404240570013</v>
      </c>
      <c r="I17" s="11">
        <v>32.659144644628483</v>
      </c>
      <c r="J17" s="11">
        <v>32.630874969534482</v>
      </c>
      <c r="K17" s="11">
        <v>32.640348199415406</v>
      </c>
      <c r="L17" s="11">
        <v>46.009005442721225</v>
      </c>
      <c r="M17" s="11">
        <v>49.585861584754269</v>
      </c>
      <c r="N17" s="11">
        <v>57.659803921568631</v>
      </c>
      <c r="O17" s="11">
        <v>69.29965307892455</v>
      </c>
      <c r="P17" s="11">
        <v>82.991091625365357</v>
      </c>
      <c r="Q17" s="11">
        <v>89.206544052863435</v>
      </c>
      <c r="R17" s="11">
        <v>114.9420817044566</v>
      </c>
      <c r="S17" s="11">
        <v>107.59842789139191</v>
      </c>
      <c r="T17" s="11">
        <v>118.74630785771883</v>
      </c>
      <c r="U17" s="11">
        <v>141.00261696980559</v>
      </c>
      <c r="V17" s="11">
        <v>160.53083146671443</v>
      </c>
      <c r="W17" s="11">
        <v>159.34734916226145</v>
      </c>
    </row>
    <row r="18" spans="1:23">
      <c r="A18" s="11" t="s">
        <v>23</v>
      </c>
      <c r="B18" s="11">
        <v>43.559385734491819</v>
      </c>
      <c r="C18" s="11">
        <v>52.808284755995309</v>
      </c>
      <c r="D18" s="11">
        <v>53.625865442267035</v>
      </c>
      <c r="E18" s="11">
        <v>51.920812431690159</v>
      </c>
      <c r="F18" s="11">
        <v>62.426039243451001</v>
      </c>
      <c r="G18" s="11">
        <v>67.796013980011054</v>
      </c>
      <c r="H18" s="11">
        <v>52.185664454243138</v>
      </c>
      <c r="I18" s="11">
        <v>50.812531409716755</v>
      </c>
      <c r="J18" s="11">
        <v>47.983212283694854</v>
      </c>
      <c r="K18" s="11">
        <v>53.737135611794905</v>
      </c>
      <c r="L18" s="11">
        <v>65.198793954424815</v>
      </c>
      <c r="M18" s="11">
        <v>74.477325977933802</v>
      </c>
      <c r="N18" s="11">
        <v>92.979636091724828</v>
      </c>
      <c r="O18" s="11">
        <v>107.70954466608848</v>
      </c>
      <c r="P18" s="11">
        <v>124.89951709238785</v>
      </c>
      <c r="Q18" s="11">
        <v>141.10861233480176</v>
      </c>
      <c r="R18" s="11">
        <v>170.47678068803751</v>
      </c>
      <c r="S18" s="11">
        <v>156.86814620601143</v>
      </c>
      <c r="T18" s="11">
        <v>160.61363838365739</v>
      </c>
      <c r="U18" s="11">
        <v>181.59112839351312</v>
      </c>
      <c r="V18" s="11">
        <v>180.78090583281067</v>
      </c>
      <c r="W18" s="11">
        <v>185.3175636591703</v>
      </c>
    </row>
    <row r="19" spans="1:23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</row>
    <row r="20" spans="1:23">
      <c r="A20" s="11" t="s">
        <v>24</v>
      </c>
      <c r="B20" s="11">
        <v>25.870775240789385</v>
      </c>
      <c r="C20" s="11">
        <v>30.928789535468727</v>
      </c>
      <c r="D20" s="11">
        <v>33.254272776042164</v>
      </c>
      <c r="E20" s="11">
        <v>31.062239441750975</v>
      </c>
      <c r="F20" s="11">
        <v>31.973171841812484</v>
      </c>
      <c r="G20" s="11">
        <v>40.936432714525495</v>
      </c>
      <c r="H20" s="11">
        <v>37.824759822241802</v>
      </c>
      <c r="I20" s="11">
        <v>33.872369593526329</v>
      </c>
      <c r="J20" s="11">
        <v>32.964055569095784</v>
      </c>
      <c r="K20" s="11">
        <v>31.073276102798214</v>
      </c>
      <c r="L20" s="11">
        <v>39.486079940458069</v>
      </c>
      <c r="M20" s="11">
        <v>49.304337011033098</v>
      </c>
      <c r="N20" s="11">
        <v>64.695305749418409</v>
      </c>
      <c r="O20" s="11">
        <v>75.831704249783186</v>
      </c>
      <c r="P20" s="11">
        <v>92.982323039776347</v>
      </c>
      <c r="Q20" s="11">
        <v>110.58795374449339</v>
      </c>
      <c r="R20" s="11">
        <v>135.90841868647379</v>
      </c>
      <c r="S20" s="11">
        <v>139.8093380942839</v>
      </c>
      <c r="T20" s="11">
        <v>152.51146671445213</v>
      </c>
      <c r="U20" s="11">
        <v>175.35207454529163</v>
      </c>
      <c r="V20" s="11">
        <v>183.09986596183137</v>
      </c>
      <c r="W20" s="11">
        <v>180.31975378550308</v>
      </c>
    </row>
    <row r="21" spans="1:23">
      <c r="A21" s="11" t="s">
        <v>25</v>
      </c>
      <c r="B21" s="11">
        <v>32.687275207112549</v>
      </c>
      <c r="C21" s="11">
        <v>40.859754485996987</v>
      </c>
      <c r="D21" s="11">
        <v>47.488129950455999</v>
      </c>
      <c r="E21" s="11">
        <v>47.419692570691922</v>
      </c>
      <c r="F21" s="11">
        <v>43.831546475169411</v>
      </c>
      <c r="G21" s="11">
        <v>40.935980750406301</v>
      </c>
      <c r="H21" s="11">
        <v>42.11304247057793</v>
      </c>
      <c r="I21" s="11">
        <v>37.746179745469732</v>
      </c>
      <c r="J21" s="11">
        <v>38.003412137460394</v>
      </c>
      <c r="K21" s="11">
        <v>36.650031627441521</v>
      </c>
      <c r="L21" s="11">
        <v>52.545487873008504</v>
      </c>
      <c r="M21" s="11">
        <v>63.591709127382153</v>
      </c>
      <c r="N21" s="11">
        <v>78.870679627783318</v>
      </c>
      <c r="O21" s="11">
        <v>105.03144839549003</v>
      </c>
      <c r="P21" s="11">
        <v>104.62051086542128</v>
      </c>
      <c r="Q21" s="11">
        <v>113.9733436123348</v>
      </c>
      <c r="R21" s="11">
        <v>148.93057662236123</v>
      </c>
      <c r="S21" s="11">
        <v>153.81651609409778</v>
      </c>
      <c r="T21" s="11">
        <v>155.81099363856285</v>
      </c>
      <c r="U21" s="11">
        <v>199.06047916853328</v>
      </c>
      <c r="V21" s="11">
        <v>195.93580019711493</v>
      </c>
      <c r="W21" s="11">
        <v>205.12483469223184</v>
      </c>
    </row>
    <row r="22" spans="1:23">
      <c r="A22" s="11" t="s">
        <v>26</v>
      </c>
      <c r="B22" s="11">
        <v>40.668433016771068</v>
      </c>
      <c r="C22" s="11">
        <v>45.836055005869532</v>
      </c>
      <c r="D22" s="11">
        <v>45.803261384076499</v>
      </c>
      <c r="E22" s="11">
        <v>48.333453745481037</v>
      </c>
      <c r="F22" s="11">
        <v>44.6911032163447</v>
      </c>
      <c r="G22" s="11">
        <v>46.037230170119692</v>
      </c>
      <c r="H22" s="11">
        <v>46.101354784275479</v>
      </c>
      <c r="I22" s="11">
        <v>44.737925151234307</v>
      </c>
      <c r="J22" s="11">
        <v>41.454954911040694</v>
      </c>
      <c r="K22" s="11">
        <v>45.075010878491888</v>
      </c>
      <c r="L22" s="11">
        <v>54.583048891111389</v>
      </c>
      <c r="M22" s="11">
        <v>60.903149448345047</v>
      </c>
      <c r="N22" s="11">
        <v>72.394981721502162</v>
      </c>
      <c r="O22" s="11">
        <v>76.502346053772783</v>
      </c>
      <c r="P22" s="11">
        <v>92.90932774177152</v>
      </c>
      <c r="Q22" s="11">
        <v>105.99442731277533</v>
      </c>
      <c r="R22" s="11">
        <v>136.98531469898359</v>
      </c>
      <c r="S22" s="11">
        <v>144.40068247289628</v>
      </c>
      <c r="T22" s="11">
        <v>154.08790735597171</v>
      </c>
      <c r="U22" s="11">
        <v>187.8301822417346</v>
      </c>
      <c r="V22" s="11">
        <v>197.50354788997402</v>
      </c>
      <c r="W22" s="11">
        <v>196.20236430427377</v>
      </c>
    </row>
    <row r="23" spans="1:23">
      <c r="A23" s="11" t="s">
        <v>27</v>
      </c>
      <c r="B23" s="11">
        <v>83.086808782919107</v>
      </c>
      <c r="C23" s="11">
        <v>88.264425960087209</v>
      </c>
      <c r="D23" s="11">
        <v>88.980753573795326</v>
      </c>
      <c r="E23" s="11">
        <v>89.582438135806967</v>
      </c>
      <c r="F23" s="11">
        <v>89.797366491352278</v>
      </c>
      <c r="G23" s="11">
        <v>74.113053075806334</v>
      </c>
      <c r="H23" s="11">
        <v>76.940870321262807</v>
      </c>
      <c r="I23" s="11">
        <v>70.75625184906302</v>
      </c>
      <c r="J23" s="11">
        <v>63.43446258834998</v>
      </c>
      <c r="K23" s="11">
        <v>64.008678319312295</v>
      </c>
      <c r="L23" s="11">
        <v>72.635605573895532</v>
      </c>
      <c r="M23" s="11">
        <v>69.724252758274829</v>
      </c>
      <c r="N23" s="11">
        <v>77.732095380525095</v>
      </c>
      <c r="O23" s="11">
        <v>84.505338248048574</v>
      </c>
      <c r="P23" s="11">
        <v>94.145685601728317</v>
      </c>
      <c r="Q23" s="11">
        <v>102.13099779735683</v>
      </c>
      <c r="R23" s="11">
        <v>124.79153831118062</v>
      </c>
      <c r="S23" s="11">
        <v>146.34401154923853</v>
      </c>
      <c r="T23" s="11">
        <v>173.81174608010036</v>
      </c>
      <c r="U23" s="11">
        <v>207.86447737657917</v>
      </c>
      <c r="V23" s="11">
        <v>213.80159161365469</v>
      </c>
      <c r="W23" s="11">
        <v>220.33289418510884</v>
      </c>
    </row>
    <row r="24" spans="1:23">
      <c r="A24" s="11" t="s">
        <v>28</v>
      </c>
      <c r="B24" s="11">
        <v>30.730413551559234</v>
      </c>
      <c r="C24" s="11">
        <v>36.3864930404159</v>
      </c>
      <c r="D24" s="11">
        <v>32.668945059799931</v>
      </c>
      <c r="E24" s="11">
        <v>37.238588123195917</v>
      </c>
      <c r="F24" s="11">
        <v>39.141992009709718</v>
      </c>
      <c r="G24" s="11">
        <v>37.127705353716991</v>
      </c>
      <c r="H24" s="11">
        <v>35.696691967269793</v>
      </c>
      <c r="I24" s="11">
        <v>34.286918618141812</v>
      </c>
      <c r="J24" s="11">
        <v>33.156675603217153</v>
      </c>
      <c r="K24" s="11">
        <v>31.655916945920922</v>
      </c>
      <c r="L24" s="11">
        <v>45.58775204507338</v>
      </c>
      <c r="M24" s="11">
        <v>51.655067201604822</v>
      </c>
      <c r="N24" s="11">
        <v>53.247789963443005</v>
      </c>
      <c r="O24" s="11">
        <v>55.444193408499579</v>
      </c>
      <c r="P24" s="11">
        <v>72.050921336891605</v>
      </c>
      <c r="Q24" s="11">
        <v>83.774275330396478</v>
      </c>
      <c r="R24" s="11">
        <v>100.07263291634089</v>
      </c>
      <c r="S24" s="11">
        <v>106.17720332127307</v>
      </c>
      <c r="T24" s="11">
        <v>103.05522426305888</v>
      </c>
      <c r="U24" s="11">
        <v>136.84324773765792</v>
      </c>
      <c r="V24" s="11">
        <v>148.77272377027148</v>
      </c>
      <c r="W24" s="11">
        <v>139.75470800107516</v>
      </c>
    </row>
    <row r="25" spans="1:23">
      <c r="A25" s="11" t="s">
        <v>29</v>
      </c>
      <c r="B25" s="11">
        <v>29.057326395904894</v>
      </c>
      <c r="C25" s="11">
        <v>33.42775784001342</v>
      </c>
      <c r="D25" s="11">
        <v>33.834130139796144</v>
      </c>
      <c r="E25" s="11">
        <v>34.807532158170559</v>
      </c>
      <c r="F25" s="11">
        <v>37.908206483260848</v>
      </c>
      <c r="G25" s="11">
        <v>37.503765075462681</v>
      </c>
      <c r="H25" s="11">
        <v>39.750928395096309</v>
      </c>
      <c r="I25" s="11">
        <v>31.898926893325399</v>
      </c>
      <c r="J25" s="11">
        <v>39.46107726054106</v>
      </c>
      <c r="K25" s="11">
        <v>40.581634265367363</v>
      </c>
      <c r="L25" s="11">
        <v>44.064792469379867</v>
      </c>
      <c r="M25" s="11">
        <v>41.22458174523571</v>
      </c>
      <c r="N25" s="11">
        <v>44.24348620804254</v>
      </c>
      <c r="O25" s="11">
        <v>46.52912836079792</v>
      </c>
      <c r="P25" s="11">
        <v>60.307802770364724</v>
      </c>
      <c r="Q25" s="11">
        <v>58.764110132158592</v>
      </c>
      <c r="R25" s="11">
        <v>73.034259186864745</v>
      </c>
      <c r="S25" s="11">
        <v>80.21092896420059</v>
      </c>
      <c r="T25" s="11">
        <v>106.86801093092018</v>
      </c>
      <c r="U25" s="11">
        <v>136.15001953229998</v>
      </c>
      <c r="V25" s="11">
        <v>132.14806594391183</v>
      </c>
      <c r="W25" s="11">
        <v>129.45247415106172</v>
      </c>
    </row>
    <row r="26" spans="1:23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</row>
    <row r="27" spans="1:23">
      <c r="A27" s="11" t="s">
        <v>30</v>
      </c>
      <c r="B27" s="11"/>
      <c r="C27" s="11"/>
      <c r="D27" s="11">
        <v>35.978508315188236</v>
      </c>
      <c r="E27" s="11">
        <v>36.392512961354143</v>
      </c>
      <c r="F27" s="11">
        <v>36.300192171538384</v>
      </c>
      <c r="G27" s="11">
        <v>39.374693480614404</v>
      </c>
      <c r="H27" s="11">
        <v>38.440504559792977</v>
      </c>
      <c r="I27" s="11">
        <v>34.941786704419648</v>
      </c>
      <c r="J27" s="11">
        <v>39.919200584937855</v>
      </c>
      <c r="K27" s="11">
        <v>36.502675586736835</v>
      </c>
      <c r="L27" s="11">
        <v>45.733143601395973</v>
      </c>
      <c r="M27" s="11">
        <v>55.357115346038121</v>
      </c>
      <c r="N27" s="11">
        <v>65.629893652376211</v>
      </c>
      <c r="O27" s="11">
        <v>74.995637467476172</v>
      </c>
      <c r="P27" s="11">
        <v>95.518909645444154</v>
      </c>
      <c r="Q27" s="11">
        <v>113.2997422907489</v>
      </c>
      <c r="R27" s="11">
        <v>144.26678850664581</v>
      </c>
      <c r="S27" s="11">
        <v>159.87888783622765</v>
      </c>
      <c r="T27" s="11">
        <v>173.88506890063616</v>
      </c>
      <c r="U27" s="11">
        <v>197.36207006540633</v>
      </c>
      <c r="V27" s="11">
        <v>212.85441071588568</v>
      </c>
      <c r="W27" s="11">
        <v>215.39640713197738</v>
      </c>
    </row>
    <row r="28" spans="1:23">
      <c r="A28" s="11" t="s">
        <v>31</v>
      </c>
      <c r="B28" s="11">
        <v>29.985505489324442</v>
      </c>
      <c r="C28" s="11">
        <v>35.391232936441398</v>
      </c>
      <c r="D28" s="11">
        <v>37.455503487014425</v>
      </c>
      <c r="E28" s="11">
        <v>35.811541350222797</v>
      </c>
      <c r="F28" s="11">
        <v>36.925855921917673</v>
      </c>
      <c r="G28" s="11">
        <v>36.94164684414941</v>
      </c>
      <c r="H28" s="11">
        <v>35.600517247577898</v>
      </c>
      <c r="I28" s="11">
        <v>33.346817976184312</v>
      </c>
      <c r="J28" s="11">
        <v>33.760565439922004</v>
      </c>
      <c r="K28" s="11">
        <v>38.621418798209596</v>
      </c>
      <c r="L28" s="11">
        <v>48.765089561220947</v>
      </c>
      <c r="M28" s="11">
        <v>53.550665997993981</v>
      </c>
      <c r="N28" s="11">
        <v>67.669857095380522</v>
      </c>
      <c r="O28" s="11">
        <v>73.319032957502188</v>
      </c>
      <c r="P28" s="11">
        <v>100.19973313000382</v>
      </c>
      <c r="Q28" s="11">
        <v>104.07357709251102</v>
      </c>
      <c r="R28" s="11">
        <v>124.65071344800626</v>
      </c>
      <c r="S28" s="11">
        <v>128.82001437980634</v>
      </c>
      <c r="T28" s="11">
        <v>163.72985825642866</v>
      </c>
      <c r="U28" s="11">
        <v>218.29756186721619</v>
      </c>
      <c r="V28" s="11">
        <v>215.53264635785322</v>
      </c>
      <c r="W28" s="11">
        <v>212.39158892572348</v>
      </c>
    </row>
    <row r="29" spans="1:23">
      <c r="A29" s="11" t="s">
        <v>32</v>
      </c>
      <c r="B29" s="11">
        <v>25.190898834781436</v>
      </c>
      <c r="C29" s="11">
        <v>25.644174744256247</v>
      </c>
      <c r="D29" s="11">
        <v>25.973233614187887</v>
      </c>
      <c r="E29" s="11">
        <v>25.839135442647759</v>
      </c>
      <c r="F29" s="11">
        <v>26.359740062708607</v>
      </c>
      <c r="G29" s="11">
        <v>22.547999062441917</v>
      </c>
      <c r="H29" s="11">
        <v>25.795045201595062</v>
      </c>
      <c r="I29" s="11">
        <v>25.875874517474308</v>
      </c>
      <c r="J29" s="11">
        <v>21.609885449670969</v>
      </c>
      <c r="K29" s="11">
        <v>20.240359839267711</v>
      </c>
      <c r="L29" s="11">
        <v>29.456401757817666</v>
      </c>
      <c r="M29" s="11">
        <v>30.456266800401202</v>
      </c>
      <c r="N29" s="11">
        <v>33.649908607510802</v>
      </c>
      <c r="O29" s="11">
        <v>42.187840416305299</v>
      </c>
      <c r="P29" s="11">
        <v>52.643296479857675</v>
      </c>
      <c r="Q29" s="11">
        <v>58.946634361233471</v>
      </c>
      <c r="R29" s="11">
        <v>79.847697419859273</v>
      </c>
      <c r="S29" s="11">
        <v>81.715048781692559</v>
      </c>
      <c r="T29" s="11">
        <v>99.865681569751814</v>
      </c>
      <c r="U29" s="11">
        <v>123.08266786130275</v>
      </c>
      <c r="V29" s="11">
        <v>124.04803619747334</v>
      </c>
      <c r="W29" s="11">
        <v>134.11300851178208</v>
      </c>
    </row>
    <row r="30" spans="1:23">
      <c r="A30" s="11" t="s">
        <v>33</v>
      </c>
      <c r="B30" s="11">
        <v>32.096078332323025</v>
      </c>
      <c r="C30" s="11">
        <v>30.35543317122254</v>
      </c>
      <c r="D30" s="11">
        <v>32.067206286092969</v>
      </c>
      <c r="E30" s="11">
        <v>32.387757195303088</v>
      </c>
      <c r="F30" s="11">
        <v>31.242256245575</v>
      </c>
      <c r="G30" s="11">
        <v>28.034291810330636</v>
      </c>
      <c r="H30" s="11">
        <v>28.406851506662456</v>
      </c>
      <c r="I30" s="11">
        <v>27.127397798322068</v>
      </c>
      <c r="J30" s="11">
        <v>26.768978796002923</v>
      </c>
      <c r="K30" s="11">
        <v>30.14684029450925</v>
      </c>
      <c r="L30" s="11">
        <v>32.004177314060286</v>
      </c>
      <c r="M30" s="11">
        <v>39.324290872617858</v>
      </c>
      <c r="N30" s="11">
        <v>50.833042539049522</v>
      </c>
      <c r="O30" s="11">
        <v>53.190836947094546</v>
      </c>
      <c r="P30" s="11">
        <v>67.429406531960865</v>
      </c>
      <c r="Q30" s="11">
        <v>72.861933920704843</v>
      </c>
      <c r="R30" s="11">
        <v>86.251086786551994</v>
      </c>
      <c r="S30" s="11">
        <v>95.492633398387525</v>
      </c>
      <c r="T30" s="11">
        <v>94.879729773317806</v>
      </c>
      <c r="U30" s="11">
        <v>124.64243132335812</v>
      </c>
      <c r="V30" s="11">
        <v>125.12586273631395</v>
      </c>
      <c r="W30" s="11">
        <v>119.18090171131617</v>
      </c>
    </row>
    <row r="31" spans="1:23">
      <c r="A31" s="11" t="s">
        <v>34</v>
      </c>
      <c r="B31" s="11">
        <v>36.423639455782315</v>
      </c>
      <c r="C31" s="11">
        <v>38.301286936105988</v>
      </c>
      <c r="D31" s="11">
        <v>35.185307204392693</v>
      </c>
      <c r="E31" s="11">
        <v>27.6553767900681</v>
      </c>
      <c r="F31" s="11">
        <v>30.721844341053909</v>
      </c>
      <c r="G31" s="11">
        <v>23.45707560017161</v>
      </c>
      <c r="H31" s="11">
        <v>38.016283407098058</v>
      </c>
      <c r="I31" s="11">
        <v>34.622454548241713</v>
      </c>
      <c r="J31" s="11">
        <v>27.768520594686816</v>
      </c>
      <c r="K31" s="11">
        <v>36.866196639491505</v>
      </c>
      <c r="L31" s="11">
        <v>38.790396850291238</v>
      </c>
      <c r="M31" s="11">
        <v>58.716641925777338</v>
      </c>
      <c r="N31" s="11">
        <v>63.219890329012962</v>
      </c>
      <c r="O31" s="11">
        <v>62.620060711188216</v>
      </c>
      <c r="P31" s="11">
        <v>67.803507434235613</v>
      </c>
      <c r="Q31" s="11">
        <v>78.776588105726873</v>
      </c>
      <c r="R31" s="11">
        <v>77.043625879593435</v>
      </c>
      <c r="S31" s="11">
        <v>67.004642801741369</v>
      </c>
      <c r="T31" s="11">
        <v>100.1223114416271</v>
      </c>
      <c r="U31" s="11">
        <v>87.658706567511871</v>
      </c>
      <c r="V31" s="11">
        <v>94.78341259743749</v>
      </c>
      <c r="W31" s="11">
        <v>106.0884795269241</v>
      </c>
    </row>
    <row r="32" spans="1:23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</row>
    <row r="33" spans="1:23">
      <c r="A33" s="11" t="s">
        <v>35</v>
      </c>
      <c r="B33" s="11">
        <v>24.587878022496128</v>
      </c>
      <c r="C33" s="11">
        <v>30.079573033707867</v>
      </c>
      <c r="D33" s="11">
        <v>32.056265581116477</v>
      </c>
      <c r="E33" s="11">
        <v>33.679431942381527</v>
      </c>
      <c r="F33" s="11">
        <v>34.38811697178113</v>
      </c>
      <c r="G33" s="11">
        <v>34.105175466065255</v>
      </c>
      <c r="H33" s="11">
        <v>31.611635824543317</v>
      </c>
      <c r="I33" s="11">
        <v>31.217282601875262</v>
      </c>
      <c r="J33" s="11">
        <v>33.068174506458689</v>
      </c>
      <c r="K33" s="11">
        <v>31.942009577521926</v>
      </c>
      <c r="L33" s="11">
        <v>39.924861541540828</v>
      </c>
      <c r="M33" s="11">
        <v>44.518419257773317</v>
      </c>
      <c r="N33" s="11">
        <v>50.666999002991027</v>
      </c>
      <c r="O33" s="11">
        <v>69.330949696444065</v>
      </c>
      <c r="P33" s="11">
        <v>89.382742406913209</v>
      </c>
      <c r="Q33" s="11">
        <v>101.41828414096916</v>
      </c>
      <c r="R33" s="11">
        <v>115.91543002345583</v>
      </c>
      <c r="S33" s="11">
        <v>115.47689175198671</v>
      </c>
      <c r="T33" s="11">
        <v>126.15191273183407</v>
      </c>
      <c r="U33" s="11">
        <v>153.96598440999909</v>
      </c>
      <c r="V33" s="11">
        <v>160.43284723591074</v>
      </c>
      <c r="W33" s="11">
        <v>166.46079634441355</v>
      </c>
    </row>
    <row r="34" spans="1:23">
      <c r="A34" s="11" t="s">
        <v>36</v>
      </c>
      <c r="B34" s="11">
        <v>18.267983430996161</v>
      </c>
      <c r="C34" s="11">
        <v>20.327105819218517</v>
      </c>
      <c r="D34" s="11">
        <v>21.536777746221087</v>
      </c>
      <c r="E34" s="11">
        <v>23.176818933385647</v>
      </c>
      <c r="F34" s="11">
        <v>23.307436532820876</v>
      </c>
      <c r="G34" s="11">
        <v>24.896611050321081</v>
      </c>
      <c r="H34" s="11">
        <v>28.358529926884685</v>
      </c>
      <c r="I34" s="11">
        <v>23.472364256981869</v>
      </c>
      <c r="J34" s="11">
        <v>29.908164757494514</v>
      </c>
      <c r="K34" s="11">
        <v>28.744212782951941</v>
      </c>
      <c r="L34" s="11">
        <v>35.379538509244306</v>
      </c>
      <c r="M34" s="11">
        <v>36.921947843530596</v>
      </c>
      <c r="N34" s="11">
        <v>43.361083416417415</v>
      </c>
      <c r="O34" s="11">
        <v>42.733295750216833</v>
      </c>
      <c r="P34" s="11">
        <v>65.111805820307538</v>
      </c>
      <c r="Q34" s="11">
        <v>63.85305947136564</v>
      </c>
      <c r="R34" s="11">
        <v>82.042908522283042</v>
      </c>
      <c r="S34" s="11">
        <v>96.819864494485444</v>
      </c>
      <c r="T34" s="11">
        <v>110.93742747065676</v>
      </c>
      <c r="U34" s="11">
        <v>132.89184696711763</v>
      </c>
      <c r="V34" s="11">
        <v>145.34327569214227</v>
      </c>
      <c r="W34" s="11">
        <v>140.64388889884418</v>
      </c>
    </row>
    <row r="35" spans="1:23">
      <c r="A35" s="11" t="s">
        <v>37</v>
      </c>
      <c r="B35" s="11">
        <v>20.272140836532632</v>
      </c>
      <c r="C35" s="11">
        <v>21.738860640617141</v>
      </c>
      <c r="D35" s="11">
        <v>20.284067026412952</v>
      </c>
      <c r="E35" s="11">
        <v>21.524152117254712</v>
      </c>
      <c r="F35" s="11">
        <v>26.921083240618994</v>
      </c>
      <c r="G35" s="11">
        <v>26.427427101483435</v>
      </c>
      <c r="H35" s="11">
        <v>31.071590936329684</v>
      </c>
      <c r="I35" s="11">
        <v>36.78810849700443</v>
      </c>
      <c r="J35" s="11">
        <v>31.725040214477207</v>
      </c>
      <c r="K35" s="11">
        <v>31.95031413894969</v>
      </c>
      <c r="L35" s="11">
        <v>40.089248590613757</v>
      </c>
      <c r="M35" s="11">
        <v>44.429269809428284</v>
      </c>
      <c r="N35" s="11">
        <v>57.958682286473916</v>
      </c>
      <c r="O35" s="11">
        <v>49.336882046834347</v>
      </c>
      <c r="P35" s="11">
        <v>60.467479984750284</v>
      </c>
      <c r="Q35" s="11">
        <v>84.130632158590316</v>
      </c>
      <c r="R35" s="11">
        <v>112.76758014073495</v>
      </c>
      <c r="S35" s="11">
        <v>99.513519673674182</v>
      </c>
      <c r="T35" s="11">
        <v>115.4467809336081</v>
      </c>
      <c r="U35" s="11">
        <v>168.97437505599856</v>
      </c>
      <c r="V35" s="11">
        <v>145.2126300510707</v>
      </c>
      <c r="W35" s="11">
        <v>142.3915892841143</v>
      </c>
    </row>
    <row r="36" spans="1:23">
      <c r="A36" s="11" t="s">
        <v>38</v>
      </c>
      <c r="B36" s="11">
        <v>35.329925237421698</v>
      </c>
      <c r="C36" s="11">
        <v>36.537945664933758</v>
      </c>
      <c r="D36" s="11">
        <v>34.829734292656759</v>
      </c>
      <c r="E36" s="11">
        <v>39.381978533195074</v>
      </c>
      <c r="F36" s="11">
        <v>42.393104581774047</v>
      </c>
      <c r="G36" s="11">
        <v>36.626293624520912</v>
      </c>
      <c r="H36" s="11">
        <v>34.668507252150604</v>
      </c>
      <c r="I36" s="11">
        <v>36.830709180272308</v>
      </c>
      <c r="J36" s="11">
        <v>29.200155983426761</v>
      </c>
      <c r="K36" s="11">
        <v>31.864587155739049</v>
      </c>
      <c r="L36" s="11">
        <v>36.843137918647024</v>
      </c>
      <c r="M36" s="11">
        <v>48.947739217652959</v>
      </c>
      <c r="N36" s="11">
        <v>51.838791957460948</v>
      </c>
      <c r="O36" s="11">
        <v>55.399483954900269</v>
      </c>
      <c r="P36" s="11">
        <v>77.10584572372602</v>
      </c>
      <c r="Q36" s="11">
        <v>81.753471365638774</v>
      </c>
      <c r="R36" s="11">
        <v>109.61144644253322</v>
      </c>
      <c r="S36" s="11">
        <v>117.89823188205078</v>
      </c>
      <c r="T36" s="11">
        <v>140.33987850551026</v>
      </c>
      <c r="U36" s="11">
        <v>171.95525633903773</v>
      </c>
      <c r="V36" s="11">
        <v>186.75794391183584</v>
      </c>
      <c r="W36" s="11">
        <v>177.40691981005284</v>
      </c>
    </row>
    <row r="37" spans="1:23">
      <c r="A37" s="11" t="s">
        <v>39</v>
      </c>
      <c r="B37" s="11">
        <v>33.26073617565838</v>
      </c>
      <c r="C37" s="11">
        <v>41.113978534294823</v>
      </c>
      <c r="D37" s="11">
        <v>38.25964530278646</v>
      </c>
      <c r="E37" s="11">
        <v>37.639063699801028</v>
      </c>
      <c r="F37" s="11">
        <v>29.727799130170933</v>
      </c>
      <c r="G37" s="11">
        <v>26.977620335893533</v>
      </c>
      <c r="H37" s="11">
        <v>27.243897428099732</v>
      </c>
      <c r="I37" s="11">
        <v>25.381334937127775</v>
      </c>
      <c r="J37" s="11">
        <v>26.50868145259566</v>
      </c>
      <c r="K37" s="11">
        <v>27.341955898203253</v>
      </c>
      <c r="L37" s="11">
        <v>32.485261708220023</v>
      </c>
      <c r="M37" s="11">
        <v>34.270924774322971</v>
      </c>
      <c r="N37" s="11">
        <v>43.384803921568633</v>
      </c>
      <c r="O37" s="11">
        <v>43.627484822202952</v>
      </c>
      <c r="P37" s="11">
        <v>48.943347312237897</v>
      </c>
      <c r="Q37" s="11">
        <v>59.837526431718061</v>
      </c>
      <c r="R37" s="11">
        <v>82.245862001563722</v>
      </c>
      <c r="S37" s="11">
        <v>84.711974982754541</v>
      </c>
      <c r="T37" s="11">
        <v>93.999855926888273</v>
      </c>
      <c r="U37" s="11">
        <v>118.12608619299345</v>
      </c>
      <c r="V37" s="11">
        <v>129.33918466087266</v>
      </c>
      <c r="W37" s="11">
        <v>122.82960953319594</v>
      </c>
    </row>
    <row r="38" spans="1:23">
      <c r="A38" s="10"/>
    </row>
  </sheetData>
  <phoneticPr fontId="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A0276-85A2-5F4D-A515-5C9C9862D1B0}">
  <dimension ref="A1:AL38"/>
  <sheetViews>
    <sheetView workbookViewId="0">
      <selection sqref="A1:A1048576"/>
    </sheetView>
  </sheetViews>
  <sheetFormatPr baseColWidth="10" defaultRowHeight="16"/>
  <cols>
    <col min="1" max="1" width="19" customWidth="1"/>
  </cols>
  <sheetData>
    <row r="1" spans="1:38" ht="17">
      <c r="A1" s="23" t="s">
        <v>50</v>
      </c>
      <c r="B1" s="23">
        <v>1997</v>
      </c>
      <c r="C1" s="23">
        <v>1998</v>
      </c>
      <c r="D1" s="23">
        <v>1999</v>
      </c>
      <c r="E1" s="23">
        <v>2000</v>
      </c>
      <c r="F1" s="23">
        <v>2001</v>
      </c>
      <c r="G1" s="23">
        <v>2002</v>
      </c>
      <c r="H1" s="23">
        <v>2003</v>
      </c>
      <c r="I1" s="23">
        <v>2004</v>
      </c>
      <c r="J1" s="23">
        <v>2005</v>
      </c>
      <c r="K1" s="23">
        <v>2006</v>
      </c>
      <c r="L1" s="23">
        <v>2007</v>
      </c>
      <c r="M1" s="23">
        <v>2008</v>
      </c>
      <c r="N1" s="23">
        <v>2009</v>
      </c>
      <c r="O1" s="23">
        <v>2010</v>
      </c>
      <c r="P1" s="23">
        <v>2011</v>
      </c>
      <c r="Q1" s="23">
        <v>2012</v>
      </c>
      <c r="R1" s="23">
        <v>2013</v>
      </c>
      <c r="S1" s="23">
        <v>2014</v>
      </c>
      <c r="T1" s="23">
        <v>2015</v>
      </c>
      <c r="U1" s="23">
        <v>2016</v>
      </c>
      <c r="AI1" s="3"/>
      <c r="AJ1" s="3"/>
      <c r="AK1" s="3"/>
      <c r="AL1" s="3"/>
    </row>
    <row r="2" spans="1:38">
      <c r="A2" s="16" t="s">
        <v>9</v>
      </c>
      <c r="B2" s="31">
        <v>1240</v>
      </c>
      <c r="C2" s="31">
        <v>1246</v>
      </c>
      <c r="D2" s="31">
        <v>1257</v>
      </c>
      <c r="E2" s="31">
        <v>1364</v>
      </c>
      <c r="F2" s="31">
        <v>1385</v>
      </c>
      <c r="G2" s="31">
        <v>1423</v>
      </c>
      <c r="H2" s="31">
        <v>1456</v>
      </c>
      <c r="I2" s="31">
        <v>1493</v>
      </c>
      <c r="J2" s="31">
        <v>1538</v>
      </c>
      <c r="K2" s="31">
        <v>1601</v>
      </c>
      <c r="L2" s="31">
        <v>1676</v>
      </c>
      <c r="M2" s="31">
        <v>1771</v>
      </c>
      <c r="N2" s="31">
        <v>1860</v>
      </c>
      <c r="O2" s="31">
        <v>1962</v>
      </c>
      <c r="P2" s="31">
        <v>2019</v>
      </c>
      <c r="Q2" s="31">
        <v>2069</v>
      </c>
      <c r="R2" s="31">
        <v>2115</v>
      </c>
      <c r="S2" s="31">
        <v>2152</v>
      </c>
      <c r="T2" s="31">
        <v>2171</v>
      </c>
      <c r="U2" s="31">
        <v>2173</v>
      </c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6"/>
      <c r="AJ2" s="6"/>
      <c r="AK2" s="6"/>
      <c r="AL2" s="6"/>
    </row>
    <row r="3" spans="1:38">
      <c r="A3" s="11" t="s">
        <v>10</v>
      </c>
      <c r="B3" s="31">
        <v>953</v>
      </c>
      <c r="C3" s="31">
        <v>957</v>
      </c>
      <c r="D3" s="31">
        <v>959</v>
      </c>
      <c r="E3" s="31">
        <v>1001</v>
      </c>
      <c r="F3" s="31">
        <v>1004</v>
      </c>
      <c r="G3" s="31">
        <v>1007</v>
      </c>
      <c r="H3" s="31">
        <v>1011</v>
      </c>
      <c r="I3" s="31">
        <v>1024</v>
      </c>
      <c r="J3" s="31">
        <v>1043</v>
      </c>
      <c r="K3" s="31">
        <v>1075</v>
      </c>
      <c r="L3" s="31">
        <v>1115</v>
      </c>
      <c r="M3" s="31">
        <v>1176</v>
      </c>
      <c r="N3" s="31">
        <v>1228</v>
      </c>
      <c r="O3" s="31">
        <v>1299</v>
      </c>
      <c r="P3" s="31">
        <v>1355</v>
      </c>
      <c r="Q3" s="31">
        <v>1413</v>
      </c>
      <c r="R3" s="31">
        <v>1472</v>
      </c>
      <c r="S3" s="31">
        <v>1517</v>
      </c>
      <c r="T3" s="31">
        <v>1547</v>
      </c>
      <c r="U3" s="31">
        <v>1562</v>
      </c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6"/>
      <c r="AJ3" s="6"/>
      <c r="AK3" s="6"/>
      <c r="AL3" s="6"/>
    </row>
    <row r="4" spans="1:38">
      <c r="A4" s="11" t="s">
        <v>11</v>
      </c>
      <c r="B4" s="31">
        <v>6525</v>
      </c>
      <c r="C4" s="31">
        <v>6569</v>
      </c>
      <c r="D4" s="31">
        <v>6614</v>
      </c>
      <c r="E4" s="31">
        <v>6674</v>
      </c>
      <c r="F4" s="31">
        <v>6699</v>
      </c>
      <c r="G4" s="31">
        <v>6735</v>
      </c>
      <c r="H4" s="31">
        <v>6769</v>
      </c>
      <c r="I4" s="31">
        <v>6809</v>
      </c>
      <c r="J4" s="31">
        <v>6851</v>
      </c>
      <c r="K4" s="31">
        <v>6898</v>
      </c>
      <c r="L4" s="31">
        <v>6943</v>
      </c>
      <c r="M4" s="31">
        <v>6989</v>
      </c>
      <c r="N4" s="31">
        <v>7034</v>
      </c>
      <c r="O4" s="31">
        <v>7194</v>
      </c>
      <c r="P4" s="31">
        <v>7241</v>
      </c>
      <c r="Q4" s="31">
        <v>7288</v>
      </c>
      <c r="R4" s="31">
        <v>7333</v>
      </c>
      <c r="S4" s="31">
        <v>7384</v>
      </c>
      <c r="T4" s="31">
        <v>7425</v>
      </c>
      <c r="U4" s="31">
        <v>7470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6"/>
      <c r="AJ4" s="6"/>
      <c r="AK4" s="6"/>
      <c r="AL4" s="6"/>
    </row>
    <row r="5" spans="1:38">
      <c r="A5" s="11" t="s">
        <v>12</v>
      </c>
      <c r="B5" s="31">
        <v>3141</v>
      </c>
      <c r="C5" s="31">
        <v>3172</v>
      </c>
      <c r="D5" s="31">
        <v>3204</v>
      </c>
      <c r="E5" s="31">
        <v>3247</v>
      </c>
      <c r="F5" s="31">
        <v>3272</v>
      </c>
      <c r="G5" s="31">
        <v>3294</v>
      </c>
      <c r="H5" s="31">
        <v>3314</v>
      </c>
      <c r="I5" s="31">
        <v>3335</v>
      </c>
      <c r="J5" s="31">
        <v>3355</v>
      </c>
      <c r="K5" s="31">
        <v>3375</v>
      </c>
      <c r="L5" s="31">
        <v>3393</v>
      </c>
      <c r="M5" s="31">
        <v>3411</v>
      </c>
      <c r="N5" s="31">
        <v>3427</v>
      </c>
      <c r="O5" s="31">
        <v>3574</v>
      </c>
      <c r="P5" s="31">
        <v>3593</v>
      </c>
      <c r="Q5" s="31">
        <v>3611</v>
      </c>
      <c r="R5" s="31">
        <v>3630</v>
      </c>
      <c r="S5" s="31">
        <v>3648</v>
      </c>
      <c r="T5" s="31">
        <v>3664</v>
      </c>
      <c r="U5" s="31">
        <v>3682</v>
      </c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6"/>
      <c r="AJ5" s="6"/>
      <c r="AK5" s="6"/>
      <c r="AL5" s="6"/>
    </row>
    <row r="6" spans="1:38">
      <c r="A6" s="11" t="s">
        <v>13</v>
      </c>
      <c r="B6" s="31">
        <v>2326</v>
      </c>
      <c r="C6" s="31">
        <v>2345</v>
      </c>
      <c r="D6" s="31">
        <v>2362</v>
      </c>
      <c r="E6" s="31">
        <v>2372</v>
      </c>
      <c r="F6" s="31">
        <v>2381</v>
      </c>
      <c r="G6" s="31">
        <v>2384</v>
      </c>
      <c r="H6" s="31">
        <v>2386</v>
      </c>
      <c r="I6" s="31">
        <v>2393</v>
      </c>
      <c r="J6" s="31">
        <v>2403</v>
      </c>
      <c r="K6" s="31">
        <v>2415</v>
      </c>
      <c r="L6" s="31">
        <v>2429</v>
      </c>
      <c r="M6" s="31">
        <v>2444</v>
      </c>
      <c r="N6" s="31">
        <v>2458</v>
      </c>
      <c r="O6" s="31">
        <v>2472</v>
      </c>
      <c r="P6" s="31">
        <v>2482</v>
      </c>
      <c r="Q6" s="31">
        <v>2490</v>
      </c>
      <c r="R6" s="31">
        <v>2498</v>
      </c>
      <c r="S6" s="31">
        <v>2505</v>
      </c>
      <c r="T6" s="31">
        <v>2511</v>
      </c>
      <c r="U6" s="31">
        <v>2520</v>
      </c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6"/>
      <c r="AJ6" s="6"/>
      <c r="AK6" s="6"/>
      <c r="AL6" s="6"/>
    </row>
    <row r="7" spans="1:38">
      <c r="A7" s="11"/>
      <c r="B7" s="31"/>
      <c r="C7" s="31"/>
      <c r="D7" s="31" t="s">
        <v>0</v>
      </c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6"/>
      <c r="AJ7" s="6"/>
      <c r="AK7" s="6"/>
      <c r="AL7" s="6"/>
    </row>
    <row r="8" spans="1:38">
      <c r="A8" s="11" t="s">
        <v>14</v>
      </c>
      <c r="B8" s="31">
        <v>4138</v>
      </c>
      <c r="C8" s="31">
        <v>4157</v>
      </c>
      <c r="D8" s="31">
        <v>4171</v>
      </c>
      <c r="E8" s="31">
        <v>4184</v>
      </c>
      <c r="F8" s="31">
        <v>4194</v>
      </c>
      <c r="G8" s="31">
        <v>4203</v>
      </c>
      <c r="H8" s="31">
        <v>4210</v>
      </c>
      <c r="I8" s="31">
        <v>4217</v>
      </c>
      <c r="J8" s="31">
        <v>4221</v>
      </c>
      <c r="K8" s="31">
        <v>4271</v>
      </c>
      <c r="L8" s="31">
        <v>4298</v>
      </c>
      <c r="M8" s="31">
        <v>4315</v>
      </c>
      <c r="N8" s="31">
        <v>4341</v>
      </c>
      <c r="O8" s="31">
        <v>4375</v>
      </c>
      <c r="P8" s="31">
        <v>4383</v>
      </c>
      <c r="Q8" s="31">
        <v>4389</v>
      </c>
      <c r="R8" s="31">
        <v>4390</v>
      </c>
      <c r="S8" s="31">
        <v>4391</v>
      </c>
      <c r="T8" s="31">
        <v>4382</v>
      </c>
      <c r="U8" s="31">
        <v>4378</v>
      </c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6"/>
      <c r="AJ8" s="6"/>
      <c r="AK8" s="6"/>
      <c r="AL8" s="6"/>
    </row>
    <row r="9" spans="1:38">
      <c r="A9" s="11" t="s">
        <v>15</v>
      </c>
      <c r="B9" s="31">
        <v>2628</v>
      </c>
      <c r="C9" s="31">
        <v>2644</v>
      </c>
      <c r="D9" s="31">
        <v>2658</v>
      </c>
      <c r="E9" s="31">
        <v>2682</v>
      </c>
      <c r="F9" s="31">
        <v>2691</v>
      </c>
      <c r="G9" s="31">
        <v>2699</v>
      </c>
      <c r="H9" s="31">
        <v>2704</v>
      </c>
      <c r="I9" s="31">
        <v>2709</v>
      </c>
      <c r="J9" s="31">
        <v>2716</v>
      </c>
      <c r="K9" s="31">
        <v>2723</v>
      </c>
      <c r="L9" s="31">
        <v>2730</v>
      </c>
      <c r="M9" s="31">
        <v>2734</v>
      </c>
      <c r="N9" s="31">
        <v>2740</v>
      </c>
      <c r="O9" s="31">
        <v>2747</v>
      </c>
      <c r="P9" s="31">
        <v>2749</v>
      </c>
      <c r="Q9" s="31">
        <v>2750</v>
      </c>
      <c r="R9" s="31">
        <v>2751</v>
      </c>
      <c r="S9" s="31">
        <v>2752</v>
      </c>
      <c r="T9" s="31">
        <v>2753</v>
      </c>
      <c r="U9" s="31">
        <v>2733</v>
      </c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6"/>
      <c r="AJ9" s="6"/>
      <c r="AK9" s="6"/>
      <c r="AL9" s="6"/>
    </row>
    <row r="10" spans="1:38">
      <c r="A10" s="11" t="s">
        <v>16</v>
      </c>
      <c r="B10" s="31">
        <v>3751</v>
      </c>
      <c r="C10" s="31">
        <v>3773</v>
      </c>
      <c r="D10" s="31">
        <v>3792</v>
      </c>
      <c r="E10" s="31">
        <v>3807</v>
      </c>
      <c r="F10" s="31">
        <v>3811</v>
      </c>
      <c r="G10" s="31">
        <v>3813</v>
      </c>
      <c r="H10" s="31">
        <v>3815</v>
      </c>
      <c r="I10" s="31">
        <v>3817</v>
      </c>
      <c r="J10" s="31">
        <v>3820</v>
      </c>
      <c r="K10" s="31">
        <v>3823</v>
      </c>
      <c r="L10" s="31">
        <v>3824</v>
      </c>
      <c r="M10" s="31">
        <v>3825</v>
      </c>
      <c r="N10" s="31">
        <v>3826</v>
      </c>
      <c r="O10" s="31">
        <v>3833</v>
      </c>
      <c r="P10" s="31">
        <v>3834</v>
      </c>
      <c r="Q10" s="31">
        <v>3834</v>
      </c>
      <c r="R10" s="31">
        <v>3835</v>
      </c>
      <c r="S10" s="31">
        <v>3833</v>
      </c>
      <c r="T10" s="31">
        <v>3812</v>
      </c>
      <c r="U10" s="31">
        <v>3799</v>
      </c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6"/>
      <c r="AJ10" s="6"/>
      <c r="AK10" s="6"/>
      <c r="AL10" s="6"/>
    </row>
    <row r="11" spans="1:38">
      <c r="A11" s="11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6"/>
      <c r="AJ11" s="6"/>
      <c r="AK11" s="6"/>
      <c r="AL11" s="6"/>
    </row>
    <row r="12" spans="1:38">
      <c r="A12" s="11" t="s">
        <v>17</v>
      </c>
      <c r="B12" s="31">
        <v>1457</v>
      </c>
      <c r="C12" s="31">
        <v>1464</v>
      </c>
      <c r="D12" s="31">
        <v>1474</v>
      </c>
      <c r="E12" s="31">
        <v>1609</v>
      </c>
      <c r="F12" s="31">
        <v>1668</v>
      </c>
      <c r="G12" s="31">
        <v>1713</v>
      </c>
      <c r="H12" s="31">
        <v>1766</v>
      </c>
      <c r="I12" s="31">
        <v>1835</v>
      </c>
      <c r="J12" s="31">
        <v>1890</v>
      </c>
      <c r="K12" s="31">
        <v>1964</v>
      </c>
      <c r="L12" s="31">
        <v>2064</v>
      </c>
      <c r="M12" s="31">
        <v>2141</v>
      </c>
      <c r="N12" s="31">
        <v>2210</v>
      </c>
      <c r="O12" s="31">
        <v>2303</v>
      </c>
      <c r="P12" s="31">
        <v>2347</v>
      </c>
      <c r="Q12" s="31">
        <v>2380</v>
      </c>
      <c r="R12" s="31">
        <v>2415</v>
      </c>
      <c r="S12" s="31">
        <v>2426</v>
      </c>
      <c r="T12" s="31">
        <v>2415</v>
      </c>
      <c r="U12" s="31">
        <v>2420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6"/>
      <c r="AJ12" s="6"/>
      <c r="AK12" s="6"/>
      <c r="AL12" s="6"/>
    </row>
    <row r="13" spans="1:38">
      <c r="A13" s="11" t="s">
        <v>18</v>
      </c>
      <c r="B13" s="31">
        <v>7148</v>
      </c>
      <c r="C13" s="31">
        <v>7182</v>
      </c>
      <c r="D13" s="31">
        <v>7213</v>
      </c>
      <c r="E13" s="31">
        <v>7327</v>
      </c>
      <c r="F13" s="31">
        <v>7359</v>
      </c>
      <c r="G13" s="31">
        <v>7406</v>
      </c>
      <c r="H13" s="31">
        <v>7458</v>
      </c>
      <c r="I13" s="31">
        <v>7523</v>
      </c>
      <c r="J13" s="31">
        <v>7588</v>
      </c>
      <c r="K13" s="31">
        <v>7656</v>
      </c>
      <c r="L13" s="31">
        <v>7723</v>
      </c>
      <c r="M13" s="31">
        <v>7762</v>
      </c>
      <c r="N13" s="31">
        <v>7810</v>
      </c>
      <c r="O13" s="31">
        <v>7869</v>
      </c>
      <c r="P13" s="31">
        <v>7899</v>
      </c>
      <c r="Q13" s="31">
        <v>7920</v>
      </c>
      <c r="R13" s="31">
        <v>7939</v>
      </c>
      <c r="S13" s="31">
        <v>7960</v>
      </c>
      <c r="T13" s="31">
        <v>7976</v>
      </c>
      <c r="U13" s="31">
        <v>7999</v>
      </c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6"/>
      <c r="AJ13" s="6"/>
      <c r="AK13" s="6"/>
      <c r="AL13" s="6"/>
    </row>
    <row r="14" spans="1:38">
      <c r="A14" s="11" t="s">
        <v>19</v>
      </c>
      <c r="B14" s="31">
        <v>4435</v>
      </c>
      <c r="C14" s="31">
        <v>4456</v>
      </c>
      <c r="D14" s="31">
        <v>4475</v>
      </c>
      <c r="E14" s="31">
        <v>4680</v>
      </c>
      <c r="F14" s="31">
        <v>4729</v>
      </c>
      <c r="G14" s="31">
        <v>4776</v>
      </c>
      <c r="H14" s="31">
        <v>4857</v>
      </c>
      <c r="I14" s="31">
        <v>4925</v>
      </c>
      <c r="J14" s="31">
        <v>4991</v>
      </c>
      <c r="K14" s="31">
        <v>5072</v>
      </c>
      <c r="L14" s="31">
        <v>5155</v>
      </c>
      <c r="M14" s="31">
        <v>5212</v>
      </c>
      <c r="N14" s="31">
        <v>5276</v>
      </c>
      <c r="O14" s="31">
        <v>5447</v>
      </c>
      <c r="P14" s="31">
        <v>5463</v>
      </c>
      <c r="Q14" s="31">
        <v>5477</v>
      </c>
      <c r="R14" s="31">
        <v>5498</v>
      </c>
      <c r="S14" s="31">
        <v>5508</v>
      </c>
      <c r="T14" s="31">
        <v>5539</v>
      </c>
      <c r="U14" s="31">
        <v>5590</v>
      </c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6"/>
      <c r="AJ14" s="6"/>
      <c r="AK14" s="6"/>
      <c r="AL14" s="6"/>
    </row>
    <row r="15" spans="1:38">
      <c r="A15" s="11" t="s">
        <v>20</v>
      </c>
      <c r="B15" s="31">
        <v>6127</v>
      </c>
      <c r="C15" s="31">
        <v>6184</v>
      </c>
      <c r="D15" s="31">
        <v>6237</v>
      </c>
      <c r="E15" s="31">
        <v>6093</v>
      </c>
      <c r="F15" s="31">
        <v>6128</v>
      </c>
      <c r="G15" s="31">
        <v>6144</v>
      </c>
      <c r="H15" s="31">
        <v>6163</v>
      </c>
      <c r="I15" s="31">
        <v>6228</v>
      </c>
      <c r="J15" s="31">
        <v>6120</v>
      </c>
      <c r="K15" s="31">
        <v>6110</v>
      </c>
      <c r="L15" s="31">
        <v>6118</v>
      </c>
      <c r="M15" s="31">
        <v>6135</v>
      </c>
      <c r="N15" s="31">
        <v>6131</v>
      </c>
      <c r="O15" s="31">
        <v>5957</v>
      </c>
      <c r="P15" s="31">
        <v>5968</v>
      </c>
      <c r="Q15" s="31">
        <v>5988</v>
      </c>
      <c r="R15" s="31">
        <v>6030</v>
      </c>
      <c r="S15" s="31">
        <v>6083</v>
      </c>
      <c r="T15" s="31">
        <v>6144</v>
      </c>
      <c r="U15" s="31">
        <v>6196</v>
      </c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6"/>
      <c r="AJ15" s="6"/>
      <c r="AK15" s="6"/>
      <c r="AL15" s="6"/>
    </row>
    <row r="16" spans="1:38">
      <c r="A16" s="11" t="s">
        <v>21</v>
      </c>
      <c r="B16" s="31">
        <v>3282</v>
      </c>
      <c r="C16" s="31">
        <v>3299</v>
      </c>
      <c r="D16" s="31">
        <v>3316</v>
      </c>
      <c r="E16" s="31">
        <v>3410</v>
      </c>
      <c r="F16" s="31">
        <v>3445</v>
      </c>
      <c r="G16" s="31">
        <v>3476</v>
      </c>
      <c r="H16" s="31">
        <v>3502</v>
      </c>
      <c r="I16" s="31">
        <v>3529</v>
      </c>
      <c r="J16" s="31">
        <v>3557</v>
      </c>
      <c r="K16" s="31">
        <v>3585</v>
      </c>
      <c r="L16" s="31">
        <v>3612</v>
      </c>
      <c r="M16" s="31">
        <v>3639</v>
      </c>
      <c r="N16" s="31">
        <v>3666</v>
      </c>
      <c r="O16" s="31">
        <v>3693</v>
      </c>
      <c r="P16" s="31">
        <v>3720</v>
      </c>
      <c r="Q16" s="31">
        <v>3748</v>
      </c>
      <c r="R16" s="31">
        <v>3774</v>
      </c>
      <c r="S16" s="31">
        <v>3806</v>
      </c>
      <c r="T16" s="31">
        <v>3839</v>
      </c>
      <c r="U16" s="31">
        <v>3874</v>
      </c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6"/>
      <c r="AJ16" s="6"/>
      <c r="AK16" s="6"/>
      <c r="AL16" s="6"/>
    </row>
    <row r="17" spans="1:38">
      <c r="A17" s="11" t="s">
        <v>22</v>
      </c>
      <c r="B17" s="31">
        <v>4150</v>
      </c>
      <c r="C17" s="31">
        <v>4191</v>
      </c>
      <c r="D17" s="31">
        <v>4231</v>
      </c>
      <c r="E17" s="31">
        <v>4149</v>
      </c>
      <c r="F17" s="31">
        <v>4186</v>
      </c>
      <c r="G17" s="31">
        <v>4222</v>
      </c>
      <c r="H17" s="31">
        <v>4254</v>
      </c>
      <c r="I17" s="31">
        <v>4284</v>
      </c>
      <c r="J17" s="31">
        <v>4311</v>
      </c>
      <c r="K17" s="31">
        <v>4339</v>
      </c>
      <c r="L17" s="31">
        <v>4368</v>
      </c>
      <c r="M17" s="31">
        <v>4400</v>
      </c>
      <c r="N17" s="31">
        <v>4432</v>
      </c>
      <c r="O17" s="31">
        <v>4462</v>
      </c>
      <c r="P17" s="31">
        <v>4488</v>
      </c>
      <c r="Q17" s="31">
        <v>4504</v>
      </c>
      <c r="R17" s="31">
        <v>4522</v>
      </c>
      <c r="S17" s="31">
        <v>4542</v>
      </c>
      <c r="T17" s="31">
        <v>4566</v>
      </c>
      <c r="U17" s="31">
        <v>4592</v>
      </c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6"/>
      <c r="AJ17" s="6"/>
      <c r="AK17" s="6"/>
      <c r="AL17" s="6"/>
    </row>
    <row r="18" spans="1:38">
      <c r="A18" s="11" t="s">
        <v>23</v>
      </c>
      <c r="B18" s="31">
        <v>8785</v>
      </c>
      <c r="C18" s="31">
        <v>8838</v>
      </c>
      <c r="D18" s="31">
        <v>8883</v>
      </c>
      <c r="E18" s="31">
        <v>8998</v>
      </c>
      <c r="F18" s="31">
        <v>9041</v>
      </c>
      <c r="G18" s="31">
        <v>9082</v>
      </c>
      <c r="H18" s="31">
        <v>9125</v>
      </c>
      <c r="I18" s="31">
        <v>9180</v>
      </c>
      <c r="J18" s="31">
        <v>9248</v>
      </c>
      <c r="K18" s="31">
        <v>9309</v>
      </c>
      <c r="L18" s="31">
        <v>9367</v>
      </c>
      <c r="M18" s="31">
        <v>9417</v>
      </c>
      <c r="N18" s="31">
        <v>9470</v>
      </c>
      <c r="O18" s="31">
        <v>9588</v>
      </c>
      <c r="P18" s="31">
        <v>9637</v>
      </c>
      <c r="Q18" s="31">
        <v>9685</v>
      </c>
      <c r="R18" s="31">
        <v>9733</v>
      </c>
      <c r="S18" s="31">
        <v>9789</v>
      </c>
      <c r="T18" s="31">
        <v>9847</v>
      </c>
      <c r="U18" s="31">
        <v>9947</v>
      </c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6"/>
      <c r="AJ18" s="6"/>
      <c r="AK18" s="6"/>
      <c r="AL18" s="6"/>
    </row>
    <row r="19" spans="1:38">
      <c r="A19" s="1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6"/>
      <c r="AJ19" s="6"/>
      <c r="AK19" s="6"/>
      <c r="AL19" s="6"/>
    </row>
    <row r="20" spans="1:38">
      <c r="A20" s="11" t="s">
        <v>24</v>
      </c>
      <c r="B20" s="31">
        <v>9243</v>
      </c>
      <c r="C20" s="31">
        <v>9315</v>
      </c>
      <c r="D20" s="31">
        <v>9387</v>
      </c>
      <c r="E20" s="31">
        <v>9488</v>
      </c>
      <c r="F20" s="31">
        <v>9555</v>
      </c>
      <c r="G20" s="31">
        <v>9613</v>
      </c>
      <c r="H20" s="31">
        <v>9667</v>
      </c>
      <c r="I20" s="31">
        <v>9717</v>
      </c>
      <c r="J20" s="31">
        <v>9380</v>
      </c>
      <c r="K20" s="31">
        <v>9392</v>
      </c>
      <c r="L20" s="31">
        <v>9360</v>
      </c>
      <c r="M20" s="31">
        <v>9429</v>
      </c>
      <c r="N20" s="31">
        <v>9487</v>
      </c>
      <c r="O20" s="31">
        <v>9405</v>
      </c>
      <c r="P20" s="31">
        <v>9388</v>
      </c>
      <c r="Q20" s="31">
        <v>9406</v>
      </c>
      <c r="R20" s="31">
        <v>9413</v>
      </c>
      <c r="S20" s="31">
        <v>9436</v>
      </c>
      <c r="T20" s="31">
        <v>9480</v>
      </c>
      <c r="U20" s="31">
        <v>9532</v>
      </c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6"/>
      <c r="AJ20" s="6"/>
      <c r="AK20" s="6"/>
      <c r="AL20" s="6"/>
    </row>
    <row r="21" spans="1:38">
      <c r="A21" s="11" t="s">
        <v>25</v>
      </c>
      <c r="B21" s="31">
        <v>5873</v>
      </c>
      <c r="C21" s="31">
        <v>5907</v>
      </c>
      <c r="D21" s="31">
        <v>5938</v>
      </c>
      <c r="E21" s="31">
        <v>5646</v>
      </c>
      <c r="F21" s="31">
        <v>5658</v>
      </c>
      <c r="G21" s="31">
        <v>5672</v>
      </c>
      <c r="H21" s="31">
        <v>5685</v>
      </c>
      <c r="I21" s="31">
        <v>5698</v>
      </c>
      <c r="J21" s="31">
        <v>5710</v>
      </c>
      <c r="K21" s="31">
        <v>5693</v>
      </c>
      <c r="L21" s="31">
        <v>5699</v>
      </c>
      <c r="M21" s="31">
        <v>5711</v>
      </c>
      <c r="N21" s="31">
        <v>5720</v>
      </c>
      <c r="O21" s="31">
        <v>5728</v>
      </c>
      <c r="P21" s="31">
        <v>5758</v>
      </c>
      <c r="Q21" s="31">
        <v>5779</v>
      </c>
      <c r="R21" s="31">
        <v>5799</v>
      </c>
      <c r="S21" s="31">
        <v>5816</v>
      </c>
      <c r="T21" s="31">
        <v>5852</v>
      </c>
      <c r="U21" s="31">
        <v>5885</v>
      </c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6"/>
      <c r="AJ21" s="6"/>
      <c r="AK21" s="6"/>
      <c r="AL21" s="6"/>
    </row>
    <row r="22" spans="1:38">
      <c r="A22" s="11" t="s">
        <v>26</v>
      </c>
      <c r="B22" s="31">
        <v>6465</v>
      </c>
      <c r="C22" s="31">
        <v>6502</v>
      </c>
      <c r="D22" s="31">
        <v>6532</v>
      </c>
      <c r="E22" s="31">
        <v>6562</v>
      </c>
      <c r="F22" s="31">
        <v>6596</v>
      </c>
      <c r="G22" s="31">
        <v>6629</v>
      </c>
      <c r="H22" s="31">
        <v>6663</v>
      </c>
      <c r="I22" s="31">
        <v>6698</v>
      </c>
      <c r="J22" s="31">
        <v>6326</v>
      </c>
      <c r="K22" s="31">
        <v>6342</v>
      </c>
      <c r="L22" s="31">
        <v>6355</v>
      </c>
      <c r="M22" s="31">
        <v>6380</v>
      </c>
      <c r="N22" s="31">
        <v>6406</v>
      </c>
      <c r="O22" s="31">
        <v>6570</v>
      </c>
      <c r="P22" s="31">
        <v>6596</v>
      </c>
      <c r="Q22" s="31">
        <v>6639</v>
      </c>
      <c r="R22" s="31">
        <v>6691</v>
      </c>
      <c r="S22" s="31">
        <v>6737</v>
      </c>
      <c r="T22" s="31">
        <v>6783</v>
      </c>
      <c r="U22" s="31">
        <v>6822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6"/>
      <c r="AJ22" s="6"/>
      <c r="AK22" s="6"/>
      <c r="AL22" s="6"/>
    </row>
    <row r="23" spans="1:38">
      <c r="A23" s="11" t="s">
        <v>27</v>
      </c>
      <c r="B23" s="31">
        <v>7051</v>
      </c>
      <c r="C23" s="31">
        <v>7143</v>
      </c>
      <c r="D23" s="31">
        <v>7270</v>
      </c>
      <c r="E23" s="31">
        <v>8650</v>
      </c>
      <c r="F23" s="31">
        <v>8733</v>
      </c>
      <c r="G23" s="31">
        <v>8842</v>
      </c>
      <c r="H23" s="31">
        <v>8963</v>
      </c>
      <c r="I23" s="31">
        <v>9111</v>
      </c>
      <c r="J23" s="31">
        <v>9194</v>
      </c>
      <c r="K23" s="31">
        <v>9442</v>
      </c>
      <c r="L23" s="31">
        <v>9660</v>
      </c>
      <c r="M23" s="31">
        <v>9893</v>
      </c>
      <c r="N23" s="31">
        <v>10130</v>
      </c>
      <c r="O23" s="31">
        <v>10441</v>
      </c>
      <c r="P23" s="31">
        <v>10505</v>
      </c>
      <c r="Q23" s="31">
        <v>10594</v>
      </c>
      <c r="R23" s="31">
        <v>10644</v>
      </c>
      <c r="S23" s="31">
        <v>10724</v>
      </c>
      <c r="T23" s="31">
        <v>10849</v>
      </c>
      <c r="U23" s="31">
        <v>10999</v>
      </c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6"/>
      <c r="AJ23" s="6"/>
      <c r="AK23" s="6"/>
      <c r="AL23" s="6"/>
    </row>
    <row r="24" spans="1:38">
      <c r="A24" s="11" t="s">
        <v>28</v>
      </c>
      <c r="B24" s="31">
        <v>4633</v>
      </c>
      <c r="C24" s="31">
        <v>4675</v>
      </c>
      <c r="D24" s="31">
        <v>4713</v>
      </c>
      <c r="E24" s="31">
        <v>4751</v>
      </c>
      <c r="F24" s="31">
        <v>4788</v>
      </c>
      <c r="G24" s="31">
        <v>4822</v>
      </c>
      <c r="H24" s="31">
        <v>4857</v>
      </c>
      <c r="I24" s="31">
        <v>4889</v>
      </c>
      <c r="J24" s="31">
        <v>4660</v>
      </c>
      <c r="K24" s="31">
        <v>4719</v>
      </c>
      <c r="L24" s="31">
        <v>4768</v>
      </c>
      <c r="M24" s="31">
        <v>4816</v>
      </c>
      <c r="N24" s="31">
        <v>4856</v>
      </c>
      <c r="O24" s="31">
        <v>4610</v>
      </c>
      <c r="P24" s="31">
        <v>4645</v>
      </c>
      <c r="Q24" s="31">
        <v>4682</v>
      </c>
      <c r="R24" s="31">
        <v>4719</v>
      </c>
      <c r="S24" s="31">
        <v>4754</v>
      </c>
      <c r="T24" s="31">
        <v>4796</v>
      </c>
      <c r="U24" s="31">
        <v>4838</v>
      </c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6"/>
      <c r="AJ24" s="6"/>
      <c r="AK24" s="6"/>
      <c r="AL24" s="6"/>
    </row>
    <row r="25" spans="1:38">
      <c r="A25" s="11" t="s">
        <v>29</v>
      </c>
      <c r="B25" s="31">
        <v>743</v>
      </c>
      <c r="C25" s="31">
        <v>753</v>
      </c>
      <c r="D25" s="31">
        <v>762</v>
      </c>
      <c r="E25" s="31">
        <v>789</v>
      </c>
      <c r="F25" s="31">
        <v>796</v>
      </c>
      <c r="G25" s="31">
        <v>803</v>
      </c>
      <c r="H25" s="31">
        <v>811</v>
      </c>
      <c r="I25" s="31">
        <v>818</v>
      </c>
      <c r="J25" s="31">
        <v>828</v>
      </c>
      <c r="K25" s="31">
        <v>836</v>
      </c>
      <c r="L25" s="31">
        <v>845</v>
      </c>
      <c r="M25" s="31">
        <v>854</v>
      </c>
      <c r="N25" s="31">
        <v>864</v>
      </c>
      <c r="O25" s="31">
        <v>869</v>
      </c>
      <c r="P25" s="31">
        <v>877</v>
      </c>
      <c r="Q25" s="31">
        <v>887</v>
      </c>
      <c r="R25" s="31">
        <v>895</v>
      </c>
      <c r="S25" s="31">
        <v>903</v>
      </c>
      <c r="T25" s="31">
        <v>911</v>
      </c>
      <c r="U25" s="31">
        <v>917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6"/>
      <c r="AJ25" s="6"/>
      <c r="AK25" s="6"/>
      <c r="AL25" s="6"/>
    </row>
    <row r="26" spans="1:38">
      <c r="A26" s="1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6"/>
      <c r="AJ26" s="6"/>
      <c r="AK26" s="6"/>
      <c r="AL26" s="6"/>
    </row>
    <row r="27" spans="1:38">
      <c r="A27" s="11" t="s">
        <v>30</v>
      </c>
      <c r="B27" s="31">
        <v>3042</v>
      </c>
      <c r="C27" s="31">
        <v>3060</v>
      </c>
      <c r="D27" s="31">
        <v>3075</v>
      </c>
      <c r="E27" s="31">
        <v>2849</v>
      </c>
      <c r="F27" s="31">
        <v>2829</v>
      </c>
      <c r="G27" s="31">
        <v>2814</v>
      </c>
      <c r="H27" s="31">
        <v>2803</v>
      </c>
      <c r="I27" s="31">
        <v>2793</v>
      </c>
      <c r="J27" s="31">
        <v>2798</v>
      </c>
      <c r="K27" s="31">
        <v>2808</v>
      </c>
      <c r="L27" s="31">
        <v>2816</v>
      </c>
      <c r="M27" s="31">
        <v>2839</v>
      </c>
      <c r="N27" s="31">
        <v>2859</v>
      </c>
      <c r="O27" s="31">
        <v>2885</v>
      </c>
      <c r="P27" s="31">
        <v>2919</v>
      </c>
      <c r="Q27" s="31">
        <v>2945</v>
      </c>
      <c r="R27" s="31">
        <v>2970</v>
      </c>
      <c r="S27" s="31">
        <v>2991</v>
      </c>
      <c r="T27" s="31">
        <v>3017</v>
      </c>
      <c r="U27" s="31">
        <v>3048</v>
      </c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6"/>
      <c r="AJ27" s="6"/>
      <c r="AK27" s="6"/>
      <c r="AL27" s="6"/>
    </row>
    <row r="28" spans="1:38">
      <c r="A28" s="11" t="s">
        <v>31</v>
      </c>
      <c r="B28" s="31">
        <v>8430</v>
      </c>
      <c r="C28" s="31">
        <v>8493</v>
      </c>
      <c r="D28" s="31">
        <v>8550</v>
      </c>
      <c r="E28" s="31">
        <v>8329</v>
      </c>
      <c r="F28" s="31">
        <v>8143</v>
      </c>
      <c r="G28" s="31">
        <v>8110</v>
      </c>
      <c r="H28" s="31">
        <v>8176</v>
      </c>
      <c r="I28" s="31">
        <v>8090</v>
      </c>
      <c r="J28" s="31">
        <v>8212</v>
      </c>
      <c r="K28" s="31">
        <v>8169</v>
      </c>
      <c r="L28" s="31">
        <v>8127</v>
      </c>
      <c r="M28" s="31">
        <v>8138</v>
      </c>
      <c r="N28" s="31">
        <v>8185</v>
      </c>
      <c r="O28" s="31">
        <v>8045</v>
      </c>
      <c r="P28" s="31">
        <v>8050</v>
      </c>
      <c r="Q28" s="31">
        <v>8076</v>
      </c>
      <c r="R28" s="31">
        <v>8107</v>
      </c>
      <c r="S28" s="31">
        <v>8140</v>
      </c>
      <c r="T28" s="31">
        <v>8204</v>
      </c>
      <c r="U28" s="31">
        <v>8262</v>
      </c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6"/>
      <c r="AJ28" s="6"/>
      <c r="AK28" s="6"/>
      <c r="AL28" s="6"/>
    </row>
    <row r="29" spans="1:38">
      <c r="A29" s="11" t="s">
        <v>32</v>
      </c>
      <c r="B29" s="31">
        <v>3606</v>
      </c>
      <c r="C29" s="31">
        <v>3658</v>
      </c>
      <c r="D29" s="31">
        <v>3710</v>
      </c>
      <c r="E29" s="31">
        <v>3756</v>
      </c>
      <c r="F29" s="31">
        <v>3799</v>
      </c>
      <c r="G29" s="31">
        <v>3837</v>
      </c>
      <c r="H29" s="31">
        <v>3870</v>
      </c>
      <c r="I29" s="31">
        <v>3904</v>
      </c>
      <c r="J29" s="31">
        <v>3730</v>
      </c>
      <c r="K29" s="31">
        <v>3690</v>
      </c>
      <c r="L29" s="31">
        <v>3632</v>
      </c>
      <c r="M29" s="31">
        <v>3596</v>
      </c>
      <c r="N29" s="31">
        <v>3537</v>
      </c>
      <c r="O29" s="31">
        <v>3479</v>
      </c>
      <c r="P29" s="31">
        <v>3469</v>
      </c>
      <c r="Q29" s="31">
        <v>3484</v>
      </c>
      <c r="R29" s="31">
        <v>3502</v>
      </c>
      <c r="S29" s="31">
        <v>3508</v>
      </c>
      <c r="T29" s="31">
        <v>3530</v>
      </c>
      <c r="U29" s="31">
        <v>3555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6"/>
      <c r="AJ29" s="6"/>
      <c r="AK29" s="6"/>
      <c r="AL29" s="6"/>
    </row>
    <row r="30" spans="1:38">
      <c r="A30" s="11" t="s">
        <v>33</v>
      </c>
      <c r="B30" s="31">
        <v>4094</v>
      </c>
      <c r="C30" s="31">
        <v>4144</v>
      </c>
      <c r="D30" s="31">
        <v>4192</v>
      </c>
      <c r="E30" s="31">
        <v>4241</v>
      </c>
      <c r="F30" s="31">
        <v>4287</v>
      </c>
      <c r="G30" s="31">
        <v>4333</v>
      </c>
      <c r="H30" s="31">
        <v>4376</v>
      </c>
      <c r="I30" s="31">
        <v>4415</v>
      </c>
      <c r="J30" s="31">
        <v>4450</v>
      </c>
      <c r="K30" s="31">
        <v>4483</v>
      </c>
      <c r="L30" s="31">
        <v>4514</v>
      </c>
      <c r="M30" s="31">
        <v>4543</v>
      </c>
      <c r="N30" s="31">
        <v>4571</v>
      </c>
      <c r="O30" s="31">
        <v>4602</v>
      </c>
      <c r="P30" s="31">
        <v>4631</v>
      </c>
      <c r="Q30" s="31">
        <v>4659</v>
      </c>
      <c r="R30" s="31">
        <v>4687</v>
      </c>
      <c r="S30" s="31">
        <v>4714</v>
      </c>
      <c r="T30" s="31">
        <v>4742</v>
      </c>
      <c r="U30" s="31">
        <v>4771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6"/>
      <c r="AJ30" s="6"/>
      <c r="AK30" s="6"/>
      <c r="AL30" s="6"/>
    </row>
    <row r="31" spans="1:38">
      <c r="A31" s="11" t="s">
        <v>34</v>
      </c>
      <c r="B31" s="31">
        <v>248</v>
      </c>
      <c r="C31" s="31">
        <v>252</v>
      </c>
      <c r="D31" s="31">
        <v>256</v>
      </c>
      <c r="E31" s="31">
        <v>258</v>
      </c>
      <c r="F31" s="31">
        <v>264</v>
      </c>
      <c r="G31" s="31">
        <v>268</v>
      </c>
      <c r="H31" s="31">
        <v>272</v>
      </c>
      <c r="I31" s="31">
        <v>276</v>
      </c>
      <c r="J31" s="31">
        <v>280</v>
      </c>
      <c r="K31" s="31">
        <v>285</v>
      </c>
      <c r="L31" s="31">
        <v>289</v>
      </c>
      <c r="M31" s="31">
        <v>292</v>
      </c>
      <c r="N31" s="31">
        <v>296</v>
      </c>
      <c r="O31" s="31">
        <v>300</v>
      </c>
      <c r="P31" s="31">
        <v>303</v>
      </c>
      <c r="Q31" s="31">
        <v>308</v>
      </c>
      <c r="R31" s="31">
        <v>312</v>
      </c>
      <c r="S31" s="31">
        <v>318</v>
      </c>
      <c r="T31" s="31">
        <v>324</v>
      </c>
      <c r="U31" s="31">
        <v>331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6"/>
      <c r="AJ31" s="6"/>
      <c r="AK31" s="6"/>
      <c r="AL31" s="6"/>
    </row>
    <row r="32" spans="1:38">
      <c r="A32" s="1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6"/>
      <c r="AJ32" s="6"/>
      <c r="AK32" s="6"/>
      <c r="AL32" s="6"/>
    </row>
    <row r="33" spans="1:38">
      <c r="A33" s="11" t="s">
        <v>35</v>
      </c>
      <c r="B33" s="31">
        <v>3570</v>
      </c>
      <c r="C33" s="31">
        <v>3596</v>
      </c>
      <c r="D33" s="31">
        <v>3618</v>
      </c>
      <c r="E33" s="31">
        <v>3644</v>
      </c>
      <c r="F33" s="31">
        <v>3653</v>
      </c>
      <c r="G33" s="31">
        <v>3662</v>
      </c>
      <c r="H33" s="31">
        <v>3672</v>
      </c>
      <c r="I33" s="31">
        <v>3681</v>
      </c>
      <c r="J33" s="31">
        <v>3690</v>
      </c>
      <c r="K33" s="31">
        <v>3699</v>
      </c>
      <c r="L33" s="31">
        <v>3708</v>
      </c>
      <c r="M33" s="31">
        <v>3718</v>
      </c>
      <c r="N33" s="31">
        <v>3727</v>
      </c>
      <c r="O33" s="31">
        <v>3735</v>
      </c>
      <c r="P33" s="31">
        <v>3743</v>
      </c>
      <c r="Q33" s="31">
        <v>3753</v>
      </c>
      <c r="R33" s="31">
        <v>3764</v>
      </c>
      <c r="S33" s="31">
        <v>3775</v>
      </c>
      <c r="T33" s="31">
        <v>3793</v>
      </c>
      <c r="U33" s="31">
        <v>3813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6"/>
      <c r="AJ33" s="6"/>
      <c r="AK33" s="6"/>
      <c r="AL33" s="6"/>
    </row>
    <row r="34" spans="1:38">
      <c r="A34" s="11" t="s">
        <v>36</v>
      </c>
      <c r="B34" s="31">
        <v>2494</v>
      </c>
      <c r="C34" s="31">
        <v>2519</v>
      </c>
      <c r="D34" s="31">
        <v>2543</v>
      </c>
      <c r="E34" s="31">
        <v>2515</v>
      </c>
      <c r="F34" s="31">
        <v>2523</v>
      </c>
      <c r="G34" s="31">
        <v>2531</v>
      </c>
      <c r="H34" s="31">
        <v>2537</v>
      </c>
      <c r="I34" s="31">
        <v>2541</v>
      </c>
      <c r="J34" s="31">
        <v>2545</v>
      </c>
      <c r="K34" s="31">
        <v>2547</v>
      </c>
      <c r="L34" s="31">
        <v>2548</v>
      </c>
      <c r="M34" s="31">
        <v>2551</v>
      </c>
      <c r="N34" s="31">
        <v>2555</v>
      </c>
      <c r="O34" s="31">
        <v>2560</v>
      </c>
      <c r="P34" s="31">
        <v>2564</v>
      </c>
      <c r="Q34" s="31">
        <v>2578</v>
      </c>
      <c r="R34" s="31">
        <v>2582</v>
      </c>
      <c r="S34" s="31">
        <v>2591</v>
      </c>
      <c r="T34" s="31">
        <v>2600</v>
      </c>
      <c r="U34" s="31">
        <v>2610</v>
      </c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6"/>
      <c r="AJ34" s="6"/>
      <c r="AK34" s="6"/>
      <c r="AL34" s="6"/>
    </row>
    <row r="35" spans="1:38">
      <c r="A35" s="11" t="s">
        <v>37</v>
      </c>
      <c r="B35" s="31">
        <v>496</v>
      </c>
      <c r="C35" s="31">
        <v>503</v>
      </c>
      <c r="D35" s="31">
        <v>510</v>
      </c>
      <c r="E35" s="31">
        <v>517</v>
      </c>
      <c r="F35" s="31">
        <v>523</v>
      </c>
      <c r="G35" s="31">
        <v>529</v>
      </c>
      <c r="H35" s="31">
        <v>534</v>
      </c>
      <c r="I35" s="31">
        <v>539</v>
      </c>
      <c r="J35" s="31">
        <v>543</v>
      </c>
      <c r="K35" s="31">
        <v>548</v>
      </c>
      <c r="L35" s="31">
        <v>552</v>
      </c>
      <c r="M35" s="31">
        <v>554</v>
      </c>
      <c r="N35" s="31">
        <v>557</v>
      </c>
      <c r="O35" s="31">
        <v>563</v>
      </c>
      <c r="P35" s="31">
        <v>568</v>
      </c>
      <c r="Q35" s="31">
        <v>573</v>
      </c>
      <c r="R35" s="31">
        <v>578</v>
      </c>
      <c r="S35" s="31">
        <v>583</v>
      </c>
      <c r="T35" s="31">
        <v>588</v>
      </c>
      <c r="U35" s="31">
        <v>593</v>
      </c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6"/>
      <c r="AJ35" s="6"/>
      <c r="AK35" s="6"/>
      <c r="AL35" s="6"/>
    </row>
    <row r="36" spans="1:38">
      <c r="A36" s="11" t="s">
        <v>38</v>
      </c>
      <c r="B36" s="31">
        <v>530</v>
      </c>
      <c r="C36" s="31">
        <v>538</v>
      </c>
      <c r="D36" s="31">
        <v>543</v>
      </c>
      <c r="E36" s="31">
        <v>554</v>
      </c>
      <c r="F36" s="31">
        <v>563</v>
      </c>
      <c r="G36" s="31">
        <v>572</v>
      </c>
      <c r="H36" s="31">
        <v>580</v>
      </c>
      <c r="I36" s="31">
        <v>588</v>
      </c>
      <c r="J36" s="31">
        <v>596</v>
      </c>
      <c r="K36" s="31">
        <v>604</v>
      </c>
      <c r="L36" s="31">
        <v>610</v>
      </c>
      <c r="M36" s="31">
        <v>618</v>
      </c>
      <c r="N36" s="31">
        <v>625</v>
      </c>
      <c r="O36" s="31">
        <v>633</v>
      </c>
      <c r="P36" s="31">
        <v>639</v>
      </c>
      <c r="Q36" s="31">
        <v>647</v>
      </c>
      <c r="R36" s="31">
        <v>654</v>
      </c>
      <c r="S36" s="31">
        <v>662</v>
      </c>
      <c r="T36" s="31">
        <v>668</v>
      </c>
      <c r="U36" s="31">
        <v>675</v>
      </c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6"/>
      <c r="AJ36" s="6"/>
      <c r="AK36" s="6"/>
      <c r="AL36" s="6"/>
    </row>
    <row r="37" spans="1:38">
      <c r="A37" s="11" t="s">
        <v>39</v>
      </c>
      <c r="B37" s="31">
        <v>1718</v>
      </c>
      <c r="C37" s="31">
        <v>1747</v>
      </c>
      <c r="D37" s="31">
        <v>1774</v>
      </c>
      <c r="E37" s="31">
        <v>1849</v>
      </c>
      <c r="F37" s="31">
        <v>1876</v>
      </c>
      <c r="G37" s="31">
        <v>1905</v>
      </c>
      <c r="H37" s="31">
        <v>1934</v>
      </c>
      <c r="I37" s="31">
        <v>1963</v>
      </c>
      <c r="J37" s="31">
        <v>2010</v>
      </c>
      <c r="K37" s="31">
        <v>2050</v>
      </c>
      <c r="L37" s="31">
        <v>2095</v>
      </c>
      <c r="M37" s="31">
        <v>2131</v>
      </c>
      <c r="N37" s="31">
        <v>2159</v>
      </c>
      <c r="O37" s="31">
        <v>2185</v>
      </c>
      <c r="P37" s="31">
        <v>2209</v>
      </c>
      <c r="Q37" s="31">
        <v>2233</v>
      </c>
      <c r="R37" s="31">
        <v>2264</v>
      </c>
      <c r="S37" s="31">
        <v>2298</v>
      </c>
      <c r="T37" s="31">
        <v>2360</v>
      </c>
      <c r="U37" s="31">
        <v>2398</v>
      </c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6"/>
      <c r="AJ37" s="6"/>
      <c r="AK37" s="6"/>
      <c r="AL37" s="6"/>
    </row>
    <row r="38" spans="1:38">
      <c r="A38" s="10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</row>
  </sheetData>
  <phoneticPr fontId="6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095A4-0F97-1B44-B9B5-6294B70B45D9}">
  <dimension ref="A1:W38"/>
  <sheetViews>
    <sheetView workbookViewId="0">
      <selection sqref="A1:A1048576"/>
    </sheetView>
  </sheetViews>
  <sheetFormatPr baseColWidth="10" defaultRowHeight="16"/>
  <cols>
    <col min="1" max="1" width="19" customWidth="1"/>
  </cols>
  <sheetData>
    <row r="1" spans="1:23" ht="17">
      <c r="A1" s="23" t="s">
        <v>50</v>
      </c>
      <c r="B1" s="23">
        <v>1995</v>
      </c>
      <c r="C1" s="23">
        <v>1996</v>
      </c>
      <c r="D1" s="23">
        <v>1997</v>
      </c>
      <c r="E1" s="23">
        <v>1998</v>
      </c>
      <c r="F1" s="23">
        <v>1999</v>
      </c>
      <c r="G1" s="23">
        <v>2000</v>
      </c>
      <c r="H1" s="23">
        <v>2001</v>
      </c>
      <c r="I1" s="23">
        <v>2002</v>
      </c>
      <c r="J1" s="23">
        <v>2003</v>
      </c>
      <c r="K1" s="23">
        <v>2004</v>
      </c>
      <c r="L1" s="23">
        <v>2005</v>
      </c>
      <c r="M1" s="23">
        <v>2006</v>
      </c>
      <c r="N1" s="23">
        <v>2007</v>
      </c>
      <c r="O1" s="23">
        <v>2008</v>
      </c>
      <c r="P1" s="23">
        <v>2009</v>
      </c>
      <c r="Q1" s="23">
        <v>2010</v>
      </c>
      <c r="R1" s="23">
        <v>2011</v>
      </c>
      <c r="S1" s="23">
        <v>2012</v>
      </c>
      <c r="T1" s="23">
        <v>2013</v>
      </c>
      <c r="U1" s="23">
        <v>2014</v>
      </c>
      <c r="V1" s="23">
        <v>2015</v>
      </c>
      <c r="W1" s="23">
        <v>2016</v>
      </c>
    </row>
    <row r="2" spans="1:23">
      <c r="A2" s="16" t="s">
        <v>9</v>
      </c>
      <c r="B2" s="11" t="e">
        <f>#REF!*#REF!</f>
        <v>#REF!</v>
      </c>
      <c r="C2" s="11" t="e">
        <f>#REF!*#REF!</f>
        <v>#REF!</v>
      </c>
      <c r="D2" s="11" t="e">
        <f>#REF!*#REF!</f>
        <v>#REF!</v>
      </c>
      <c r="E2" s="11" t="e">
        <f>#REF!*#REF!</f>
        <v>#REF!</v>
      </c>
      <c r="F2" s="11" t="e">
        <f>#REF!*#REF!</f>
        <v>#REF!</v>
      </c>
      <c r="G2" s="11" t="e">
        <f>#REF!*#REF!</f>
        <v>#REF!</v>
      </c>
      <c r="H2" s="11">
        <v>1135.2141525666761</v>
      </c>
      <c r="I2" s="11">
        <v>1173.561371084206</v>
      </c>
      <c r="J2" s="11">
        <v>1206.6533688834261</v>
      </c>
      <c r="K2" s="11">
        <v>1242.56480562207</v>
      </c>
      <c r="L2" s="11">
        <v>1286</v>
      </c>
      <c r="M2" s="11">
        <v>1350</v>
      </c>
      <c r="N2" s="11">
        <v>1416</v>
      </c>
      <c r="O2" s="11">
        <v>1504</v>
      </c>
      <c r="P2" s="11">
        <v>1581</v>
      </c>
      <c r="Q2" s="11">
        <v>1686</v>
      </c>
      <c r="R2" s="11">
        <v>1740</v>
      </c>
      <c r="S2" s="11">
        <v>1784</v>
      </c>
      <c r="T2" s="11">
        <v>1825</v>
      </c>
      <c r="U2" s="11">
        <v>1858</v>
      </c>
      <c r="V2" s="11">
        <v>1877.915</v>
      </c>
      <c r="W2" s="11">
        <v>1879.645</v>
      </c>
    </row>
    <row r="3" spans="1:23">
      <c r="A3" s="11" t="s">
        <v>10</v>
      </c>
      <c r="B3" s="11" t="e">
        <f>#REF!*#REF!</f>
        <v>#REF!</v>
      </c>
      <c r="C3" s="11" t="e">
        <f>#REF!*#REF!</f>
        <v>#REF!</v>
      </c>
      <c r="D3" s="11" t="e">
        <f>#REF!*#REF!</f>
        <v>#REF!</v>
      </c>
      <c r="E3" s="11" t="e">
        <f>#REF!*#REF!</f>
        <v>#REF!</v>
      </c>
      <c r="F3" s="11" t="e">
        <f>#REF!*#REF!</f>
        <v>#REF!</v>
      </c>
      <c r="G3" s="11" t="e">
        <f>#REF!*#REF!</f>
        <v>#REF!</v>
      </c>
      <c r="H3" s="11">
        <v>722.56122850249142</v>
      </c>
      <c r="I3" s="11">
        <v>732.8583499576049</v>
      </c>
      <c r="J3" s="11">
        <v>744.01146987622758</v>
      </c>
      <c r="K3" s="11">
        <v>761.32601084120188</v>
      </c>
      <c r="L3" s="11">
        <v>783</v>
      </c>
      <c r="M3" s="11">
        <v>814</v>
      </c>
      <c r="N3" s="11">
        <v>851</v>
      </c>
      <c r="O3" s="11">
        <v>908</v>
      </c>
      <c r="P3" s="11">
        <v>958</v>
      </c>
      <c r="Q3" s="11">
        <v>1034</v>
      </c>
      <c r="R3" s="11">
        <v>1090</v>
      </c>
      <c r="S3" s="11">
        <v>1152</v>
      </c>
      <c r="T3" s="11">
        <v>1207</v>
      </c>
      <c r="U3" s="11">
        <v>1248</v>
      </c>
      <c r="V3" s="11">
        <v>1278.4408000000001</v>
      </c>
      <c r="W3" s="11">
        <v>1295.3666000000001</v>
      </c>
    </row>
    <row r="4" spans="1:23">
      <c r="A4" s="11" t="s">
        <v>11</v>
      </c>
      <c r="B4" s="11" t="e">
        <f>#REF!*#REF!</f>
        <v>#REF!</v>
      </c>
      <c r="C4" s="11" t="e">
        <f>#REF!*#REF!</f>
        <v>#REF!</v>
      </c>
      <c r="D4" s="11" t="e">
        <f>#REF!*#REF!</f>
        <v>#REF!</v>
      </c>
      <c r="E4" s="11" t="e">
        <f>#REF!*#REF!</f>
        <v>#REF!</v>
      </c>
      <c r="F4" s="11" t="e">
        <f>#REF!*#REF!</f>
        <v>#REF!</v>
      </c>
      <c r="G4" s="11" t="e">
        <f>#REF!*#REF!</f>
        <v>#REF!</v>
      </c>
      <c r="H4" s="11">
        <v>2188.5804021037079</v>
      </c>
      <c r="I4" s="11">
        <v>2282.8576781243387</v>
      </c>
      <c r="J4" s="11">
        <v>2378.9560866150564</v>
      </c>
      <c r="K4" s="11">
        <v>2479.1801997059788</v>
      </c>
      <c r="L4" s="11">
        <v>2582</v>
      </c>
      <c r="M4" s="11">
        <v>2674</v>
      </c>
      <c r="N4" s="11">
        <v>2795</v>
      </c>
      <c r="O4" s="11">
        <v>2928</v>
      </c>
      <c r="P4" s="11">
        <v>3077</v>
      </c>
      <c r="Q4" s="11">
        <v>3201</v>
      </c>
      <c r="R4" s="11">
        <v>3302</v>
      </c>
      <c r="S4" s="11">
        <v>3411</v>
      </c>
      <c r="T4" s="11">
        <v>3528</v>
      </c>
      <c r="U4" s="11">
        <v>3642</v>
      </c>
      <c r="V4" s="11">
        <v>3811.2525000000001</v>
      </c>
      <c r="W4" s="11">
        <v>3983.0040000000004</v>
      </c>
    </row>
    <row r="5" spans="1:23">
      <c r="A5" s="11" t="s">
        <v>12</v>
      </c>
      <c r="B5" s="11" t="e">
        <f>#REF!*#REF!</f>
        <v>#REF!</v>
      </c>
      <c r="C5" s="11" t="e">
        <f>#REF!*#REF!</f>
        <v>#REF!</v>
      </c>
      <c r="D5" s="11" t="e">
        <f>#REF!*#REF!</f>
        <v>#REF!</v>
      </c>
      <c r="E5" s="11" t="e">
        <f>#REF!*#REF!</f>
        <v>#REF!</v>
      </c>
      <c r="F5" s="11" t="e">
        <f>#REF!*#REF!</f>
        <v>#REF!</v>
      </c>
      <c r="G5" s="11" t="e">
        <f>#REF!*#REF!</f>
        <v>#REF!</v>
      </c>
      <c r="H5" s="11">
        <v>1253.9884024688372</v>
      </c>
      <c r="I5" s="11">
        <v>1293.2185682785987</v>
      </c>
      <c r="J5" s="11">
        <v>1332.4360077004137</v>
      </c>
      <c r="K5" s="11">
        <v>1372.4524631491463</v>
      </c>
      <c r="L5" s="11">
        <v>1413</v>
      </c>
      <c r="M5" s="11">
        <v>1451</v>
      </c>
      <c r="N5" s="11">
        <v>1494</v>
      </c>
      <c r="O5" s="11">
        <v>1539</v>
      </c>
      <c r="P5" s="11">
        <v>1576</v>
      </c>
      <c r="Q5" s="11">
        <v>1717</v>
      </c>
      <c r="R5" s="11">
        <v>1785</v>
      </c>
      <c r="S5" s="11">
        <v>1851</v>
      </c>
      <c r="T5" s="11">
        <v>1908</v>
      </c>
      <c r="U5" s="11">
        <v>1962</v>
      </c>
      <c r="V5" s="11">
        <v>2016.2992000000002</v>
      </c>
      <c r="W5" s="11">
        <v>2069.6522</v>
      </c>
    </row>
    <row r="6" spans="1:23">
      <c r="A6" s="11" t="s">
        <v>13</v>
      </c>
      <c r="B6" s="11" t="e">
        <f>#REF!*#REF!</f>
        <v>#REF!</v>
      </c>
      <c r="C6" s="11" t="e">
        <f>#REF!*#REF!</f>
        <v>#REF!</v>
      </c>
      <c r="D6" s="11" t="e">
        <f>#REF!*#REF!</f>
        <v>#REF!</v>
      </c>
      <c r="E6" s="11" t="e">
        <f>#REF!*#REF!</f>
        <v>#REF!</v>
      </c>
      <c r="F6" s="11" t="e">
        <f>#REF!*#REF!</f>
        <v>#REF!</v>
      </c>
      <c r="G6" s="11" t="e">
        <f>#REF!*#REF!</f>
        <v>#REF!</v>
      </c>
      <c r="H6" s="11">
        <v>976.51910242610995</v>
      </c>
      <c r="I6" s="11">
        <v>1013.2863298087727</v>
      </c>
      <c r="J6" s="11">
        <v>1049.8331316135582</v>
      </c>
      <c r="K6" s="11">
        <v>1088.3903027293818</v>
      </c>
      <c r="L6" s="11">
        <v>1134</v>
      </c>
      <c r="M6" s="11">
        <v>1175</v>
      </c>
      <c r="N6" s="11">
        <v>1218</v>
      </c>
      <c r="O6" s="11">
        <v>1264</v>
      </c>
      <c r="P6" s="11">
        <v>1313</v>
      </c>
      <c r="Q6" s="11">
        <v>1372</v>
      </c>
      <c r="R6" s="11">
        <v>1405</v>
      </c>
      <c r="S6" s="11">
        <v>1438</v>
      </c>
      <c r="T6" s="11">
        <v>1466</v>
      </c>
      <c r="U6" s="11">
        <v>1491</v>
      </c>
      <c r="V6" s="11">
        <v>1514.1329999999998</v>
      </c>
      <c r="W6" s="11">
        <v>1541.9879999999998</v>
      </c>
    </row>
    <row r="7" spans="1:23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</row>
    <row r="8" spans="1:23">
      <c r="A8" s="11" t="s">
        <v>14</v>
      </c>
      <c r="B8" s="11" t="e">
        <f>#REF!*#REF!</f>
        <v>#REF!</v>
      </c>
      <c r="C8" s="11" t="e">
        <f>#REF!*#REF!</f>
        <v>#REF!</v>
      </c>
      <c r="D8" s="11" t="e">
        <f>#REF!*#REF!</f>
        <v>#REF!</v>
      </c>
      <c r="E8" s="11" t="e">
        <f>#REF!*#REF!</f>
        <v>#REF!</v>
      </c>
      <c r="F8" s="11" t="e">
        <f>#REF!*#REF!</f>
        <v>#REF!</v>
      </c>
      <c r="G8" s="11" t="e">
        <f>#REF!*#REF!</f>
        <v>#REF!</v>
      </c>
      <c r="H8" s="11">
        <v>2391.5663707024864</v>
      </c>
      <c r="I8" s="11">
        <v>2414.3491964985819</v>
      </c>
      <c r="J8" s="11">
        <v>2436.0052455596515</v>
      </c>
      <c r="K8" s="11">
        <v>2457.6723461911301</v>
      </c>
      <c r="L8" s="11">
        <v>2478</v>
      </c>
      <c r="M8" s="11">
        <v>2519</v>
      </c>
      <c r="N8" s="11">
        <v>2544</v>
      </c>
      <c r="O8" s="11">
        <v>2591</v>
      </c>
      <c r="P8" s="11">
        <v>2620</v>
      </c>
      <c r="Q8" s="11">
        <v>2717</v>
      </c>
      <c r="R8" s="11">
        <v>2807</v>
      </c>
      <c r="S8" s="11">
        <v>2881</v>
      </c>
      <c r="T8" s="11">
        <v>2917</v>
      </c>
      <c r="U8" s="11">
        <v>2944</v>
      </c>
      <c r="V8" s="11">
        <v>2951.2769999999996</v>
      </c>
      <c r="W8" s="11">
        <v>2949.4586000000004</v>
      </c>
    </row>
    <row r="9" spans="1:23">
      <c r="A9" s="11" t="s">
        <v>15</v>
      </c>
      <c r="B9" s="11" t="e">
        <f>#REF!*#REF!</f>
        <v>#REF!</v>
      </c>
      <c r="C9" s="11" t="e">
        <f>#REF!*#REF!</f>
        <v>#REF!</v>
      </c>
      <c r="D9" s="11" t="e">
        <f>#REF!*#REF!</f>
        <v>#REF!</v>
      </c>
      <c r="E9" s="11" t="e">
        <f>#REF!*#REF!</f>
        <v>#REF!</v>
      </c>
      <c r="F9" s="11" t="e">
        <f>#REF!*#REF!</f>
        <v>#REF!</v>
      </c>
      <c r="G9" s="11" t="e">
        <f>#REF!*#REF!</f>
        <v>#REF!</v>
      </c>
      <c r="H9" s="11">
        <v>1391.9131063430893</v>
      </c>
      <c r="I9" s="11">
        <v>1401.4400532080253</v>
      </c>
      <c r="J9" s="11">
        <v>1409.2771904004376</v>
      </c>
      <c r="K9" s="11">
        <v>1417.4451954352833</v>
      </c>
      <c r="L9" s="11">
        <v>1426</v>
      </c>
      <c r="M9" s="11">
        <v>1442</v>
      </c>
      <c r="N9" s="11">
        <v>1451</v>
      </c>
      <c r="O9" s="11">
        <v>1455</v>
      </c>
      <c r="P9" s="11">
        <v>1461</v>
      </c>
      <c r="Q9" s="11">
        <v>1465</v>
      </c>
      <c r="R9" s="11">
        <v>1468</v>
      </c>
      <c r="S9" s="11">
        <v>1477</v>
      </c>
      <c r="T9" s="11">
        <v>1491</v>
      </c>
      <c r="U9" s="11">
        <v>1509</v>
      </c>
      <c r="V9" s="11">
        <v>1522.6842999999999</v>
      </c>
      <c r="W9" s="11">
        <v>1529.6601000000001</v>
      </c>
    </row>
    <row r="10" spans="1:23">
      <c r="A10" s="11" t="s">
        <v>16</v>
      </c>
      <c r="B10" s="11" t="e">
        <f>#REF!*#REF!</f>
        <v>#REF!</v>
      </c>
      <c r="C10" s="11" t="e">
        <f>#REF!*#REF!</f>
        <v>#REF!</v>
      </c>
      <c r="D10" s="11" t="e">
        <f>#REF!*#REF!</f>
        <v>#REF!</v>
      </c>
      <c r="E10" s="11" t="e">
        <f>#REF!*#REF!</f>
        <v>#REF!</v>
      </c>
      <c r="F10" s="11" t="e">
        <f>#REF!*#REF!</f>
        <v>#REF!</v>
      </c>
      <c r="G10" s="11" t="e">
        <f>#REF!*#REF!</f>
        <v>#REF!</v>
      </c>
      <c r="H10" s="11">
        <v>1931.6312279532845</v>
      </c>
      <c r="I10" s="11">
        <v>1955.6882202383413</v>
      </c>
      <c r="J10" s="11">
        <v>1979.7550061359252</v>
      </c>
      <c r="K10" s="11">
        <v>2003.8248434457992</v>
      </c>
      <c r="L10" s="11">
        <v>2028</v>
      </c>
      <c r="M10" s="11">
        <v>2045</v>
      </c>
      <c r="N10" s="11">
        <v>2061</v>
      </c>
      <c r="O10" s="11">
        <v>2119</v>
      </c>
      <c r="P10" s="11">
        <v>2123</v>
      </c>
      <c r="Q10" s="11">
        <v>2134</v>
      </c>
      <c r="R10" s="11">
        <v>2166</v>
      </c>
      <c r="S10" s="11">
        <v>2182</v>
      </c>
      <c r="T10" s="11">
        <v>2201</v>
      </c>
      <c r="U10" s="11">
        <v>2224</v>
      </c>
      <c r="V10" s="11">
        <v>2241.4559999999997</v>
      </c>
      <c r="W10" s="11">
        <v>2249.0080000000003</v>
      </c>
    </row>
    <row r="11" spans="1:23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</row>
    <row r="12" spans="1:23">
      <c r="A12" s="11" t="s">
        <v>17</v>
      </c>
      <c r="B12" s="11" t="e">
        <f>#REF!*#REF!</f>
        <v>#REF!</v>
      </c>
      <c r="C12" s="11" t="e">
        <f>#REF!*#REF!</f>
        <v>#REF!</v>
      </c>
      <c r="D12" s="11" t="e">
        <f>#REF!*#REF!</f>
        <v>#REF!</v>
      </c>
      <c r="E12" s="11" t="e">
        <f>#REF!*#REF!</f>
        <v>#REF!</v>
      </c>
      <c r="F12" s="11" t="e">
        <f>#REF!*#REF!</f>
        <v>#REF!</v>
      </c>
      <c r="G12" s="11" t="e">
        <f>#REF!*#REF!</f>
        <v>#REF!</v>
      </c>
      <c r="H12" s="11">
        <v>1445.4860423520879</v>
      </c>
      <c r="I12" s="11">
        <v>1453.4544184361407</v>
      </c>
      <c r="J12" s="11">
        <v>1528.3735123037643</v>
      </c>
      <c r="K12" s="11">
        <v>1554.0063432249565</v>
      </c>
      <c r="L12" s="11">
        <v>1684</v>
      </c>
      <c r="M12" s="11">
        <v>1742</v>
      </c>
      <c r="N12" s="11">
        <v>1830</v>
      </c>
      <c r="O12" s="11">
        <v>1897</v>
      </c>
      <c r="P12" s="11">
        <v>1958</v>
      </c>
      <c r="Q12" s="11">
        <v>2056</v>
      </c>
      <c r="R12" s="11">
        <v>2096</v>
      </c>
      <c r="S12" s="11">
        <v>2126</v>
      </c>
      <c r="T12" s="11">
        <v>2164</v>
      </c>
      <c r="U12" s="11">
        <v>2173</v>
      </c>
      <c r="V12" s="11">
        <v>2115.54</v>
      </c>
      <c r="W12" s="11">
        <v>2127.1799999999998</v>
      </c>
    </row>
    <row r="13" spans="1:23">
      <c r="A13" s="11" t="s">
        <v>18</v>
      </c>
      <c r="B13" s="11" t="e">
        <f>#REF!*#REF!</f>
        <v>#REF!</v>
      </c>
      <c r="C13" s="11" t="e">
        <f>#REF!*#REF!</f>
        <v>#REF!</v>
      </c>
      <c r="D13" s="11" t="e">
        <f>#REF!*#REF!</f>
        <v>#REF!</v>
      </c>
      <c r="E13" s="11" t="e">
        <f>#REF!*#REF!</f>
        <v>#REF!</v>
      </c>
      <c r="F13" s="11" t="e">
        <f>#REF!*#REF!</f>
        <v>#REF!</v>
      </c>
      <c r="G13" s="11" t="e">
        <f>#REF!*#REF!</f>
        <v>#REF!</v>
      </c>
      <c r="H13" s="11">
        <v>3281.1876329438078</v>
      </c>
      <c r="I13" s="11">
        <v>3393.6714223907807</v>
      </c>
      <c r="J13" s="11">
        <v>3506.7572892955718</v>
      </c>
      <c r="K13" s="11">
        <v>3621.973117493455</v>
      </c>
      <c r="L13" s="11">
        <v>3832</v>
      </c>
      <c r="M13" s="11">
        <v>3973</v>
      </c>
      <c r="N13" s="11">
        <v>4109</v>
      </c>
      <c r="O13" s="11">
        <v>4215</v>
      </c>
      <c r="P13" s="11">
        <v>4343</v>
      </c>
      <c r="Q13" s="11">
        <v>4767</v>
      </c>
      <c r="R13" s="11">
        <v>4889</v>
      </c>
      <c r="S13" s="11">
        <v>4990</v>
      </c>
      <c r="T13" s="11">
        <v>5090</v>
      </c>
      <c r="U13" s="11">
        <v>5191</v>
      </c>
      <c r="V13" s="11">
        <v>5305.6352000000006</v>
      </c>
      <c r="W13" s="11">
        <v>5416.9228000000003</v>
      </c>
    </row>
    <row r="14" spans="1:23">
      <c r="A14" s="11" t="s">
        <v>19</v>
      </c>
      <c r="B14" s="11" t="e">
        <f>#REF!*#REF!</f>
        <v>#REF!</v>
      </c>
      <c r="C14" s="11" t="e">
        <f>#REF!*#REF!</f>
        <v>#REF!</v>
      </c>
      <c r="D14" s="11" t="e">
        <f>#REF!*#REF!</f>
        <v>#REF!</v>
      </c>
      <c r="E14" s="11" t="e">
        <f>#REF!*#REF!</f>
        <v>#REF!</v>
      </c>
      <c r="F14" s="11" t="e">
        <f>#REF!*#REF!</f>
        <v>#REF!</v>
      </c>
      <c r="G14" s="11" t="e">
        <f>#REF!*#REF!</f>
        <v>#REF!</v>
      </c>
      <c r="H14" s="11">
        <v>2497.3982857561141</v>
      </c>
      <c r="I14" s="11">
        <v>2537.8188039290553</v>
      </c>
      <c r="J14" s="11">
        <v>2577.7236966458254</v>
      </c>
      <c r="K14" s="11">
        <v>2622.2821966594984</v>
      </c>
      <c r="L14" s="11">
        <v>2796</v>
      </c>
      <c r="M14" s="11">
        <v>2866</v>
      </c>
      <c r="N14" s="11">
        <v>2949</v>
      </c>
      <c r="O14" s="11">
        <v>3002</v>
      </c>
      <c r="P14" s="11">
        <v>3055</v>
      </c>
      <c r="Q14" s="11">
        <v>3356</v>
      </c>
      <c r="R14" s="11">
        <v>3403</v>
      </c>
      <c r="S14" s="11">
        <v>3461</v>
      </c>
      <c r="T14" s="11">
        <v>3519</v>
      </c>
      <c r="U14" s="11">
        <v>3573</v>
      </c>
      <c r="V14" s="11">
        <v>3644.6620000000003</v>
      </c>
      <c r="W14" s="11">
        <v>3745.3</v>
      </c>
    </row>
    <row r="15" spans="1:23">
      <c r="A15" s="11" t="s">
        <v>20</v>
      </c>
      <c r="B15" s="11" t="e">
        <f>#REF!*#REF!</f>
        <v>#REF!</v>
      </c>
      <c r="C15" s="11" t="e">
        <f>#REF!*#REF!</f>
        <v>#REF!</v>
      </c>
      <c r="D15" s="11" t="e">
        <f>#REF!*#REF!</f>
        <v>#REF!</v>
      </c>
      <c r="E15" s="11" t="e">
        <f>#REF!*#REF!</f>
        <v>#REF!</v>
      </c>
      <c r="F15" s="11" t="e">
        <f>#REF!*#REF!</f>
        <v>#REF!</v>
      </c>
      <c r="G15" s="11" t="e">
        <f>#REF!*#REF!</f>
        <v>#REF!</v>
      </c>
      <c r="H15" s="11">
        <v>1860.1280467349548</v>
      </c>
      <c r="I15" s="11">
        <v>1956.0492683335074</v>
      </c>
      <c r="J15" s="11">
        <v>2074.8496743918754</v>
      </c>
      <c r="K15" s="11">
        <v>2191.1271963028253</v>
      </c>
      <c r="L15" s="11">
        <v>2173</v>
      </c>
      <c r="M15" s="11">
        <v>2267</v>
      </c>
      <c r="N15" s="11">
        <v>2368</v>
      </c>
      <c r="O15" s="11">
        <v>2485</v>
      </c>
      <c r="P15" s="11">
        <v>2581</v>
      </c>
      <c r="Q15" s="11">
        <v>2562</v>
      </c>
      <c r="R15" s="11">
        <v>2674</v>
      </c>
      <c r="S15" s="11">
        <v>2784</v>
      </c>
      <c r="T15" s="11">
        <v>2886</v>
      </c>
      <c r="U15" s="11">
        <v>2990</v>
      </c>
      <c r="V15" s="11">
        <v>3102.72</v>
      </c>
      <c r="W15" s="11">
        <v>3221.3004000000005</v>
      </c>
    </row>
    <row r="16" spans="1:23">
      <c r="A16" s="11" t="s">
        <v>21</v>
      </c>
      <c r="B16" s="11" t="e">
        <f>#REF!*#REF!</f>
        <v>#REF!</v>
      </c>
      <c r="C16" s="11" t="e">
        <f>#REF!*#REF!</f>
        <v>#REF!</v>
      </c>
      <c r="D16" s="11" t="e">
        <f>#REF!*#REF!</f>
        <v>#REF!</v>
      </c>
      <c r="E16" s="11" t="e">
        <f>#REF!*#REF!</f>
        <v>#REF!</v>
      </c>
      <c r="F16" s="11" t="e">
        <f>#REF!*#REF!</f>
        <v>#REF!</v>
      </c>
      <c r="G16" s="11" t="e">
        <f>#REF!*#REF!</f>
        <v>#REF!</v>
      </c>
      <c r="H16" s="11">
        <v>1488.019803440299</v>
      </c>
      <c r="I16" s="11">
        <v>1534.1757434678088</v>
      </c>
      <c r="J16" s="11">
        <v>1579.2099123767985</v>
      </c>
      <c r="K16" s="11">
        <v>1625.289848078683</v>
      </c>
      <c r="L16" s="11">
        <v>1757</v>
      </c>
      <c r="M16" s="11">
        <v>1807</v>
      </c>
      <c r="N16" s="11">
        <v>1857</v>
      </c>
      <c r="O16" s="11">
        <v>1929</v>
      </c>
      <c r="P16" s="11">
        <v>2020</v>
      </c>
      <c r="Q16" s="11">
        <v>2109</v>
      </c>
      <c r="R16" s="11">
        <v>2161</v>
      </c>
      <c r="S16" s="11">
        <v>2234</v>
      </c>
      <c r="T16" s="11">
        <v>2293</v>
      </c>
      <c r="U16" s="11">
        <v>2352</v>
      </c>
      <c r="V16" s="11">
        <v>2403.2139999999999</v>
      </c>
      <c r="W16" s="11">
        <v>2463.864</v>
      </c>
    </row>
    <row r="17" spans="1:23">
      <c r="A17" s="11" t="s">
        <v>22</v>
      </c>
      <c r="B17" s="11" t="e">
        <f>#REF!*#REF!</f>
        <v>#REF!</v>
      </c>
      <c r="C17" s="11" t="e">
        <f>#REF!*#REF!</f>
        <v>#REF!</v>
      </c>
      <c r="D17" s="11" t="e">
        <f>#REF!*#REF!</f>
        <v>#REF!</v>
      </c>
      <c r="E17" s="11" t="e">
        <f>#REF!*#REF!</f>
        <v>#REF!</v>
      </c>
      <c r="F17" s="11" t="e">
        <f>#REF!*#REF!</f>
        <v>#REF!</v>
      </c>
      <c r="G17" s="11" t="e">
        <f>#REF!*#REF!</f>
        <v>#REF!</v>
      </c>
      <c r="H17" s="11">
        <v>1306.8132814187345</v>
      </c>
      <c r="I17" s="11">
        <v>1377.1533068726076</v>
      </c>
      <c r="J17" s="11">
        <v>1448.5671139545389</v>
      </c>
      <c r="K17" s="11">
        <v>1521.303860626799</v>
      </c>
      <c r="L17" s="11">
        <v>1595</v>
      </c>
      <c r="M17" s="11">
        <v>1678</v>
      </c>
      <c r="N17" s="11">
        <v>1739</v>
      </c>
      <c r="O17" s="11">
        <v>1820</v>
      </c>
      <c r="P17" s="11">
        <v>1914</v>
      </c>
      <c r="Q17" s="11">
        <v>1966</v>
      </c>
      <c r="R17" s="11">
        <v>2051</v>
      </c>
      <c r="S17" s="11">
        <v>2140</v>
      </c>
      <c r="T17" s="11">
        <v>2210</v>
      </c>
      <c r="U17" s="11">
        <v>2281</v>
      </c>
      <c r="V17" s="11">
        <v>2356.9692</v>
      </c>
      <c r="W17" s="11">
        <v>2438.3520000000003</v>
      </c>
    </row>
    <row r="18" spans="1:23">
      <c r="A18" s="11" t="s">
        <v>23</v>
      </c>
      <c r="B18" s="11" t="e">
        <f>#REF!*#REF!</f>
        <v>#REF!</v>
      </c>
      <c r="C18" s="11" t="e">
        <f>#REF!*#REF!</f>
        <v>#REF!</v>
      </c>
      <c r="D18" s="11" t="e">
        <f>#REF!*#REF!</f>
        <v>#REF!</v>
      </c>
      <c r="E18" s="11" t="e">
        <f>#REF!*#REF!</f>
        <v>#REF!</v>
      </c>
      <c r="F18" s="11" t="e">
        <f>#REF!*#REF!</f>
        <v>#REF!</v>
      </c>
      <c r="G18" s="11" t="e">
        <f>#REF!*#REF!</f>
        <v>#REF!</v>
      </c>
      <c r="H18" s="11">
        <v>3773.1271640779864</v>
      </c>
      <c r="I18" s="11">
        <v>3864.0020406390704</v>
      </c>
      <c r="J18" s="11">
        <v>3956.7790368253077</v>
      </c>
      <c r="K18" s="11">
        <v>4055.8914790087474</v>
      </c>
      <c r="L18" s="11">
        <v>4162</v>
      </c>
      <c r="M18" s="11">
        <v>4291</v>
      </c>
      <c r="N18" s="11">
        <v>4379</v>
      </c>
      <c r="O18" s="11">
        <v>4483</v>
      </c>
      <c r="P18" s="11">
        <v>4576</v>
      </c>
      <c r="Q18" s="11">
        <v>4765</v>
      </c>
      <c r="R18" s="11">
        <v>4910</v>
      </c>
      <c r="S18" s="11">
        <v>5078</v>
      </c>
      <c r="T18" s="11">
        <v>5232</v>
      </c>
      <c r="U18" s="11">
        <v>5385</v>
      </c>
      <c r="V18" s="11">
        <v>5613.7746999999999</v>
      </c>
      <c r="W18" s="11">
        <v>5870.7194000000009</v>
      </c>
    </row>
    <row r="19" spans="1:23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</row>
    <row r="20" spans="1:23">
      <c r="A20" s="11" t="s">
        <v>24</v>
      </c>
      <c r="B20" s="11" t="e">
        <f>#REF!*#REF!</f>
        <v>#REF!</v>
      </c>
      <c r="C20" s="11" t="e">
        <f>#REF!*#REF!</f>
        <v>#REF!</v>
      </c>
      <c r="D20" s="11" t="e">
        <f>#REF!*#REF!</f>
        <v>#REF!</v>
      </c>
      <c r="E20" s="11" t="e">
        <f>#REF!*#REF!</f>
        <v>#REF!</v>
      </c>
      <c r="F20" s="11" t="e">
        <f>#REF!*#REF!</f>
        <v>#REF!</v>
      </c>
      <c r="G20" s="11" t="e">
        <f>#REF!*#REF!</f>
        <v>#REF!</v>
      </c>
      <c r="H20" s="11">
        <v>2330.9180376977915</v>
      </c>
      <c r="I20" s="11">
        <v>2487.2664294992023</v>
      </c>
      <c r="J20" s="11">
        <v>2649.7640247428071</v>
      </c>
      <c r="K20" s="11">
        <v>2818.1596997444844</v>
      </c>
      <c r="L20" s="11">
        <v>2875</v>
      </c>
      <c r="M20" s="11">
        <v>3050</v>
      </c>
      <c r="N20" s="11">
        <v>3214</v>
      </c>
      <c r="O20" s="11">
        <v>3397</v>
      </c>
      <c r="P20" s="11">
        <v>3577</v>
      </c>
      <c r="Q20" s="11">
        <v>3621</v>
      </c>
      <c r="R20" s="11">
        <v>3809</v>
      </c>
      <c r="S20" s="11">
        <v>3991</v>
      </c>
      <c r="T20" s="11">
        <v>4123</v>
      </c>
      <c r="U20" s="11">
        <v>4265</v>
      </c>
      <c r="V20" s="11">
        <v>4441.38</v>
      </c>
      <c r="W20" s="11">
        <v>4623.0200000000004</v>
      </c>
    </row>
    <row r="21" spans="1:23">
      <c r="A21" s="11" t="s">
        <v>25</v>
      </c>
      <c r="B21" s="11" t="e">
        <f>#REF!*#REF!</f>
        <v>#REF!</v>
      </c>
      <c r="C21" s="11" t="e">
        <f>#REF!*#REF!</f>
        <v>#REF!</v>
      </c>
      <c r="D21" s="11" t="e">
        <f>#REF!*#REF!</f>
        <v>#REF!</v>
      </c>
      <c r="E21" s="11" t="e">
        <f>#REF!*#REF!</f>
        <v>#REF!</v>
      </c>
      <c r="F21" s="11" t="e">
        <f>#REF!*#REF!</f>
        <v>#REF!</v>
      </c>
      <c r="G21" s="11" t="e">
        <f>#REF!*#REF!</f>
        <v>#REF!</v>
      </c>
      <c r="H21" s="11">
        <v>2415.5851873023885</v>
      </c>
      <c r="I21" s="11">
        <v>2461.9267395563033</v>
      </c>
      <c r="J21" s="11">
        <v>2508.9477425703635</v>
      </c>
      <c r="K21" s="11">
        <v>2556.6063298248491</v>
      </c>
      <c r="L21" s="11">
        <v>2467</v>
      </c>
      <c r="M21" s="11">
        <v>2494</v>
      </c>
      <c r="N21" s="11">
        <v>2525</v>
      </c>
      <c r="O21" s="11">
        <v>2581</v>
      </c>
      <c r="P21" s="11">
        <v>2631</v>
      </c>
      <c r="Q21" s="11">
        <v>2847</v>
      </c>
      <c r="R21" s="11">
        <v>2984</v>
      </c>
      <c r="S21" s="11">
        <v>3092</v>
      </c>
      <c r="T21" s="11">
        <v>3161</v>
      </c>
      <c r="U21" s="11">
        <v>3238</v>
      </c>
      <c r="V21" s="11">
        <v>3326.8620000000001</v>
      </c>
      <c r="W21" s="11">
        <v>3419.1849999999999</v>
      </c>
    </row>
    <row r="22" spans="1:23">
      <c r="A22" s="11" t="s">
        <v>26</v>
      </c>
      <c r="B22" s="11" t="e">
        <f>#REF!*#REF!</f>
        <v>#REF!</v>
      </c>
      <c r="C22" s="11" t="e">
        <f>#REF!*#REF!</f>
        <v>#REF!</v>
      </c>
      <c r="D22" s="11" t="e">
        <f>#REF!*#REF!</f>
        <v>#REF!</v>
      </c>
      <c r="E22" s="11" t="e">
        <f>#REF!*#REF!</f>
        <v>#REF!</v>
      </c>
      <c r="F22" s="11" t="e">
        <f>#REF!*#REF!</f>
        <v>#REF!</v>
      </c>
      <c r="G22" s="11" t="e">
        <f>#REF!*#REF!</f>
        <v>#REF!</v>
      </c>
      <c r="H22" s="11">
        <v>2057.2509194870918</v>
      </c>
      <c r="I22" s="11">
        <v>2160.6898824179871</v>
      </c>
      <c r="J22" s="11">
        <v>2267.4600416643925</v>
      </c>
      <c r="K22" s="11">
        <v>2377.7072691799367</v>
      </c>
      <c r="L22" s="11">
        <v>2341</v>
      </c>
      <c r="M22" s="11">
        <v>2455</v>
      </c>
      <c r="N22" s="11">
        <v>2571</v>
      </c>
      <c r="O22" s="11">
        <v>2689</v>
      </c>
      <c r="P22" s="11">
        <v>2767</v>
      </c>
      <c r="Q22" s="11">
        <v>2845</v>
      </c>
      <c r="R22" s="11">
        <v>2975</v>
      </c>
      <c r="S22" s="11">
        <v>3097</v>
      </c>
      <c r="T22" s="11">
        <v>3209</v>
      </c>
      <c r="U22" s="11">
        <v>3320</v>
      </c>
      <c r="V22" s="11">
        <v>3451.8687</v>
      </c>
      <c r="W22" s="11">
        <v>3598.605</v>
      </c>
    </row>
    <row r="23" spans="1:23">
      <c r="A23" s="11" t="s">
        <v>27</v>
      </c>
      <c r="B23" s="11" t="e">
        <f>#REF!*#REF!</f>
        <v>#REF!</v>
      </c>
      <c r="C23" s="11" t="e">
        <f>#REF!*#REF!</f>
        <v>#REF!</v>
      </c>
      <c r="D23" s="11" t="e">
        <f>#REF!*#REF!</f>
        <v>#REF!</v>
      </c>
      <c r="E23" s="11" t="e">
        <f>#REF!*#REF!</f>
        <v>#REF!</v>
      </c>
      <c r="F23" s="11" t="e">
        <f>#REF!*#REF!</f>
        <v>#REF!</v>
      </c>
      <c r="G23" s="11" t="e">
        <f>#REF!*#REF!</f>
        <v>#REF!</v>
      </c>
      <c r="H23" s="11">
        <v>4504.950125642622</v>
      </c>
      <c r="I23" s="11">
        <v>4604.2495039070627</v>
      </c>
      <c r="J23" s="11">
        <v>4715.7366079311541</v>
      </c>
      <c r="K23" s="11">
        <v>4980.9466833114084</v>
      </c>
      <c r="L23" s="11">
        <v>5579</v>
      </c>
      <c r="M23" s="11">
        <v>5949</v>
      </c>
      <c r="N23" s="11">
        <v>6099</v>
      </c>
      <c r="O23" s="11">
        <v>6269</v>
      </c>
      <c r="P23" s="11">
        <v>6423</v>
      </c>
      <c r="Q23" s="11">
        <v>6910</v>
      </c>
      <c r="R23" s="11">
        <v>6986</v>
      </c>
      <c r="S23" s="11">
        <v>7140</v>
      </c>
      <c r="T23" s="11">
        <v>7212</v>
      </c>
      <c r="U23" s="11">
        <v>7292</v>
      </c>
      <c r="V23" s="11">
        <v>7454.3478999999988</v>
      </c>
      <c r="W23" s="11">
        <v>7611.3080000000009</v>
      </c>
    </row>
    <row r="24" spans="1:23">
      <c r="A24" s="11" t="s">
        <v>28</v>
      </c>
      <c r="B24" s="11" t="e">
        <f>#REF!*#REF!</f>
        <v>#REF!</v>
      </c>
      <c r="C24" s="11" t="e">
        <f>#REF!*#REF!</f>
        <v>#REF!</v>
      </c>
      <c r="D24" s="11" t="e">
        <f>#REF!*#REF!</f>
        <v>#REF!</v>
      </c>
      <c r="E24" s="11" t="e">
        <f>#REF!*#REF!</f>
        <v>#REF!</v>
      </c>
      <c r="F24" s="11" t="e">
        <f>#REF!*#REF!</f>
        <v>#REF!</v>
      </c>
      <c r="G24" s="11" t="e">
        <f>#REF!*#REF!</f>
        <v>#REF!</v>
      </c>
      <c r="H24" s="11">
        <v>1362.7619454493745</v>
      </c>
      <c r="I24" s="11">
        <v>1432.4464443325478</v>
      </c>
      <c r="J24" s="11">
        <v>1504.7849078087154</v>
      </c>
      <c r="K24" s="11">
        <v>1578.4955998158061</v>
      </c>
      <c r="L24" s="11">
        <v>1567</v>
      </c>
      <c r="M24" s="11">
        <v>1635</v>
      </c>
      <c r="N24" s="11">
        <v>1728</v>
      </c>
      <c r="O24" s="11">
        <v>1838</v>
      </c>
      <c r="P24" s="11">
        <v>1904</v>
      </c>
      <c r="Q24" s="11">
        <v>1844</v>
      </c>
      <c r="R24" s="11">
        <v>1942</v>
      </c>
      <c r="S24" s="11">
        <v>2038</v>
      </c>
      <c r="T24" s="11">
        <v>2115</v>
      </c>
      <c r="U24" s="11">
        <v>2187</v>
      </c>
      <c r="V24" s="11">
        <v>2256.9976000000001</v>
      </c>
      <c r="W24" s="11">
        <v>2326.1103999999996</v>
      </c>
    </row>
    <row r="25" spans="1:23">
      <c r="A25" s="11" t="s">
        <v>29</v>
      </c>
      <c r="B25" s="11" t="e">
        <f>#REF!*#REF!</f>
        <v>#REF!</v>
      </c>
      <c r="C25" s="11" t="e">
        <f>#REF!*#REF!</f>
        <v>#REF!</v>
      </c>
      <c r="D25" s="11" t="e">
        <f>#REF!*#REF!</f>
        <v>#REF!</v>
      </c>
      <c r="E25" s="11" t="e">
        <f>#REF!*#REF!</f>
        <v>#REF!</v>
      </c>
      <c r="F25" s="11" t="e">
        <f>#REF!*#REF!</f>
        <v>#REF!</v>
      </c>
      <c r="G25" s="11" t="e">
        <f>#REF!*#REF!</f>
        <v>#REF!</v>
      </c>
      <c r="H25" s="11">
        <v>329.21003942787968</v>
      </c>
      <c r="I25" s="11">
        <v>339.75360143417873</v>
      </c>
      <c r="J25" s="11">
        <v>350.70208997418251</v>
      </c>
      <c r="K25" s="11">
        <v>361.81841844829495</v>
      </c>
      <c r="L25" s="11">
        <v>374</v>
      </c>
      <c r="M25" s="11">
        <v>385</v>
      </c>
      <c r="N25" s="11">
        <v>399</v>
      </c>
      <c r="O25" s="11">
        <v>410</v>
      </c>
      <c r="P25" s="11">
        <v>425</v>
      </c>
      <c r="Q25" s="11">
        <v>433</v>
      </c>
      <c r="R25" s="11">
        <v>443</v>
      </c>
      <c r="S25" s="11">
        <v>457</v>
      </c>
      <c r="T25" s="11">
        <v>472</v>
      </c>
      <c r="U25" s="11">
        <v>486</v>
      </c>
      <c r="V25" s="11">
        <v>502.14319999999998</v>
      </c>
      <c r="W25" s="11">
        <v>520.67259999999999</v>
      </c>
    </row>
    <row r="26" spans="1:23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</row>
    <row r="27" spans="1:23">
      <c r="A27" s="11" t="s">
        <v>30</v>
      </c>
      <c r="B27" s="11"/>
      <c r="C27" s="11"/>
      <c r="D27" s="11" t="e">
        <f>#REF!*#REF!</f>
        <v>#REF!</v>
      </c>
      <c r="E27" s="11" t="e">
        <f>#REF!*#REF!</f>
        <v>#REF!</v>
      </c>
      <c r="F27" s="11" t="e">
        <f>#REF!*#REF!</f>
        <v>#REF!</v>
      </c>
      <c r="G27" s="11" t="e">
        <f>#REF!*#REF!</f>
        <v>#REF!</v>
      </c>
      <c r="H27" s="11">
        <v>1206.2096016134064</v>
      </c>
      <c r="I27" s="11">
        <v>1257.8139085824303</v>
      </c>
      <c r="J27" s="11">
        <v>1315.77793755266</v>
      </c>
      <c r="K27" s="11">
        <v>1361.4415232868685</v>
      </c>
      <c r="L27" s="11">
        <v>1265</v>
      </c>
      <c r="M27" s="11">
        <v>1311</v>
      </c>
      <c r="N27" s="11">
        <v>1360</v>
      </c>
      <c r="O27" s="11">
        <v>1419</v>
      </c>
      <c r="P27" s="11">
        <v>1475</v>
      </c>
      <c r="Q27" s="11">
        <v>1529</v>
      </c>
      <c r="R27" s="11">
        <v>1606</v>
      </c>
      <c r="S27" s="11">
        <v>1678</v>
      </c>
      <c r="T27" s="11">
        <v>1733</v>
      </c>
      <c r="U27" s="11">
        <v>1783</v>
      </c>
      <c r="V27" s="11">
        <v>1838.5597999999998</v>
      </c>
      <c r="W27" s="11">
        <v>1908.0480000000002</v>
      </c>
    </row>
    <row r="28" spans="1:23">
      <c r="A28" s="11" t="s">
        <v>31</v>
      </c>
      <c r="B28" s="11" t="e">
        <f>#REF!*#REF!</f>
        <v>#REF!</v>
      </c>
      <c r="C28" s="11" t="e">
        <f>#REF!*#REF!</f>
        <v>#REF!</v>
      </c>
      <c r="D28" s="11" t="e">
        <f>#REF!*#REF!</f>
        <v>#REF!</v>
      </c>
      <c r="E28" s="11" t="e">
        <f>#REF!*#REF!</f>
        <v>#REF!</v>
      </c>
      <c r="F28" s="11" t="e">
        <f>#REF!*#REF!</f>
        <v>#REF!</v>
      </c>
      <c r="G28" s="11" t="e">
        <f>#REF!*#REF!</f>
        <v>#REF!</v>
      </c>
      <c r="H28" s="11">
        <v>2399.0958232648541</v>
      </c>
      <c r="I28" s="11">
        <v>2517.6038335817043</v>
      </c>
      <c r="J28" s="11">
        <v>2638.1374711412413</v>
      </c>
      <c r="K28" s="11">
        <v>2761.2833969378994</v>
      </c>
      <c r="L28" s="11">
        <v>2710</v>
      </c>
      <c r="M28" s="11">
        <v>2802</v>
      </c>
      <c r="N28" s="11">
        <v>2893</v>
      </c>
      <c r="O28" s="11">
        <v>3044</v>
      </c>
      <c r="P28" s="11">
        <v>3168</v>
      </c>
      <c r="Q28" s="11">
        <v>3232</v>
      </c>
      <c r="R28" s="11">
        <v>3367</v>
      </c>
      <c r="S28" s="11">
        <v>3516</v>
      </c>
      <c r="T28" s="11">
        <v>3640</v>
      </c>
      <c r="U28" s="11">
        <v>3769</v>
      </c>
      <c r="V28" s="11">
        <v>3912.4875999999999</v>
      </c>
      <c r="W28" s="11">
        <v>4065.7302</v>
      </c>
    </row>
    <row r="29" spans="1:23">
      <c r="A29" s="11" t="s">
        <v>32</v>
      </c>
      <c r="B29" s="11" t="e">
        <f>#REF!*#REF!</f>
        <v>#REF!</v>
      </c>
      <c r="C29" s="11" t="e">
        <f>#REF!*#REF!</f>
        <v>#REF!</v>
      </c>
      <c r="D29" s="11" t="e">
        <f>#REF!*#REF!</f>
        <v>#REF!</v>
      </c>
      <c r="E29" s="11" t="e">
        <f>#REF!*#REF!</f>
        <v>#REF!</v>
      </c>
      <c r="F29" s="11" t="e">
        <f>#REF!*#REF!</f>
        <v>#REF!</v>
      </c>
      <c r="G29" s="11" t="e">
        <f>#REF!*#REF!</f>
        <v>#REF!</v>
      </c>
      <c r="H29" s="11">
        <v>913.8523676432668</v>
      </c>
      <c r="I29" s="11">
        <v>949.27752213213284</v>
      </c>
      <c r="J29" s="11">
        <v>984.36761440845203</v>
      </c>
      <c r="K29" s="11">
        <v>1020.8544014270694</v>
      </c>
      <c r="L29" s="11">
        <v>1002</v>
      </c>
      <c r="M29" s="11">
        <v>1013</v>
      </c>
      <c r="N29" s="11">
        <v>1026</v>
      </c>
      <c r="O29" s="11">
        <v>1047</v>
      </c>
      <c r="P29" s="11">
        <v>1057</v>
      </c>
      <c r="Q29" s="11">
        <v>1176</v>
      </c>
      <c r="R29" s="11">
        <v>1213</v>
      </c>
      <c r="S29" s="11">
        <v>1269</v>
      </c>
      <c r="T29" s="11">
        <v>1325</v>
      </c>
      <c r="U29" s="11">
        <v>1404</v>
      </c>
      <c r="V29" s="11">
        <v>1482.953</v>
      </c>
      <c r="W29" s="11">
        <v>1569.5325</v>
      </c>
    </row>
    <row r="30" spans="1:23">
      <c r="A30" s="11" t="s">
        <v>33</v>
      </c>
      <c r="B30" s="11" t="e">
        <f>#REF!*#REF!</f>
        <v>#REF!</v>
      </c>
      <c r="C30" s="11" t="e">
        <f>#REF!*#REF!</f>
        <v>#REF!</v>
      </c>
      <c r="D30" s="11" t="e">
        <f>#REF!*#REF!</f>
        <v>#REF!</v>
      </c>
      <c r="E30" s="11" t="e">
        <f>#REF!*#REF!</f>
        <v>#REF!</v>
      </c>
      <c r="F30" s="11" t="e">
        <f>#REF!*#REF!</f>
        <v>#REF!</v>
      </c>
      <c r="G30" s="11" t="e">
        <f>#REF!*#REF!</f>
        <v>#REF!</v>
      </c>
      <c r="H30" s="11">
        <v>1087.4698247156425</v>
      </c>
      <c r="I30" s="11">
        <v>1142.3238177571152</v>
      </c>
      <c r="J30" s="11">
        <v>1198.2492348998742</v>
      </c>
      <c r="K30" s="11">
        <v>1255.2086051204874</v>
      </c>
      <c r="L30" s="11">
        <v>1313</v>
      </c>
      <c r="M30" s="11">
        <v>1367</v>
      </c>
      <c r="N30" s="11">
        <v>1426</v>
      </c>
      <c r="O30" s="11">
        <v>1499</v>
      </c>
      <c r="P30" s="11">
        <v>1554</v>
      </c>
      <c r="Q30" s="11">
        <v>1597</v>
      </c>
      <c r="R30" s="11">
        <v>1704</v>
      </c>
      <c r="S30" s="11">
        <v>1831</v>
      </c>
      <c r="T30" s="11">
        <v>1897</v>
      </c>
      <c r="U30" s="11">
        <v>1967</v>
      </c>
      <c r="V30" s="11">
        <v>2054.7085999999999</v>
      </c>
      <c r="W30" s="11">
        <v>2148.3813</v>
      </c>
    </row>
    <row r="31" spans="1:23">
      <c r="A31" s="11" t="s">
        <v>34</v>
      </c>
      <c r="B31" s="11" t="e">
        <f>#REF!*#REF!</f>
        <v>#REF!</v>
      </c>
      <c r="C31" s="11" t="e">
        <f>#REF!*#REF!</f>
        <v>#REF!</v>
      </c>
      <c r="D31" s="11" t="e">
        <f>#REF!*#REF!</f>
        <v>#REF!</v>
      </c>
      <c r="E31" s="11" t="e">
        <f>#REF!*#REF!</f>
        <v>#REF!</v>
      </c>
      <c r="F31" s="11" t="e">
        <f>#REF!*#REF!</f>
        <v>#REF!</v>
      </c>
      <c r="G31" s="11" t="e">
        <f>#REF!*#REF!</f>
        <v>#REF!</v>
      </c>
      <c r="H31" s="11">
        <v>79.041932967177317</v>
      </c>
      <c r="I31" s="11">
        <v>78.024326115153499</v>
      </c>
      <c r="J31" s="11">
        <v>76.741463666322701</v>
      </c>
      <c r="K31" s="11">
        <v>75.627079384131591</v>
      </c>
      <c r="L31" s="11">
        <v>58</v>
      </c>
      <c r="M31" s="11">
        <v>60</v>
      </c>
      <c r="N31" s="11">
        <v>62</v>
      </c>
      <c r="O31" s="11">
        <v>64</v>
      </c>
      <c r="P31" s="11">
        <v>66</v>
      </c>
      <c r="Q31" s="11">
        <v>68</v>
      </c>
      <c r="R31" s="11">
        <v>69</v>
      </c>
      <c r="S31" s="11">
        <v>70</v>
      </c>
      <c r="T31" s="11">
        <v>74</v>
      </c>
      <c r="U31" s="11">
        <v>82</v>
      </c>
      <c r="V31" s="11">
        <v>89.877600000000001</v>
      </c>
      <c r="W31" s="11">
        <v>97.843599999999981</v>
      </c>
    </row>
    <row r="32" spans="1:23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</row>
    <row r="33" spans="1:23">
      <c r="A33" s="11" t="s">
        <v>35</v>
      </c>
      <c r="B33" s="11" t="e">
        <f>#REF!*#REF!</f>
        <v>#REF!</v>
      </c>
      <c r="C33" s="11" t="e">
        <f>#REF!*#REF!</f>
        <v>#REF!</v>
      </c>
      <c r="D33" s="11" t="e">
        <f>#REF!*#REF!</f>
        <v>#REF!</v>
      </c>
      <c r="E33" s="11" t="e">
        <f>#REF!*#REF!</f>
        <v>#REF!</v>
      </c>
      <c r="F33" s="11" t="e">
        <f>#REF!*#REF!</f>
        <v>#REF!</v>
      </c>
      <c r="G33" s="11" t="e">
        <f>#REF!*#REF!</f>
        <v>#REF!</v>
      </c>
      <c r="H33" s="11">
        <v>1147.1557287937915</v>
      </c>
      <c r="I33" s="11">
        <v>1204.096037586457</v>
      </c>
      <c r="J33" s="11">
        <v>1262.8267175337448</v>
      </c>
      <c r="K33" s="11">
        <v>1323.1287928120837</v>
      </c>
      <c r="L33" s="11">
        <v>1374</v>
      </c>
      <c r="M33" s="11">
        <v>1447</v>
      </c>
      <c r="N33" s="11">
        <v>1506</v>
      </c>
      <c r="O33" s="11">
        <v>1565</v>
      </c>
      <c r="P33" s="11">
        <v>1621</v>
      </c>
      <c r="Q33" s="11">
        <v>1709</v>
      </c>
      <c r="R33" s="11">
        <v>1770</v>
      </c>
      <c r="S33" s="11">
        <v>1877</v>
      </c>
      <c r="T33" s="11">
        <v>1931</v>
      </c>
      <c r="U33" s="11">
        <v>1985</v>
      </c>
      <c r="V33" s="11">
        <v>2045.1856</v>
      </c>
      <c r="W33" s="11">
        <v>2110.1142</v>
      </c>
    </row>
    <row r="34" spans="1:23">
      <c r="A34" s="11" t="s">
        <v>36</v>
      </c>
      <c r="B34" s="11" t="e">
        <f>#REF!*#REF!</f>
        <v>#REF!</v>
      </c>
      <c r="C34" s="11" t="e">
        <f>#REF!*#REF!</f>
        <v>#REF!</v>
      </c>
      <c r="D34" s="11" t="e">
        <f>#REF!*#REF!</f>
        <v>#REF!</v>
      </c>
      <c r="E34" s="11" t="e">
        <f>#REF!*#REF!</f>
        <v>#REF!</v>
      </c>
      <c r="F34" s="11" t="e">
        <f>#REF!*#REF!</f>
        <v>#REF!</v>
      </c>
      <c r="G34" s="11" t="e">
        <f>#REF!*#REF!</f>
        <v>#REF!</v>
      </c>
      <c r="H34" s="11">
        <v>708.51078891339478</v>
      </c>
      <c r="I34" s="11">
        <v>729.38310356199202</v>
      </c>
      <c r="J34" s="11">
        <v>748.48990951760595</v>
      </c>
      <c r="K34" s="11">
        <v>769.50115247128963</v>
      </c>
      <c r="L34" s="11">
        <v>764</v>
      </c>
      <c r="M34" s="11">
        <v>792</v>
      </c>
      <c r="N34" s="11">
        <v>822</v>
      </c>
      <c r="O34" s="11">
        <v>856</v>
      </c>
      <c r="P34" s="11">
        <v>891</v>
      </c>
      <c r="Q34" s="11">
        <v>925</v>
      </c>
      <c r="R34" s="11">
        <v>953</v>
      </c>
      <c r="S34" s="11">
        <v>999</v>
      </c>
      <c r="T34" s="11">
        <v>1036</v>
      </c>
      <c r="U34" s="11">
        <v>1080</v>
      </c>
      <c r="V34" s="11">
        <v>1122.94</v>
      </c>
      <c r="W34" s="11">
        <v>1166.4089999999999</v>
      </c>
    </row>
    <row r="35" spans="1:23">
      <c r="A35" s="11" t="s">
        <v>37</v>
      </c>
      <c r="B35" s="11" t="e">
        <f>#REF!*#REF!</f>
        <v>#REF!</v>
      </c>
      <c r="C35" s="11" t="e">
        <f>#REF!*#REF!</f>
        <v>#REF!</v>
      </c>
      <c r="D35" s="11" t="e">
        <f>#REF!*#REF!</f>
        <v>#REF!</v>
      </c>
      <c r="E35" s="11" t="e">
        <f>#REF!*#REF!</f>
        <v>#REF!</v>
      </c>
      <c r="F35" s="11" t="e">
        <f>#REF!*#REF!</f>
        <v>#REF!</v>
      </c>
      <c r="G35" s="11" t="e">
        <f>#REF!*#REF!</f>
        <v>#REF!</v>
      </c>
      <c r="H35" s="11">
        <v>191.94766311946211</v>
      </c>
      <c r="I35" s="11">
        <v>197.47953214898936</v>
      </c>
      <c r="J35" s="11">
        <v>202.65447705215666</v>
      </c>
      <c r="K35" s="11">
        <v>208.06692869122014</v>
      </c>
      <c r="L35" s="11">
        <v>213</v>
      </c>
      <c r="M35" s="11">
        <v>215</v>
      </c>
      <c r="N35" s="11">
        <v>221</v>
      </c>
      <c r="O35" s="11">
        <v>226</v>
      </c>
      <c r="P35" s="11">
        <v>234</v>
      </c>
      <c r="Q35" s="11">
        <v>252</v>
      </c>
      <c r="R35" s="11">
        <v>263</v>
      </c>
      <c r="S35" s="11">
        <v>272</v>
      </c>
      <c r="T35" s="11">
        <v>280</v>
      </c>
      <c r="U35" s="11">
        <v>290</v>
      </c>
      <c r="V35" s="11">
        <v>295.76399999999995</v>
      </c>
      <c r="W35" s="11">
        <v>306.16590000000002</v>
      </c>
    </row>
    <row r="36" spans="1:23">
      <c r="A36" s="11" t="s">
        <v>38</v>
      </c>
      <c r="B36" s="11" t="e">
        <f>#REF!*#REF!</f>
        <v>#REF!</v>
      </c>
      <c r="C36" s="11" t="e">
        <f>#REF!*#REF!</f>
        <v>#REF!</v>
      </c>
      <c r="D36" s="11" t="e">
        <f>#REF!*#REF!</f>
        <v>#REF!</v>
      </c>
      <c r="E36" s="11" t="e">
        <f>#REF!*#REF!</f>
        <v>#REF!</v>
      </c>
      <c r="F36" s="11" t="e">
        <f>#REF!*#REF!</f>
        <v>#REF!</v>
      </c>
      <c r="G36" s="11" t="e">
        <f>#REF!*#REF!</f>
        <v>#REF!</v>
      </c>
      <c r="H36" s="11">
        <v>217.94243777919587</v>
      </c>
      <c r="I36" s="11">
        <v>226.5769135559942</v>
      </c>
      <c r="J36" s="11">
        <v>235.13107442623667</v>
      </c>
      <c r="K36" s="11">
        <v>243.62570415657578</v>
      </c>
      <c r="L36" s="11">
        <v>252</v>
      </c>
      <c r="M36" s="11">
        <v>260</v>
      </c>
      <c r="N36" s="11">
        <v>269</v>
      </c>
      <c r="O36" s="11">
        <v>278</v>
      </c>
      <c r="P36" s="11">
        <v>288</v>
      </c>
      <c r="Q36" s="11">
        <v>303</v>
      </c>
      <c r="R36" s="11">
        <v>319</v>
      </c>
      <c r="S36" s="11">
        <v>328</v>
      </c>
      <c r="T36" s="11">
        <v>340</v>
      </c>
      <c r="U36" s="11">
        <v>355</v>
      </c>
      <c r="V36" s="11">
        <v>368.93639999999999</v>
      </c>
      <c r="W36" s="11">
        <v>379.95749999999998</v>
      </c>
    </row>
    <row r="37" spans="1:23">
      <c r="A37" s="11" t="s">
        <v>39</v>
      </c>
      <c r="B37" s="11" t="e">
        <f>#REF!*#REF!</f>
        <v>#REF!</v>
      </c>
      <c r="C37" s="11" t="e">
        <f>#REF!*#REF!</f>
        <v>#REF!</v>
      </c>
      <c r="D37" s="11" t="e">
        <f>#REF!*#REF!</f>
        <v>#REF!</v>
      </c>
      <c r="E37" s="11" t="e">
        <f>#REF!*#REF!</f>
        <v>#REF!</v>
      </c>
      <c r="F37" s="11" t="e">
        <f>#REF!*#REF!</f>
        <v>#REF!</v>
      </c>
      <c r="G37" s="11" t="e">
        <f>#REF!*#REF!</f>
        <v>#REF!</v>
      </c>
      <c r="H37" s="11">
        <v>647.9387281653153</v>
      </c>
      <c r="I37" s="11">
        <v>670.24154793018363</v>
      </c>
      <c r="J37" s="11">
        <v>693.00596128397171</v>
      </c>
      <c r="K37" s="11">
        <v>716.28660952480016</v>
      </c>
      <c r="L37" s="11">
        <v>747</v>
      </c>
      <c r="M37" s="11">
        <v>778</v>
      </c>
      <c r="N37" s="11">
        <v>820</v>
      </c>
      <c r="O37" s="11">
        <v>845</v>
      </c>
      <c r="P37" s="11">
        <v>860</v>
      </c>
      <c r="Q37" s="11">
        <v>940</v>
      </c>
      <c r="R37" s="11">
        <v>962</v>
      </c>
      <c r="S37" s="11">
        <v>982</v>
      </c>
      <c r="T37" s="11">
        <v>1007</v>
      </c>
      <c r="U37" s="11">
        <v>1059</v>
      </c>
      <c r="V37" s="11">
        <v>1114.6279999999999</v>
      </c>
      <c r="W37" s="11">
        <v>1159.433</v>
      </c>
    </row>
    <row r="38" spans="1:23">
      <c r="A38" s="10"/>
    </row>
  </sheetData>
  <phoneticPr fontId="6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DEDE8-225A-9144-9BB7-A64902428E8B}">
  <dimension ref="A1:W38"/>
  <sheetViews>
    <sheetView workbookViewId="0">
      <selection sqref="A1:A1048576"/>
    </sheetView>
  </sheetViews>
  <sheetFormatPr baseColWidth="10" defaultRowHeight="16"/>
  <cols>
    <col min="1" max="1" width="19" customWidth="1"/>
  </cols>
  <sheetData>
    <row r="1" spans="1:23" ht="17">
      <c r="A1" s="23" t="s">
        <v>50</v>
      </c>
      <c r="B1" s="23">
        <v>1995</v>
      </c>
      <c r="C1" s="23">
        <v>1996</v>
      </c>
      <c r="D1" s="23">
        <v>1997</v>
      </c>
      <c r="E1" s="23">
        <v>1998</v>
      </c>
      <c r="F1" s="23">
        <v>1999</v>
      </c>
      <c r="G1" s="23">
        <v>2000</v>
      </c>
      <c r="H1" s="23">
        <v>2001</v>
      </c>
      <c r="I1" s="23">
        <v>2002</v>
      </c>
      <c r="J1" s="23">
        <v>2003</v>
      </c>
      <c r="K1" s="23">
        <v>2004</v>
      </c>
      <c r="L1" s="23">
        <v>2005</v>
      </c>
      <c r="M1" s="23">
        <v>2006</v>
      </c>
      <c r="N1" s="23">
        <v>2007</v>
      </c>
      <c r="O1" s="23">
        <v>2008</v>
      </c>
      <c r="P1" s="23">
        <v>2009</v>
      </c>
      <c r="Q1" s="23">
        <v>2010</v>
      </c>
      <c r="R1" s="23">
        <v>2011</v>
      </c>
      <c r="S1" s="23">
        <v>2012</v>
      </c>
      <c r="T1" s="23">
        <v>2013</v>
      </c>
      <c r="U1" s="23">
        <v>2014</v>
      </c>
      <c r="V1" s="23">
        <v>2015</v>
      </c>
      <c r="W1" s="23">
        <v>2016</v>
      </c>
    </row>
    <row r="2" spans="1:23">
      <c r="A2" s="16" t="s">
        <v>9</v>
      </c>
      <c r="B2" s="11" t="e">
        <f>#REF!-#REF!</f>
        <v>#REF!</v>
      </c>
      <c r="C2" s="11" t="e">
        <f>#REF!-#REF!</f>
        <v>#REF!</v>
      </c>
      <c r="D2" s="11" t="e">
        <f>#REF!-#REF!</f>
        <v>#REF!</v>
      </c>
      <c r="E2" s="11" t="e">
        <f>#REF!-#REF!</f>
        <v>#REF!</v>
      </c>
      <c r="F2" s="11" t="e">
        <f>#REF!-#REF!</f>
        <v>#REF!</v>
      </c>
      <c r="G2" s="11" t="e">
        <f>#REF!-#REF!</f>
        <v>#REF!</v>
      </c>
      <c r="H2" s="11">
        <v>247.78584743332385</v>
      </c>
      <c r="I2" s="11">
        <v>249.43862891579397</v>
      </c>
      <c r="J2" s="11">
        <v>249.74663111657401</v>
      </c>
      <c r="K2" s="11">
        <v>250.43519437792997</v>
      </c>
      <c r="L2" s="11">
        <v>252</v>
      </c>
      <c r="M2" s="11">
        <v>251</v>
      </c>
      <c r="N2" s="11">
        <v>260</v>
      </c>
      <c r="O2" s="11">
        <v>267</v>
      </c>
      <c r="P2" s="11">
        <v>279</v>
      </c>
      <c r="Q2" s="11">
        <v>275</v>
      </c>
      <c r="R2" s="11">
        <v>279</v>
      </c>
      <c r="S2" s="11">
        <v>286</v>
      </c>
      <c r="T2" s="11">
        <v>290</v>
      </c>
      <c r="U2" s="11">
        <v>294</v>
      </c>
      <c r="V2" s="11" t="e">
        <f>#REF!-#REF!</f>
        <v>#REF!</v>
      </c>
      <c r="W2" s="11" t="e">
        <f>#REF!-#REF!</f>
        <v>#REF!</v>
      </c>
    </row>
    <row r="3" spans="1:23">
      <c r="A3" s="11" t="s">
        <v>10</v>
      </c>
      <c r="B3" s="11" t="e">
        <f>#REF!-#REF!</f>
        <v>#REF!</v>
      </c>
      <c r="C3" s="11" t="e">
        <f>#REF!-#REF!</f>
        <v>#REF!</v>
      </c>
      <c r="D3" s="11" t="e">
        <f>#REF!-#REF!</f>
        <v>#REF!</v>
      </c>
      <c r="E3" s="11" t="e">
        <f>#REF!-#REF!</f>
        <v>#REF!</v>
      </c>
      <c r="F3" s="11" t="e">
        <f>#REF!-#REF!</f>
        <v>#REF!</v>
      </c>
      <c r="G3" s="11" t="e">
        <f>#REF!-#REF!</f>
        <v>#REF!</v>
      </c>
      <c r="H3" s="11">
        <v>281.43877149750858</v>
      </c>
      <c r="I3" s="11">
        <v>274.1416500423951</v>
      </c>
      <c r="J3" s="11">
        <v>267.28853012377238</v>
      </c>
      <c r="K3" s="11">
        <v>262.67398915879812</v>
      </c>
      <c r="L3" s="11">
        <v>259</v>
      </c>
      <c r="M3" s="11">
        <v>261</v>
      </c>
      <c r="N3" s="11">
        <v>264</v>
      </c>
      <c r="O3" s="11">
        <v>268</v>
      </c>
      <c r="P3" s="11">
        <v>270</v>
      </c>
      <c r="Q3" s="11">
        <v>266</v>
      </c>
      <c r="R3" s="11">
        <v>264</v>
      </c>
      <c r="S3" s="11">
        <v>261</v>
      </c>
      <c r="T3" s="11">
        <v>265</v>
      </c>
      <c r="U3" s="11">
        <v>269</v>
      </c>
      <c r="V3" s="11" t="e">
        <f>#REF!-#REF!</f>
        <v>#REF!</v>
      </c>
      <c r="W3" s="11" t="e">
        <f>#REF!-#REF!</f>
        <v>#REF!</v>
      </c>
    </row>
    <row r="4" spans="1:23">
      <c r="A4" s="11" t="s">
        <v>11</v>
      </c>
      <c r="B4" s="11" t="e">
        <f>#REF!-#REF!</f>
        <v>#REF!</v>
      </c>
      <c r="C4" s="11" t="e">
        <f>#REF!-#REF!</f>
        <v>#REF!</v>
      </c>
      <c r="D4" s="11" t="e">
        <f>#REF!-#REF!</f>
        <v>#REF!</v>
      </c>
      <c r="E4" s="11" t="e">
        <f>#REF!-#REF!</f>
        <v>#REF!</v>
      </c>
      <c r="F4" s="11" t="e">
        <f>#REF!-#REF!</f>
        <v>#REF!</v>
      </c>
      <c r="G4" s="11" t="e">
        <f>#REF!-#REF!</f>
        <v>#REF!</v>
      </c>
      <c r="H4" s="11">
        <v>4510.4195978962925</v>
      </c>
      <c r="I4" s="11">
        <v>4452.1423218756609</v>
      </c>
      <c r="J4" s="11">
        <v>4390.4839133849437</v>
      </c>
      <c r="K4" s="11">
        <v>4329.8198002940208</v>
      </c>
      <c r="L4" s="11">
        <v>4269</v>
      </c>
      <c r="M4" s="11">
        <v>4224</v>
      </c>
      <c r="N4" s="11">
        <v>4148</v>
      </c>
      <c r="O4" s="11">
        <v>4060</v>
      </c>
      <c r="P4" s="11">
        <v>3957</v>
      </c>
      <c r="Q4" s="11">
        <v>3993</v>
      </c>
      <c r="R4" s="11">
        <v>3939</v>
      </c>
      <c r="S4" s="11">
        <v>3877</v>
      </c>
      <c r="T4" s="11">
        <v>3804</v>
      </c>
      <c r="U4" s="11">
        <v>3741</v>
      </c>
      <c r="V4" s="11" t="e">
        <f>#REF!-#REF!</f>
        <v>#REF!</v>
      </c>
      <c r="W4" s="11" t="e">
        <f>#REF!-#REF!</f>
        <v>#REF!</v>
      </c>
    </row>
    <row r="5" spans="1:23">
      <c r="A5" s="11" t="s">
        <v>12</v>
      </c>
      <c r="B5" s="11" t="e">
        <f>#REF!-#REF!</f>
        <v>#REF!</v>
      </c>
      <c r="C5" s="11" t="e">
        <f>#REF!-#REF!</f>
        <v>#REF!</v>
      </c>
      <c r="D5" s="11" t="e">
        <f>#REF!-#REF!</f>
        <v>#REF!</v>
      </c>
      <c r="E5" s="11" t="e">
        <f>#REF!-#REF!</f>
        <v>#REF!</v>
      </c>
      <c r="F5" s="11" t="e">
        <f>#REF!-#REF!</f>
        <v>#REF!</v>
      </c>
      <c r="G5" s="11" t="e">
        <f>#REF!-#REF!</f>
        <v>#REF!</v>
      </c>
      <c r="H5" s="11">
        <v>2018.0115975311628</v>
      </c>
      <c r="I5" s="11">
        <v>2000.7814317214013</v>
      </c>
      <c r="J5" s="11">
        <v>1981.8539922995863</v>
      </c>
      <c r="K5" s="11">
        <v>1962.5475368508537</v>
      </c>
      <c r="L5" s="11">
        <v>1942</v>
      </c>
      <c r="M5" s="11">
        <v>1923</v>
      </c>
      <c r="N5" s="11">
        <v>1899</v>
      </c>
      <c r="O5" s="11">
        <v>1872</v>
      </c>
      <c r="P5" s="11">
        <v>1851</v>
      </c>
      <c r="Q5" s="11">
        <v>1857</v>
      </c>
      <c r="R5" s="11">
        <v>1808</v>
      </c>
      <c r="S5" s="11">
        <v>1760</v>
      </c>
      <c r="T5" s="11">
        <v>1722</v>
      </c>
      <c r="U5" s="11">
        <v>1686</v>
      </c>
      <c r="V5" s="11" t="e">
        <f>#REF!-#REF!</f>
        <v>#REF!</v>
      </c>
      <c r="W5" s="11" t="e">
        <f>#REF!-#REF!</f>
        <v>#REF!</v>
      </c>
    </row>
    <row r="6" spans="1:23">
      <c r="A6" s="11" t="s">
        <v>13</v>
      </c>
      <c r="B6" s="11" t="e">
        <f>#REF!-#REF!</f>
        <v>#REF!</v>
      </c>
      <c r="C6" s="11" t="e">
        <f>#REF!-#REF!</f>
        <v>#REF!</v>
      </c>
      <c r="D6" s="11" t="e">
        <f>#REF!-#REF!</f>
        <v>#REF!</v>
      </c>
      <c r="E6" s="11" t="e">
        <f>#REF!-#REF!</f>
        <v>#REF!</v>
      </c>
      <c r="F6" s="11" t="e">
        <f>#REF!-#REF!</f>
        <v>#REF!</v>
      </c>
      <c r="G6" s="11" t="e">
        <f>#REF!-#REF!</f>
        <v>#REF!</v>
      </c>
      <c r="H6" s="11">
        <v>1400.4808975738902</v>
      </c>
      <c r="I6" s="11">
        <v>1365.7136701912273</v>
      </c>
      <c r="J6" s="11">
        <v>1329.7768683864419</v>
      </c>
      <c r="K6" s="11">
        <v>1295.6096972706182</v>
      </c>
      <c r="L6" s="11">
        <v>1269</v>
      </c>
      <c r="M6" s="11">
        <v>1240</v>
      </c>
      <c r="N6" s="11">
        <v>1211</v>
      </c>
      <c r="O6" s="11">
        <v>1180</v>
      </c>
      <c r="P6" s="11">
        <v>1146</v>
      </c>
      <c r="Q6" s="11">
        <v>1100</v>
      </c>
      <c r="R6" s="11">
        <v>1077</v>
      </c>
      <c r="S6" s="11">
        <v>1052</v>
      </c>
      <c r="T6" s="11">
        <v>1031</v>
      </c>
      <c r="U6" s="11">
        <v>1014</v>
      </c>
      <c r="V6" s="11" t="e">
        <f>#REF!-#REF!</f>
        <v>#REF!</v>
      </c>
      <c r="W6" s="11" t="e">
        <f>#REF!-#REF!</f>
        <v>#REF!</v>
      </c>
    </row>
    <row r="7" spans="1:23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</row>
    <row r="8" spans="1:23">
      <c r="A8" s="11" t="s">
        <v>14</v>
      </c>
      <c r="B8" s="11" t="e">
        <f>#REF!-#REF!</f>
        <v>#REF!</v>
      </c>
      <c r="C8" s="11" t="e">
        <f>#REF!-#REF!</f>
        <v>#REF!</v>
      </c>
      <c r="D8" s="11" t="e">
        <f>#REF!-#REF!</f>
        <v>#REF!</v>
      </c>
      <c r="E8" s="11" t="e">
        <f>#REF!-#REF!</f>
        <v>#REF!</v>
      </c>
      <c r="F8" s="11" t="e">
        <f>#REF!-#REF!</f>
        <v>#REF!</v>
      </c>
      <c r="G8" s="11" t="e">
        <f>#REF!-#REF!</f>
        <v>#REF!</v>
      </c>
      <c r="H8" s="11">
        <v>1802.4336292975136</v>
      </c>
      <c r="I8" s="11">
        <v>1788.6508035014181</v>
      </c>
      <c r="J8" s="11">
        <v>1773.9947544403485</v>
      </c>
      <c r="K8" s="11">
        <v>1759.3276538088699</v>
      </c>
      <c r="L8" s="11">
        <v>1743</v>
      </c>
      <c r="M8" s="11">
        <v>1752</v>
      </c>
      <c r="N8" s="11">
        <v>1754</v>
      </c>
      <c r="O8" s="11">
        <v>1724</v>
      </c>
      <c r="P8" s="11">
        <v>1721</v>
      </c>
      <c r="Q8" s="11">
        <v>1658</v>
      </c>
      <c r="R8" s="11">
        <v>1576</v>
      </c>
      <c r="S8" s="11">
        <v>1508</v>
      </c>
      <c r="T8" s="11">
        <v>1473</v>
      </c>
      <c r="U8" s="11">
        <v>1447</v>
      </c>
      <c r="V8" s="11" t="e">
        <f>#REF!-#REF!</f>
        <v>#REF!</v>
      </c>
      <c r="W8" s="11" t="e">
        <f>#REF!-#REF!</f>
        <v>#REF!</v>
      </c>
    </row>
    <row r="9" spans="1:23">
      <c r="A9" s="11" t="s">
        <v>15</v>
      </c>
      <c r="B9" s="11" t="e">
        <f>#REF!-#REF!</f>
        <v>#REF!</v>
      </c>
      <c r="C9" s="11" t="e">
        <f>#REF!-#REF!</f>
        <v>#REF!</v>
      </c>
      <c r="D9" s="11" t="e">
        <f>#REF!-#REF!</f>
        <v>#REF!</v>
      </c>
      <c r="E9" s="11" t="e">
        <f>#REF!-#REF!</f>
        <v>#REF!</v>
      </c>
      <c r="F9" s="11" t="e">
        <f>#REF!-#REF!</f>
        <v>#REF!</v>
      </c>
      <c r="G9" s="11" t="e">
        <f>#REF!-#REF!</f>
        <v>#REF!</v>
      </c>
      <c r="H9" s="11">
        <v>1299.0868936569107</v>
      </c>
      <c r="I9" s="11">
        <v>1297.5599467919747</v>
      </c>
      <c r="J9" s="11">
        <v>1294.4228095995622</v>
      </c>
      <c r="K9" s="11">
        <v>1291.5548045647167</v>
      </c>
      <c r="L9" s="11">
        <v>1290</v>
      </c>
      <c r="M9" s="11">
        <v>1281</v>
      </c>
      <c r="N9" s="11">
        <v>1279</v>
      </c>
      <c r="O9" s="11">
        <v>1279</v>
      </c>
      <c r="P9" s="11">
        <v>1279</v>
      </c>
      <c r="Q9" s="11">
        <v>1281</v>
      </c>
      <c r="R9" s="11">
        <v>1281</v>
      </c>
      <c r="S9" s="11">
        <v>1273</v>
      </c>
      <c r="T9" s="11">
        <v>1260</v>
      </c>
      <c r="U9" s="11">
        <v>1244</v>
      </c>
      <c r="V9" s="11" t="e">
        <f>#REF!-#REF!</f>
        <v>#REF!</v>
      </c>
      <c r="W9" s="11" t="e">
        <f>#REF!-#REF!</f>
        <v>#REF!</v>
      </c>
    </row>
    <row r="10" spans="1:23">
      <c r="A10" s="11" t="s">
        <v>16</v>
      </c>
      <c r="B10" s="11" t="e">
        <f>#REF!-#REF!</f>
        <v>#REF!</v>
      </c>
      <c r="C10" s="11" t="e">
        <f>#REF!-#REF!</f>
        <v>#REF!</v>
      </c>
      <c r="D10" s="11" t="e">
        <f>#REF!-#REF!</f>
        <v>#REF!</v>
      </c>
      <c r="E10" s="11" t="e">
        <f>#REF!-#REF!</f>
        <v>#REF!</v>
      </c>
      <c r="F10" s="11" t="e">
        <f>#REF!-#REF!</f>
        <v>#REF!</v>
      </c>
      <c r="G10" s="11" t="e">
        <f>#REF!-#REF!</f>
        <v>#REF!</v>
      </c>
      <c r="H10" s="11">
        <v>1879.3687720467155</v>
      </c>
      <c r="I10" s="11">
        <v>1857.3117797616587</v>
      </c>
      <c r="J10" s="11">
        <v>1835.2449938640748</v>
      </c>
      <c r="K10" s="11">
        <v>1813.1751565542008</v>
      </c>
      <c r="L10" s="11">
        <v>1792</v>
      </c>
      <c r="M10" s="11">
        <v>1778</v>
      </c>
      <c r="N10" s="11">
        <v>1763</v>
      </c>
      <c r="O10" s="11">
        <v>1706</v>
      </c>
      <c r="P10" s="11">
        <v>1703</v>
      </c>
      <c r="Q10" s="11">
        <v>1700</v>
      </c>
      <c r="R10" s="11">
        <v>1668</v>
      </c>
      <c r="S10" s="11">
        <v>1652</v>
      </c>
      <c r="T10" s="11">
        <v>1634</v>
      </c>
      <c r="U10" s="11">
        <v>1609</v>
      </c>
      <c r="V10" s="11" t="e">
        <f>#REF!-#REF!</f>
        <v>#REF!</v>
      </c>
      <c r="W10" s="11" t="e">
        <f>#REF!-#REF!</f>
        <v>#REF!</v>
      </c>
    </row>
    <row r="11" spans="1:23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</row>
    <row r="12" spans="1:23">
      <c r="A12" s="11" t="s">
        <v>17</v>
      </c>
      <c r="B12" s="11" t="e">
        <f>#REF!-#REF!</f>
        <v>#REF!</v>
      </c>
      <c r="C12" s="11" t="e">
        <f>#REF!-#REF!</f>
        <v>#REF!</v>
      </c>
      <c r="D12" s="11" t="e">
        <f>#REF!-#REF!</f>
        <v>#REF!</v>
      </c>
      <c r="E12" s="11" t="e">
        <f>#REF!-#REF!</f>
        <v>#REF!</v>
      </c>
      <c r="F12" s="11" t="e">
        <f>#REF!-#REF!</f>
        <v>#REF!</v>
      </c>
      <c r="G12" s="11" t="e">
        <f>#REF!-#REF!</f>
        <v>#REF!</v>
      </c>
      <c r="H12" s="11">
        <v>168.51395764791209</v>
      </c>
      <c r="I12" s="11">
        <v>171.54558156385929</v>
      </c>
      <c r="J12" s="11">
        <v>182.6264876962357</v>
      </c>
      <c r="K12" s="11">
        <v>187.99365677504352</v>
      </c>
      <c r="L12" s="11">
        <v>206</v>
      </c>
      <c r="M12" s="11">
        <v>222</v>
      </c>
      <c r="N12" s="11">
        <v>233</v>
      </c>
      <c r="O12" s="11">
        <v>244</v>
      </c>
      <c r="P12" s="11">
        <v>252</v>
      </c>
      <c r="Q12" s="11">
        <v>246</v>
      </c>
      <c r="R12" s="11">
        <v>251</v>
      </c>
      <c r="S12" s="11">
        <v>255</v>
      </c>
      <c r="T12" s="11">
        <v>251</v>
      </c>
      <c r="U12" s="11">
        <v>252</v>
      </c>
      <c r="V12" s="11" t="e">
        <f>#REF!-#REF!</f>
        <v>#REF!</v>
      </c>
      <c r="W12" s="11" t="e">
        <f>#REF!-#REF!</f>
        <v>#REF!</v>
      </c>
    </row>
    <row r="13" spans="1:23">
      <c r="A13" s="11" t="s">
        <v>18</v>
      </c>
      <c r="B13" s="11" t="e">
        <f>#REF!-#REF!</f>
        <v>#REF!</v>
      </c>
      <c r="C13" s="11" t="e">
        <f>#REF!-#REF!</f>
        <v>#REF!</v>
      </c>
      <c r="D13" s="11" t="e">
        <f>#REF!-#REF!</f>
        <v>#REF!</v>
      </c>
      <c r="E13" s="11" t="e">
        <f>#REF!-#REF!</f>
        <v>#REF!</v>
      </c>
      <c r="F13" s="11" t="e">
        <f>#REF!-#REF!</f>
        <v>#REF!</v>
      </c>
      <c r="G13" s="11" t="e">
        <f>#REF!-#REF!</f>
        <v>#REF!</v>
      </c>
      <c r="H13" s="11">
        <v>4073.8123670561922</v>
      </c>
      <c r="I13" s="11">
        <v>3987.3285776092193</v>
      </c>
      <c r="J13" s="11">
        <v>3899.0627107044279</v>
      </c>
      <c r="K13" s="11">
        <v>3811.026882506545</v>
      </c>
      <c r="L13" s="11">
        <v>3756</v>
      </c>
      <c r="M13" s="11">
        <v>3682</v>
      </c>
      <c r="N13" s="11">
        <v>3614</v>
      </c>
      <c r="O13" s="11">
        <v>3547</v>
      </c>
      <c r="P13" s="11">
        <v>3468</v>
      </c>
      <c r="Q13" s="11">
        <v>3102</v>
      </c>
      <c r="R13" s="11">
        <v>3009</v>
      </c>
      <c r="S13" s="11">
        <v>2930</v>
      </c>
      <c r="T13" s="11">
        <v>2849</v>
      </c>
      <c r="U13" s="11">
        <v>2769</v>
      </c>
      <c r="V13" s="11" t="e">
        <f>#REF!-#REF!</f>
        <v>#REF!</v>
      </c>
      <c r="W13" s="11" t="e">
        <f>#REF!-#REF!</f>
        <v>#REF!</v>
      </c>
    </row>
    <row r="14" spans="1:23">
      <c r="A14" s="11" t="s">
        <v>19</v>
      </c>
      <c r="B14" s="11" t="e">
        <f>#REF!-#REF!</f>
        <v>#REF!</v>
      </c>
      <c r="C14" s="11" t="e">
        <f>#REF!-#REF!</f>
        <v>#REF!</v>
      </c>
      <c r="D14" s="11" t="e">
        <f>#REF!-#REF!</f>
        <v>#REF!</v>
      </c>
      <c r="E14" s="11" t="e">
        <f>#REF!-#REF!</f>
        <v>#REF!</v>
      </c>
      <c r="F14" s="11" t="e">
        <f>#REF!-#REF!</f>
        <v>#REF!</v>
      </c>
      <c r="G14" s="11" t="e">
        <f>#REF!-#REF!</f>
        <v>#REF!</v>
      </c>
      <c r="H14" s="11">
        <v>2115.6017142438859</v>
      </c>
      <c r="I14" s="11">
        <v>2109.1811960709447</v>
      </c>
      <c r="J14" s="11">
        <v>2101.8263033541748</v>
      </c>
      <c r="K14" s="11">
        <v>2097.7178033405016</v>
      </c>
      <c r="L14" s="11">
        <v>2195</v>
      </c>
      <c r="M14" s="11">
        <v>2206</v>
      </c>
      <c r="N14" s="11">
        <v>2206</v>
      </c>
      <c r="O14" s="11">
        <v>2210</v>
      </c>
      <c r="P14" s="11">
        <v>2221</v>
      </c>
      <c r="Q14" s="11">
        <v>2090</v>
      </c>
      <c r="R14" s="11">
        <v>2060</v>
      </c>
      <c r="S14" s="11">
        <v>2016</v>
      </c>
      <c r="T14" s="11">
        <v>1979</v>
      </c>
      <c r="U14" s="11">
        <v>1935</v>
      </c>
      <c r="V14" s="11" t="e">
        <f>#REF!-#REF!</f>
        <v>#REF!</v>
      </c>
      <c r="W14" s="11" t="e">
        <f>#REF!-#REF!</f>
        <v>#REF!</v>
      </c>
    </row>
    <row r="15" spans="1:23">
      <c r="A15" s="11" t="s">
        <v>20</v>
      </c>
      <c r="B15" s="11" t="e">
        <f>#REF!-#REF!</f>
        <v>#REF!</v>
      </c>
      <c r="C15" s="11" t="e">
        <f>#REF!-#REF!</f>
        <v>#REF!</v>
      </c>
      <c r="D15" s="11" t="e">
        <f>#REF!-#REF!</f>
        <v>#REF!</v>
      </c>
      <c r="E15" s="11" t="e">
        <f>#REF!-#REF!</f>
        <v>#REF!</v>
      </c>
      <c r="F15" s="11" t="e">
        <f>#REF!-#REF!</f>
        <v>#REF!</v>
      </c>
      <c r="G15" s="11" t="e">
        <f>#REF!-#REF!</f>
        <v>#REF!</v>
      </c>
      <c r="H15" s="11">
        <v>4467.8719532650448</v>
      </c>
      <c r="I15" s="11">
        <v>4381.9507316664931</v>
      </c>
      <c r="J15" s="11">
        <v>4335.1503256081251</v>
      </c>
      <c r="K15" s="11">
        <v>4269.8728036971752</v>
      </c>
      <c r="L15" s="11">
        <v>3947</v>
      </c>
      <c r="M15" s="11">
        <v>3843</v>
      </c>
      <c r="N15" s="11">
        <v>3750</v>
      </c>
      <c r="O15" s="11">
        <v>3650</v>
      </c>
      <c r="P15" s="11">
        <v>3550</v>
      </c>
      <c r="Q15" s="11">
        <v>3395</v>
      </c>
      <c r="R15" s="11">
        <v>3294</v>
      </c>
      <c r="S15" s="11">
        <v>3204</v>
      </c>
      <c r="T15" s="11">
        <v>3144</v>
      </c>
      <c r="U15" s="11">
        <v>3093</v>
      </c>
      <c r="V15" s="11" t="e">
        <f>#REF!-#REF!</f>
        <v>#REF!</v>
      </c>
      <c r="W15" s="11" t="e">
        <f>#REF!-#REF!</f>
        <v>#REF!</v>
      </c>
    </row>
    <row r="16" spans="1:23">
      <c r="A16" s="11" t="s">
        <v>21</v>
      </c>
      <c r="B16" s="11" t="e">
        <f>#REF!-#REF!</f>
        <v>#REF!</v>
      </c>
      <c r="C16" s="11" t="e">
        <f>#REF!-#REF!</f>
        <v>#REF!</v>
      </c>
      <c r="D16" s="11" t="e">
        <f>#REF!-#REF!</f>
        <v>#REF!</v>
      </c>
      <c r="E16" s="11" t="e">
        <f>#REF!-#REF!</f>
        <v>#REF!</v>
      </c>
      <c r="F16" s="11" t="e">
        <f>#REF!-#REF!</f>
        <v>#REF!</v>
      </c>
      <c r="G16" s="11" t="e">
        <f>#REF!-#REF!</f>
        <v>#REF!</v>
      </c>
      <c r="H16" s="11">
        <v>1951.980196559701</v>
      </c>
      <c r="I16" s="11">
        <v>1931.8242565321912</v>
      </c>
      <c r="J16" s="11">
        <v>1908.7900876232015</v>
      </c>
      <c r="K16" s="11">
        <v>1885.710151921317</v>
      </c>
      <c r="L16" s="11">
        <v>1800</v>
      </c>
      <c r="M16" s="11">
        <v>1778</v>
      </c>
      <c r="N16" s="11">
        <v>1755</v>
      </c>
      <c r="O16" s="11">
        <v>1710</v>
      </c>
      <c r="P16" s="11">
        <v>1646</v>
      </c>
      <c r="Q16" s="11">
        <v>1584</v>
      </c>
      <c r="R16" s="11">
        <v>1559</v>
      </c>
      <c r="S16" s="11">
        <v>1514</v>
      </c>
      <c r="T16" s="11">
        <v>1481</v>
      </c>
      <c r="U16" s="11">
        <v>1454</v>
      </c>
      <c r="V16" s="11" t="e">
        <f>#REF!-#REF!</f>
        <v>#REF!</v>
      </c>
      <c r="W16" s="11" t="e">
        <f>#REF!-#REF!</f>
        <v>#REF!</v>
      </c>
    </row>
    <row r="17" spans="1:23">
      <c r="A17" s="11" t="s">
        <v>22</v>
      </c>
      <c r="B17" s="11" t="e">
        <f>#REF!-#REF!</f>
        <v>#REF!</v>
      </c>
      <c r="C17" s="11" t="e">
        <f>#REF!-#REF!</f>
        <v>#REF!</v>
      </c>
      <c r="D17" s="11" t="e">
        <f>#REF!-#REF!</f>
        <v>#REF!</v>
      </c>
      <c r="E17" s="11" t="e">
        <f>#REF!-#REF!</f>
        <v>#REF!</v>
      </c>
      <c r="F17" s="11" t="e">
        <f>#REF!-#REF!</f>
        <v>#REF!</v>
      </c>
      <c r="G17" s="11" t="e">
        <f>#REF!-#REF!</f>
        <v>#REF!</v>
      </c>
      <c r="H17" s="11">
        <v>2879.1867185812653</v>
      </c>
      <c r="I17" s="11">
        <v>2844.8466931273924</v>
      </c>
      <c r="J17" s="11">
        <v>2805.6628860454607</v>
      </c>
      <c r="K17" s="11">
        <v>2762.6961393732008</v>
      </c>
      <c r="L17" s="11">
        <v>2716</v>
      </c>
      <c r="M17" s="11">
        <v>2661</v>
      </c>
      <c r="N17" s="11">
        <v>2630</v>
      </c>
      <c r="O17" s="11">
        <v>2580</v>
      </c>
      <c r="P17" s="11">
        <v>2518</v>
      </c>
      <c r="Q17" s="11">
        <v>2496</v>
      </c>
      <c r="R17" s="11">
        <v>2437</v>
      </c>
      <c r="S17" s="11">
        <v>2364</v>
      </c>
      <c r="T17" s="11">
        <v>2312</v>
      </c>
      <c r="U17" s="11">
        <v>2261</v>
      </c>
      <c r="V17" s="11" t="e">
        <f>#REF!-#REF!</f>
        <v>#REF!</v>
      </c>
      <c r="W17" s="11" t="e">
        <f>#REF!-#REF!</f>
        <v>#REF!</v>
      </c>
    </row>
    <row r="18" spans="1:23">
      <c r="A18" s="11" t="s">
        <v>23</v>
      </c>
      <c r="B18" s="11" t="e">
        <f>#REF!-#REF!</f>
        <v>#REF!</v>
      </c>
      <c r="C18" s="11" t="e">
        <f>#REF!-#REF!</f>
        <v>#REF!</v>
      </c>
      <c r="D18" s="11" t="e">
        <f>#REF!-#REF!</f>
        <v>#REF!</v>
      </c>
      <c r="E18" s="11" t="e">
        <f>#REF!-#REF!</f>
        <v>#REF!</v>
      </c>
      <c r="F18" s="11" t="e">
        <f>#REF!-#REF!</f>
        <v>#REF!</v>
      </c>
      <c r="G18" s="11" t="e">
        <f>#REF!-#REF!</f>
        <v>#REF!</v>
      </c>
      <c r="H18" s="11">
        <v>5267.8728359220131</v>
      </c>
      <c r="I18" s="11">
        <v>5217.9979593609296</v>
      </c>
      <c r="J18" s="11">
        <v>5168.2209631746919</v>
      </c>
      <c r="K18" s="11">
        <v>5124.1085209912526</v>
      </c>
      <c r="L18" s="11">
        <v>5086</v>
      </c>
      <c r="M18" s="11">
        <v>5017</v>
      </c>
      <c r="N18" s="11">
        <v>4988</v>
      </c>
      <c r="O18" s="11">
        <v>4935</v>
      </c>
      <c r="P18" s="11">
        <v>4894</v>
      </c>
      <c r="Q18" s="11">
        <v>4823</v>
      </c>
      <c r="R18" s="11">
        <v>4727</v>
      </c>
      <c r="S18" s="11">
        <v>4607</v>
      </c>
      <c r="T18" s="11">
        <v>4502</v>
      </c>
      <c r="U18" s="11">
        <v>4404</v>
      </c>
      <c r="V18" s="11" t="e">
        <f>#REF!-#REF!</f>
        <v>#REF!</v>
      </c>
      <c r="W18" s="11" t="e">
        <f>#REF!-#REF!</f>
        <v>#REF!</v>
      </c>
    </row>
    <row r="19" spans="1:23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</row>
    <row r="20" spans="1:23">
      <c r="A20" s="11" t="s">
        <v>24</v>
      </c>
      <c r="B20" s="11" t="e">
        <f>#REF!-#REF!</f>
        <v>#REF!</v>
      </c>
      <c r="C20" s="11" t="e">
        <f>#REF!-#REF!</f>
        <v>#REF!</v>
      </c>
      <c r="D20" s="11" t="e">
        <f>#REF!-#REF!</f>
        <v>#REF!</v>
      </c>
      <c r="E20" s="11" t="e">
        <f>#REF!-#REF!</f>
        <v>#REF!</v>
      </c>
      <c r="F20" s="11" t="e">
        <f>#REF!-#REF!</f>
        <v>#REF!</v>
      </c>
      <c r="G20" s="11" t="e">
        <f>#REF!-#REF!</f>
        <v>#REF!</v>
      </c>
      <c r="H20" s="11">
        <v>7224.0819623022089</v>
      </c>
      <c r="I20" s="11">
        <v>7125.7335705007972</v>
      </c>
      <c r="J20" s="11">
        <v>7017.2359752571929</v>
      </c>
      <c r="K20" s="11">
        <v>6898.8403002555151</v>
      </c>
      <c r="L20" s="11">
        <v>6505</v>
      </c>
      <c r="M20" s="11">
        <v>6342</v>
      </c>
      <c r="N20" s="11">
        <v>6146</v>
      </c>
      <c r="O20" s="11">
        <v>6032</v>
      </c>
      <c r="P20" s="11">
        <v>5910</v>
      </c>
      <c r="Q20" s="11">
        <v>5784</v>
      </c>
      <c r="R20" s="11">
        <v>5579</v>
      </c>
      <c r="S20" s="11">
        <v>5415</v>
      </c>
      <c r="T20" s="11">
        <v>5290</v>
      </c>
      <c r="U20" s="11">
        <v>5171</v>
      </c>
      <c r="V20" s="11" t="e">
        <f>#REF!-#REF!</f>
        <v>#REF!</v>
      </c>
      <c r="W20" s="11" t="e">
        <f>#REF!-#REF!</f>
        <v>#REF!</v>
      </c>
    </row>
    <row r="21" spans="1:23">
      <c r="A21" s="11" t="s">
        <v>25</v>
      </c>
      <c r="B21" s="11" t="e">
        <f>#REF!-#REF!</f>
        <v>#REF!</v>
      </c>
      <c r="C21" s="11" t="e">
        <f>#REF!-#REF!</f>
        <v>#REF!</v>
      </c>
      <c r="D21" s="11" t="e">
        <f>#REF!-#REF!</f>
        <v>#REF!</v>
      </c>
      <c r="E21" s="11" t="e">
        <f>#REF!-#REF!</f>
        <v>#REF!</v>
      </c>
      <c r="F21" s="11" t="e">
        <f>#REF!-#REF!</f>
        <v>#REF!</v>
      </c>
      <c r="G21" s="11" t="e">
        <f>#REF!-#REF!</f>
        <v>#REF!</v>
      </c>
      <c r="H21" s="11">
        <v>3559.4148126976115</v>
      </c>
      <c r="I21" s="11">
        <v>3526.0732604436967</v>
      </c>
      <c r="J21" s="11">
        <v>3492.7522574296363</v>
      </c>
      <c r="K21" s="11">
        <v>3459.3936701751509</v>
      </c>
      <c r="L21" s="11">
        <v>3243</v>
      </c>
      <c r="M21" s="11">
        <v>3199</v>
      </c>
      <c r="N21" s="11">
        <v>3174</v>
      </c>
      <c r="O21" s="11">
        <v>3130</v>
      </c>
      <c r="P21" s="11">
        <v>3089</v>
      </c>
      <c r="Q21" s="11">
        <v>2881</v>
      </c>
      <c r="R21" s="11">
        <v>2774</v>
      </c>
      <c r="S21" s="11">
        <v>2687</v>
      </c>
      <c r="T21" s="11">
        <v>2638</v>
      </c>
      <c r="U21" s="11">
        <v>2578</v>
      </c>
      <c r="V21" s="11" t="e">
        <f>#REF!-#REF!</f>
        <v>#REF!</v>
      </c>
      <c r="W21" s="11" t="e">
        <f>#REF!-#REF!</f>
        <v>#REF!</v>
      </c>
    </row>
    <row r="22" spans="1:23">
      <c r="A22" s="11" t="s">
        <v>26</v>
      </c>
      <c r="B22" s="11" t="e">
        <f>#REF!-#REF!</f>
        <v>#REF!</v>
      </c>
      <c r="C22" s="11" t="e">
        <f>#REF!-#REF!</f>
        <v>#REF!</v>
      </c>
      <c r="D22" s="11" t="e">
        <f>#REF!-#REF!</f>
        <v>#REF!</v>
      </c>
      <c r="E22" s="11" t="e">
        <f>#REF!-#REF!</f>
        <v>#REF!</v>
      </c>
      <c r="F22" s="11" t="e">
        <f>#REF!-#REF!</f>
        <v>#REF!</v>
      </c>
      <c r="G22" s="11" t="e">
        <f>#REF!-#REF!</f>
        <v>#REF!</v>
      </c>
      <c r="H22" s="11">
        <v>4538.7490805129082</v>
      </c>
      <c r="I22" s="11">
        <v>4468.3101175820129</v>
      </c>
      <c r="J22" s="11">
        <v>4395.3399583356077</v>
      </c>
      <c r="K22" s="11">
        <v>4320.2927308200633</v>
      </c>
      <c r="L22" s="11">
        <v>3985</v>
      </c>
      <c r="M22" s="11">
        <v>3887</v>
      </c>
      <c r="N22" s="11">
        <v>3784</v>
      </c>
      <c r="O22" s="11">
        <v>3691</v>
      </c>
      <c r="P22" s="11">
        <v>3639</v>
      </c>
      <c r="Q22" s="11">
        <v>3725</v>
      </c>
      <c r="R22" s="11">
        <v>3621</v>
      </c>
      <c r="S22" s="11">
        <v>3542</v>
      </c>
      <c r="T22" s="11">
        <v>3482</v>
      </c>
      <c r="U22" s="11">
        <v>3417</v>
      </c>
      <c r="V22" s="11" t="e">
        <f>#REF!-#REF!</f>
        <v>#REF!</v>
      </c>
      <c r="W22" s="11" t="e">
        <f>#REF!-#REF!</f>
        <v>#REF!</v>
      </c>
    </row>
    <row r="23" spans="1:23">
      <c r="A23" s="11" t="s">
        <v>27</v>
      </c>
      <c r="B23" s="11" t="e">
        <f>#REF!-#REF!</f>
        <v>#REF!</v>
      </c>
      <c r="C23" s="11" t="e">
        <f>#REF!-#REF!</f>
        <v>#REF!</v>
      </c>
      <c r="D23" s="11" t="e">
        <f>#REF!-#REF!</f>
        <v>#REF!</v>
      </c>
      <c r="E23" s="11" t="e">
        <f>#REF!-#REF!</f>
        <v>#REF!</v>
      </c>
      <c r="F23" s="11" t="e">
        <f>#REF!-#REF!</f>
        <v>#REF!</v>
      </c>
      <c r="G23" s="11" t="e">
        <f>#REF!-#REF!</f>
        <v>#REF!</v>
      </c>
      <c r="H23" s="11">
        <v>3278.049874357378</v>
      </c>
      <c r="I23" s="11">
        <v>3254.7504960929373</v>
      </c>
      <c r="J23" s="11">
        <v>3238.4833920688461</v>
      </c>
      <c r="K23" s="11">
        <v>3323.0533166885916</v>
      </c>
      <c r="L23" s="11">
        <v>3615</v>
      </c>
      <c r="M23" s="11">
        <v>3494</v>
      </c>
      <c r="N23" s="11">
        <v>3560</v>
      </c>
      <c r="O23" s="11">
        <v>3624</v>
      </c>
      <c r="P23" s="11">
        <v>3708</v>
      </c>
      <c r="Q23" s="11">
        <v>3531</v>
      </c>
      <c r="R23" s="11">
        <v>3519</v>
      </c>
      <c r="S23" s="11">
        <v>3454</v>
      </c>
      <c r="T23" s="11">
        <v>3432</v>
      </c>
      <c r="U23" s="11">
        <v>3432</v>
      </c>
      <c r="V23" s="11" t="e">
        <f>#REF!-#REF!</f>
        <v>#REF!</v>
      </c>
      <c r="W23" s="11" t="e">
        <f>#REF!-#REF!</f>
        <v>#REF!</v>
      </c>
    </row>
    <row r="24" spans="1:23">
      <c r="A24" s="11" t="s">
        <v>28</v>
      </c>
      <c r="B24" s="11" t="e">
        <f>#REF!-#REF!</f>
        <v>#REF!</v>
      </c>
      <c r="C24" s="11" t="e">
        <f>#REF!-#REF!</f>
        <v>#REF!</v>
      </c>
      <c r="D24" s="11" t="e">
        <f>#REF!-#REF!</f>
        <v>#REF!</v>
      </c>
      <c r="E24" s="11" t="e">
        <f>#REF!-#REF!</f>
        <v>#REF!</v>
      </c>
      <c r="F24" s="11" t="e">
        <f>#REF!-#REF!</f>
        <v>#REF!</v>
      </c>
      <c r="G24" s="11" t="e">
        <f>#REF!-#REF!</f>
        <v>#REF!</v>
      </c>
      <c r="H24" s="11">
        <v>3425.2380545506257</v>
      </c>
      <c r="I24" s="11">
        <v>3389.5535556674522</v>
      </c>
      <c r="J24" s="11">
        <v>3352.2150921912844</v>
      </c>
      <c r="K24" s="11">
        <v>3310.5044001841939</v>
      </c>
      <c r="L24" s="11">
        <v>3093</v>
      </c>
      <c r="M24" s="11">
        <v>3084</v>
      </c>
      <c r="N24" s="11">
        <v>3040</v>
      </c>
      <c r="O24" s="11">
        <v>2978</v>
      </c>
      <c r="P24" s="11">
        <v>2952</v>
      </c>
      <c r="Q24" s="11">
        <v>2766</v>
      </c>
      <c r="R24" s="11">
        <v>2703</v>
      </c>
      <c r="S24" s="11">
        <v>2644</v>
      </c>
      <c r="T24" s="11">
        <v>2604</v>
      </c>
      <c r="U24" s="11">
        <v>2567</v>
      </c>
      <c r="V24" s="11" t="e">
        <f>#REF!-#REF!</f>
        <v>#REF!</v>
      </c>
      <c r="W24" s="11" t="e">
        <f>#REF!-#REF!</f>
        <v>#REF!</v>
      </c>
    </row>
    <row r="25" spans="1:23">
      <c r="A25" s="11" t="s">
        <v>29</v>
      </c>
      <c r="B25" s="11" t="e">
        <f>#REF!-#REF!</f>
        <v>#REF!</v>
      </c>
      <c r="C25" s="11" t="e">
        <f>#REF!-#REF!</f>
        <v>#REF!</v>
      </c>
      <c r="D25" s="11" t="e">
        <f>#REF!-#REF!</f>
        <v>#REF!</v>
      </c>
      <c r="E25" s="11" t="e">
        <f>#REF!-#REF!</f>
        <v>#REF!</v>
      </c>
      <c r="F25" s="11" t="e">
        <f>#REF!-#REF!</f>
        <v>#REF!</v>
      </c>
      <c r="G25" s="11" t="e">
        <f>#REF!-#REF!</f>
        <v>#REF!</v>
      </c>
      <c r="H25" s="11">
        <v>466.78996057212032</v>
      </c>
      <c r="I25" s="11">
        <v>463.24639856582127</v>
      </c>
      <c r="J25" s="11">
        <v>459.81791002581747</v>
      </c>
      <c r="K25" s="11">
        <v>456.18158155170505</v>
      </c>
      <c r="L25" s="11">
        <v>454</v>
      </c>
      <c r="M25" s="11">
        <v>451</v>
      </c>
      <c r="N25" s="11">
        <v>446</v>
      </c>
      <c r="O25" s="11">
        <v>444</v>
      </c>
      <c r="P25" s="11">
        <v>440</v>
      </c>
      <c r="Q25" s="11">
        <v>436</v>
      </c>
      <c r="R25" s="11">
        <v>434</v>
      </c>
      <c r="S25" s="11">
        <v>429</v>
      </c>
      <c r="T25" s="11">
        <v>423</v>
      </c>
      <c r="U25" s="11">
        <v>418</v>
      </c>
      <c r="V25" s="11" t="e">
        <f>#REF!-#REF!</f>
        <v>#REF!</v>
      </c>
      <c r="W25" s="11" t="e">
        <f>#REF!-#REF!</f>
        <v>#REF!</v>
      </c>
    </row>
    <row r="26" spans="1:23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</row>
    <row r="27" spans="1:23">
      <c r="A27" s="11" t="s">
        <v>30</v>
      </c>
      <c r="B27" s="11"/>
      <c r="C27" s="11"/>
      <c r="D27" s="11" t="e">
        <f>#REF!-#REF!</f>
        <v>#REF!</v>
      </c>
      <c r="E27" s="11" t="e">
        <f>#REF!-#REF!</f>
        <v>#REF!</v>
      </c>
      <c r="F27" s="11" t="e">
        <f>#REF!-#REF!</f>
        <v>#REF!</v>
      </c>
      <c r="G27" s="11" t="e">
        <f>#REF!-#REF!</f>
        <v>#REF!</v>
      </c>
      <c r="H27" s="11">
        <v>1890.7903983865936</v>
      </c>
      <c r="I27" s="11">
        <v>1849.1860914175697</v>
      </c>
      <c r="J27" s="11">
        <v>1814.22206244734</v>
      </c>
      <c r="K27" s="11">
        <v>1760.5584767131315</v>
      </c>
      <c r="L27" s="11">
        <v>1533</v>
      </c>
      <c r="M27" s="11">
        <v>1497</v>
      </c>
      <c r="N27" s="11">
        <v>1456</v>
      </c>
      <c r="O27" s="11">
        <v>1420</v>
      </c>
      <c r="P27" s="11">
        <v>1384</v>
      </c>
      <c r="Q27" s="11">
        <v>1355</v>
      </c>
      <c r="R27" s="11">
        <v>1313</v>
      </c>
      <c r="S27" s="11">
        <v>1267</v>
      </c>
      <c r="T27" s="11">
        <v>1237</v>
      </c>
      <c r="U27" s="11">
        <v>1209</v>
      </c>
      <c r="V27" s="11" t="e">
        <f>#REF!-#REF!</f>
        <v>#REF!</v>
      </c>
      <c r="W27" s="11" t="e">
        <f>#REF!-#REF!</f>
        <v>#REF!</v>
      </c>
    </row>
    <row r="28" spans="1:23">
      <c r="A28" s="11" t="s">
        <v>31</v>
      </c>
      <c r="B28" s="11" t="e">
        <f>#REF!-#REF!</f>
        <v>#REF!</v>
      </c>
      <c r="C28" s="11" t="e">
        <f>#REF!-#REF!</f>
        <v>#REF!</v>
      </c>
      <c r="D28" s="11" t="e">
        <f>#REF!-#REF!</f>
        <v>#REF!</v>
      </c>
      <c r="E28" s="11" t="e">
        <f>#REF!-#REF!</f>
        <v>#REF!</v>
      </c>
      <c r="F28" s="11" t="e">
        <f>#REF!-#REF!</f>
        <v>#REF!</v>
      </c>
      <c r="G28" s="11" t="e">
        <f>#REF!-#REF!</f>
        <v>#REF!</v>
      </c>
      <c r="H28" s="11">
        <v>6240.9041767351464</v>
      </c>
      <c r="I28" s="11">
        <v>6155.3961664182953</v>
      </c>
      <c r="J28" s="11">
        <v>6062.2625288587587</v>
      </c>
      <c r="K28" s="11">
        <v>5963.7166030621011</v>
      </c>
      <c r="L28" s="11">
        <v>5502</v>
      </c>
      <c r="M28" s="11">
        <v>5367</v>
      </c>
      <c r="N28" s="11">
        <v>5234</v>
      </c>
      <c r="O28" s="11">
        <v>5094</v>
      </c>
      <c r="P28" s="11">
        <v>5017</v>
      </c>
      <c r="Q28" s="11">
        <v>4812</v>
      </c>
      <c r="R28" s="11">
        <v>4683</v>
      </c>
      <c r="S28" s="11">
        <v>4561</v>
      </c>
      <c r="T28" s="11">
        <v>4467</v>
      </c>
      <c r="U28" s="11">
        <v>4371</v>
      </c>
      <c r="V28" s="11" t="e">
        <f>#REF!-#REF!</f>
        <v>#REF!</v>
      </c>
      <c r="W28" s="11" t="e">
        <f>#REF!-#REF!</f>
        <v>#REF!</v>
      </c>
    </row>
    <row r="29" spans="1:23">
      <c r="A29" s="11" t="s">
        <v>32</v>
      </c>
      <c r="B29" s="11" t="e">
        <f>#REF!-#REF!</f>
        <v>#REF!</v>
      </c>
      <c r="C29" s="11" t="e">
        <f>#REF!-#REF!</f>
        <v>#REF!</v>
      </c>
      <c r="D29" s="11" t="e">
        <f>#REF!-#REF!</f>
        <v>#REF!</v>
      </c>
      <c r="E29" s="11" t="e">
        <f>#REF!-#REF!</f>
        <v>#REF!</v>
      </c>
      <c r="F29" s="11" t="e">
        <f>#REF!-#REF!</f>
        <v>#REF!</v>
      </c>
      <c r="G29" s="11" t="e">
        <f>#REF!-#REF!</f>
        <v>#REF!</v>
      </c>
      <c r="H29" s="11">
        <v>2885.1476323567331</v>
      </c>
      <c r="I29" s="11">
        <v>2887.7224778678674</v>
      </c>
      <c r="J29" s="11">
        <v>2885.2923855915478</v>
      </c>
      <c r="K29" s="11">
        <v>2883.1455985729308</v>
      </c>
      <c r="L29" s="11">
        <v>2728</v>
      </c>
      <c r="M29" s="11">
        <v>2677</v>
      </c>
      <c r="N29" s="11">
        <v>2606</v>
      </c>
      <c r="O29" s="11">
        <v>2549</v>
      </c>
      <c r="P29" s="11">
        <v>2480</v>
      </c>
      <c r="Q29" s="11">
        <v>2303</v>
      </c>
      <c r="R29" s="11">
        <v>2256</v>
      </c>
      <c r="S29" s="11">
        <v>2216</v>
      </c>
      <c r="T29" s="11">
        <v>2177</v>
      </c>
      <c r="U29" s="11">
        <v>2104</v>
      </c>
      <c r="V29" s="11" t="e">
        <f>#REF!-#REF!</f>
        <v>#REF!</v>
      </c>
      <c r="W29" s="11" t="e">
        <f>#REF!-#REF!</f>
        <v>#REF!</v>
      </c>
    </row>
    <row r="30" spans="1:23">
      <c r="A30" s="11" t="s">
        <v>33</v>
      </c>
      <c r="B30" s="11" t="e">
        <f>#REF!-#REF!</f>
        <v>#REF!</v>
      </c>
      <c r="C30" s="11" t="e">
        <f>#REF!-#REF!</f>
        <v>#REF!</v>
      </c>
      <c r="D30" s="11" t="e">
        <f>#REF!-#REF!</f>
        <v>#REF!</v>
      </c>
      <c r="E30" s="11" t="e">
        <f>#REF!-#REF!</f>
        <v>#REF!</v>
      </c>
      <c r="F30" s="11" t="e">
        <f>#REF!-#REF!</f>
        <v>#REF!</v>
      </c>
      <c r="G30" s="11" t="e">
        <f>#REF!-#REF!</f>
        <v>#REF!</v>
      </c>
      <c r="H30" s="11">
        <v>3199.5301752843575</v>
      </c>
      <c r="I30" s="11">
        <v>3190.6761822428848</v>
      </c>
      <c r="J30" s="11">
        <v>3177.3507651001264</v>
      </c>
      <c r="K30" s="11">
        <v>3159.7913948795126</v>
      </c>
      <c r="L30" s="11">
        <v>3138</v>
      </c>
      <c r="M30" s="11">
        <v>3116</v>
      </c>
      <c r="N30" s="11">
        <v>3088</v>
      </c>
      <c r="O30" s="11">
        <v>3044</v>
      </c>
      <c r="P30" s="11">
        <v>3017</v>
      </c>
      <c r="Q30" s="11">
        <v>3005</v>
      </c>
      <c r="R30" s="11">
        <v>2927</v>
      </c>
      <c r="S30" s="11">
        <v>2828</v>
      </c>
      <c r="T30" s="11">
        <v>2789</v>
      </c>
      <c r="U30" s="11">
        <v>2747</v>
      </c>
      <c r="V30" s="11" t="e">
        <f>#REF!-#REF!</f>
        <v>#REF!</v>
      </c>
      <c r="W30" s="11" t="e">
        <f>#REF!-#REF!</f>
        <v>#REF!</v>
      </c>
    </row>
    <row r="31" spans="1:23">
      <c r="A31" s="11" t="s">
        <v>34</v>
      </c>
      <c r="B31" s="11" t="e">
        <f>#REF!-#REF!</f>
        <v>#REF!</v>
      </c>
      <c r="C31" s="11" t="e">
        <f>#REF!-#REF!</f>
        <v>#REF!</v>
      </c>
      <c r="D31" s="11" t="e">
        <f>#REF!-#REF!</f>
        <v>#REF!</v>
      </c>
      <c r="E31" s="11" t="e">
        <f>#REF!-#REF!</f>
        <v>#REF!</v>
      </c>
      <c r="F31" s="11" t="e">
        <f>#REF!-#REF!</f>
        <v>#REF!</v>
      </c>
      <c r="G31" s="11" t="e">
        <f>#REF!-#REF!</f>
        <v>#REF!</v>
      </c>
      <c r="H31" s="11">
        <v>183.95806703282267</v>
      </c>
      <c r="I31" s="11">
        <v>188.97567388484651</v>
      </c>
      <c r="J31" s="11">
        <v>193.4285363336773</v>
      </c>
      <c r="K31" s="11">
        <v>198.3729206158684</v>
      </c>
      <c r="L31" s="11">
        <v>222</v>
      </c>
      <c r="M31" s="11">
        <v>225</v>
      </c>
      <c r="N31" s="11">
        <v>227</v>
      </c>
      <c r="O31" s="11">
        <v>228</v>
      </c>
      <c r="P31" s="11">
        <v>230</v>
      </c>
      <c r="Q31" s="11">
        <v>232</v>
      </c>
      <c r="R31" s="11">
        <v>234</v>
      </c>
      <c r="S31" s="11">
        <v>238</v>
      </c>
      <c r="T31" s="11">
        <v>238</v>
      </c>
      <c r="U31" s="11">
        <v>236</v>
      </c>
      <c r="V31" s="11" t="e">
        <f>#REF!-#REF!</f>
        <v>#REF!</v>
      </c>
      <c r="W31" s="11" t="e">
        <f>#REF!-#REF!</f>
        <v>#REF!</v>
      </c>
    </row>
    <row r="32" spans="1:23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</row>
    <row r="33" spans="1:23">
      <c r="A33" s="11" t="s">
        <v>35</v>
      </c>
      <c r="B33" s="11" t="e">
        <f>#REF!-#REF!</f>
        <v>#REF!</v>
      </c>
      <c r="C33" s="11" t="e">
        <f>#REF!-#REF!</f>
        <v>#REF!</v>
      </c>
      <c r="D33" s="11" t="e">
        <f>#REF!-#REF!</f>
        <v>#REF!</v>
      </c>
      <c r="E33" s="11" t="e">
        <f>#REF!-#REF!</f>
        <v>#REF!</v>
      </c>
      <c r="F33" s="11" t="e">
        <f>#REF!-#REF!</f>
        <v>#REF!</v>
      </c>
      <c r="G33" s="11" t="e">
        <f>#REF!-#REF!</f>
        <v>#REF!</v>
      </c>
      <c r="H33" s="11">
        <v>2511.8442712062088</v>
      </c>
      <c r="I33" s="11">
        <v>2469.903962413543</v>
      </c>
      <c r="J33" s="11">
        <v>2426.6732824662549</v>
      </c>
      <c r="K33" s="11">
        <v>2381.8712071879163</v>
      </c>
      <c r="L33" s="11">
        <v>2316</v>
      </c>
      <c r="M33" s="11">
        <v>2252</v>
      </c>
      <c r="N33" s="11">
        <v>2202</v>
      </c>
      <c r="O33" s="11">
        <v>2153</v>
      </c>
      <c r="P33" s="11">
        <v>2106</v>
      </c>
      <c r="Q33" s="11">
        <v>2026</v>
      </c>
      <c r="R33" s="11">
        <v>1973</v>
      </c>
      <c r="S33" s="11">
        <v>1876</v>
      </c>
      <c r="T33" s="11">
        <v>1833</v>
      </c>
      <c r="U33" s="11">
        <v>1791</v>
      </c>
      <c r="V33" s="11" t="e">
        <f>#REF!-#REF!</f>
        <v>#REF!</v>
      </c>
      <c r="W33" s="11" t="e">
        <f>#REF!-#REF!</f>
        <v>#REF!</v>
      </c>
    </row>
    <row r="34" spans="1:23">
      <c r="A34" s="11" t="s">
        <v>36</v>
      </c>
      <c r="B34" s="11" t="e">
        <f>#REF!-#REF!</f>
        <v>#REF!</v>
      </c>
      <c r="C34" s="11" t="e">
        <f>#REF!-#REF!</f>
        <v>#REF!</v>
      </c>
      <c r="D34" s="11" t="e">
        <f>#REF!-#REF!</f>
        <v>#REF!</v>
      </c>
      <c r="E34" s="11" t="e">
        <f>#REF!-#REF!</f>
        <v>#REF!</v>
      </c>
      <c r="F34" s="11" t="e">
        <f>#REF!-#REF!</f>
        <v>#REF!</v>
      </c>
      <c r="G34" s="11" t="e">
        <f>#REF!-#REF!</f>
        <v>#REF!</v>
      </c>
      <c r="H34" s="11">
        <v>1866.4892110866053</v>
      </c>
      <c r="I34" s="11">
        <v>1863.6168964380081</v>
      </c>
      <c r="J34" s="11">
        <v>1854.8500904823941</v>
      </c>
      <c r="K34" s="11">
        <v>1849.4988475287105</v>
      </c>
      <c r="L34" s="11">
        <v>1781</v>
      </c>
      <c r="M34" s="11">
        <v>1755</v>
      </c>
      <c r="N34" s="11">
        <v>1726</v>
      </c>
      <c r="O34" s="11">
        <v>1695</v>
      </c>
      <c r="P34" s="11">
        <v>1664</v>
      </c>
      <c r="Q34" s="11">
        <v>1635</v>
      </c>
      <c r="R34" s="11">
        <v>1612</v>
      </c>
      <c r="S34" s="11">
        <v>1579</v>
      </c>
      <c r="T34" s="11">
        <v>1546</v>
      </c>
      <c r="U34" s="11">
        <v>1511</v>
      </c>
      <c r="V34" s="11" t="e">
        <f>#REF!-#REF!</f>
        <v>#REF!</v>
      </c>
      <c r="W34" s="11" t="e">
        <f>#REF!-#REF!</f>
        <v>#REF!</v>
      </c>
    </row>
    <row r="35" spans="1:23">
      <c r="A35" s="11" t="s">
        <v>37</v>
      </c>
      <c r="B35" s="11" t="e">
        <f>#REF!-#REF!</f>
        <v>#REF!</v>
      </c>
      <c r="C35" s="11" t="e">
        <f>#REF!-#REF!</f>
        <v>#REF!</v>
      </c>
      <c r="D35" s="11" t="e">
        <f>#REF!-#REF!</f>
        <v>#REF!</v>
      </c>
      <c r="E35" s="11" t="e">
        <f>#REF!-#REF!</f>
        <v>#REF!</v>
      </c>
      <c r="F35" s="11" t="e">
        <f>#REF!-#REF!</f>
        <v>#REF!</v>
      </c>
      <c r="G35" s="11" t="e">
        <f>#REF!-#REF!</f>
        <v>#REF!</v>
      </c>
      <c r="H35" s="11">
        <v>331.05233688053789</v>
      </c>
      <c r="I35" s="11">
        <v>331.52046785101061</v>
      </c>
      <c r="J35" s="11">
        <v>331.14552294784329</v>
      </c>
      <c r="K35" s="11">
        <v>330.93307130877986</v>
      </c>
      <c r="L35" s="11">
        <v>330</v>
      </c>
      <c r="M35" s="11">
        <v>333</v>
      </c>
      <c r="N35" s="11">
        <v>331</v>
      </c>
      <c r="O35" s="11">
        <v>328</v>
      </c>
      <c r="P35" s="11">
        <v>324</v>
      </c>
      <c r="Q35" s="11">
        <v>311</v>
      </c>
      <c r="R35" s="11">
        <v>306</v>
      </c>
      <c r="S35" s="11">
        <v>301</v>
      </c>
      <c r="T35" s="11">
        <v>298</v>
      </c>
      <c r="U35" s="11">
        <v>293</v>
      </c>
      <c r="V35" s="11" t="e">
        <f>#REF!-#REF!</f>
        <v>#REF!</v>
      </c>
      <c r="W35" s="11" t="e">
        <f>#REF!-#REF!</f>
        <v>#REF!</v>
      </c>
    </row>
    <row r="36" spans="1:23">
      <c r="A36" s="11" t="s">
        <v>38</v>
      </c>
      <c r="B36" s="11" t="e">
        <f>#REF!-#REF!</f>
        <v>#REF!</v>
      </c>
      <c r="C36" s="11" t="e">
        <f>#REF!-#REF!</f>
        <v>#REF!</v>
      </c>
      <c r="D36" s="11" t="e">
        <f>#REF!-#REF!</f>
        <v>#REF!</v>
      </c>
      <c r="E36" s="11" t="e">
        <f>#REF!-#REF!</f>
        <v>#REF!</v>
      </c>
      <c r="F36" s="11" t="e">
        <f>#REF!-#REF!</f>
        <v>#REF!</v>
      </c>
      <c r="G36" s="11" t="e">
        <f>#REF!-#REF!</f>
        <v>#REF!</v>
      </c>
      <c r="H36" s="11">
        <v>345.05756222080413</v>
      </c>
      <c r="I36" s="11">
        <v>345.42308644400578</v>
      </c>
      <c r="J36" s="11">
        <v>345.16892557376332</v>
      </c>
      <c r="K36" s="11">
        <v>344.37429584342419</v>
      </c>
      <c r="L36" s="11">
        <v>344</v>
      </c>
      <c r="M36" s="11">
        <v>344</v>
      </c>
      <c r="N36" s="11">
        <v>342</v>
      </c>
      <c r="O36" s="11">
        <v>340</v>
      </c>
      <c r="P36" s="11">
        <v>337</v>
      </c>
      <c r="Q36" s="11">
        <v>330</v>
      </c>
      <c r="R36" s="11">
        <v>321</v>
      </c>
      <c r="S36" s="11">
        <v>319</v>
      </c>
      <c r="T36" s="11">
        <v>314</v>
      </c>
      <c r="U36" s="11">
        <v>307</v>
      </c>
      <c r="V36" s="11" t="e">
        <f>#REF!-#REF!</f>
        <v>#REF!</v>
      </c>
      <c r="W36" s="11" t="e">
        <f>#REF!-#REF!</f>
        <v>#REF!</v>
      </c>
    </row>
    <row r="37" spans="1:23">
      <c r="A37" s="11" t="s">
        <v>39</v>
      </c>
      <c r="B37" s="11" t="e">
        <f>#REF!-#REF!</f>
        <v>#REF!</v>
      </c>
      <c r="C37" s="11" t="e">
        <f>#REF!-#REF!</f>
        <v>#REF!</v>
      </c>
      <c r="D37" s="11" t="e">
        <f>#REF!-#REF!</f>
        <v>#REF!</v>
      </c>
      <c r="E37" s="11" t="e">
        <f>#REF!-#REF!</f>
        <v>#REF!</v>
      </c>
      <c r="F37" s="11" t="e">
        <f>#REF!-#REF!</f>
        <v>#REF!</v>
      </c>
      <c r="G37" s="11" t="e">
        <f>#REF!-#REF!</f>
        <v>#REF!</v>
      </c>
      <c r="H37" s="11">
        <v>1228.0612718346847</v>
      </c>
      <c r="I37" s="11">
        <v>1234.7584520698165</v>
      </c>
      <c r="J37" s="11">
        <v>1240.9440387160284</v>
      </c>
      <c r="K37" s="11">
        <v>1246.7133904752</v>
      </c>
      <c r="L37" s="11">
        <v>1264</v>
      </c>
      <c r="M37" s="11">
        <v>1272</v>
      </c>
      <c r="N37" s="11">
        <v>1275</v>
      </c>
      <c r="O37" s="11">
        <v>1286</v>
      </c>
      <c r="P37" s="11">
        <v>1298</v>
      </c>
      <c r="Q37" s="11">
        <v>1245</v>
      </c>
      <c r="R37" s="11">
        <v>1247</v>
      </c>
      <c r="S37" s="11">
        <v>1251</v>
      </c>
      <c r="T37" s="11">
        <v>1257</v>
      </c>
      <c r="U37" s="11">
        <v>1240</v>
      </c>
      <c r="V37" s="11" t="e">
        <f>#REF!-#REF!</f>
        <v>#REF!</v>
      </c>
      <c r="W37" s="11" t="e">
        <f>#REF!-#REF!</f>
        <v>#REF!</v>
      </c>
    </row>
    <row r="38" spans="1:23">
      <c r="A38" s="10"/>
    </row>
  </sheetData>
  <phoneticPr fontId="6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C4709-69D9-FB4E-83F3-2738D09F0E95}">
  <dimension ref="A1:U38"/>
  <sheetViews>
    <sheetView workbookViewId="0">
      <selection sqref="A1:A1048576"/>
    </sheetView>
  </sheetViews>
  <sheetFormatPr baseColWidth="10" defaultRowHeight="16"/>
  <cols>
    <col min="1" max="1" width="19" customWidth="1"/>
  </cols>
  <sheetData>
    <row r="1" spans="1:21" s="7" customFormat="1" ht="17">
      <c r="A1" s="23" t="s">
        <v>50</v>
      </c>
      <c r="B1" s="23">
        <v>1997</v>
      </c>
      <c r="C1" s="23">
        <v>1998</v>
      </c>
      <c r="D1" s="23">
        <v>1999</v>
      </c>
      <c r="E1" s="23">
        <v>2000</v>
      </c>
      <c r="F1" s="23">
        <v>2001</v>
      </c>
      <c r="G1" s="23">
        <v>2002</v>
      </c>
      <c r="H1" s="23">
        <v>2003</v>
      </c>
      <c r="I1" s="23">
        <v>2004</v>
      </c>
      <c r="J1" s="23">
        <v>2005</v>
      </c>
      <c r="K1" s="23">
        <v>2006</v>
      </c>
      <c r="L1" s="23">
        <v>2007</v>
      </c>
      <c r="M1" s="23">
        <v>2008</v>
      </c>
      <c r="N1" s="23">
        <v>2009</v>
      </c>
      <c r="O1" s="23">
        <v>2010</v>
      </c>
      <c r="P1" s="23">
        <v>2011</v>
      </c>
      <c r="Q1" s="23">
        <v>2012</v>
      </c>
      <c r="R1" s="23">
        <v>2013</v>
      </c>
      <c r="S1" s="23">
        <v>2014</v>
      </c>
      <c r="T1" s="23">
        <v>2015</v>
      </c>
      <c r="U1" s="23">
        <v>2016</v>
      </c>
    </row>
    <row r="2" spans="1:21" s="7" customFormat="1">
      <c r="A2" s="16" t="s">
        <v>9</v>
      </c>
      <c r="B2" s="11">
        <v>655.8</v>
      </c>
      <c r="C2" s="11">
        <v>622.20000000000005</v>
      </c>
      <c r="D2" s="11">
        <v>618.6</v>
      </c>
      <c r="E2" s="11">
        <v>619.29999999999995</v>
      </c>
      <c r="F2" s="11">
        <v>628.9</v>
      </c>
      <c r="G2" s="11">
        <v>679.2</v>
      </c>
      <c r="H2" s="11">
        <v>703.3</v>
      </c>
      <c r="I2" s="11">
        <v>854.1</v>
      </c>
      <c r="J2" s="11">
        <v>878</v>
      </c>
      <c r="K2" s="11">
        <v>919.7</v>
      </c>
      <c r="L2" s="11">
        <v>942.7</v>
      </c>
      <c r="M2" s="11">
        <v>980.9</v>
      </c>
      <c r="N2" s="11">
        <v>998.3</v>
      </c>
      <c r="O2" s="11">
        <v>1031.5999999999999</v>
      </c>
      <c r="P2" s="11">
        <v>1069.7</v>
      </c>
      <c r="Q2" s="11">
        <v>1107.3</v>
      </c>
      <c r="R2" s="11">
        <v>1141</v>
      </c>
      <c r="S2" s="11">
        <v>1156.7</v>
      </c>
      <c r="T2" s="11">
        <v>1226</v>
      </c>
      <c r="U2" s="11" t="e">
        <f>#REF!*#REF!/100</f>
        <v>#REF!</v>
      </c>
    </row>
    <row r="3" spans="1:21" s="7" customFormat="1">
      <c r="A3" s="11" t="s">
        <v>10</v>
      </c>
      <c r="B3" s="11">
        <v>513.33000000000004</v>
      </c>
      <c r="C3" s="11">
        <v>508.1</v>
      </c>
      <c r="D3" s="11">
        <v>508.14</v>
      </c>
      <c r="E3" s="11">
        <v>486.89</v>
      </c>
      <c r="F3" s="11">
        <v>488.34</v>
      </c>
      <c r="G3" s="11">
        <v>492.61</v>
      </c>
      <c r="H3" s="11">
        <v>510.9</v>
      </c>
      <c r="I3" s="11">
        <v>527.78</v>
      </c>
      <c r="J3" s="11">
        <v>542.52</v>
      </c>
      <c r="K3" s="11">
        <v>562.91999999999996</v>
      </c>
      <c r="L3" s="11">
        <v>613.92999999999995</v>
      </c>
      <c r="M3" s="11">
        <v>647.32000000000005</v>
      </c>
      <c r="N3" s="11">
        <v>677.13</v>
      </c>
      <c r="O3" s="11">
        <v>728.7</v>
      </c>
      <c r="P3" s="11">
        <v>763.16</v>
      </c>
      <c r="Q3" s="11">
        <v>803.14</v>
      </c>
      <c r="R3" s="11">
        <v>847.46</v>
      </c>
      <c r="S3" s="11">
        <v>877.21</v>
      </c>
      <c r="T3" s="11" t="e">
        <f>(S3+U3)/2</f>
        <v>#REF!</v>
      </c>
      <c r="U3" s="11" t="e">
        <f>#REF!*#REF!/100</f>
        <v>#REF!</v>
      </c>
    </row>
    <row r="4" spans="1:21" s="7" customFormat="1">
      <c r="A4" s="11" t="s">
        <v>11</v>
      </c>
      <c r="B4" s="11">
        <v>3324.23</v>
      </c>
      <c r="C4" s="11">
        <v>3367.18</v>
      </c>
      <c r="D4" s="11">
        <v>3322.3</v>
      </c>
      <c r="E4" s="11">
        <v>3385.71</v>
      </c>
      <c r="F4" s="11">
        <v>3409.16</v>
      </c>
      <c r="G4" s="11">
        <v>3435</v>
      </c>
      <c r="H4" s="11">
        <v>3470.23</v>
      </c>
      <c r="I4" s="11">
        <v>3516.71</v>
      </c>
      <c r="J4" s="11">
        <v>3568.97</v>
      </c>
      <c r="K4" s="11">
        <v>3609.99</v>
      </c>
      <c r="L4" s="11">
        <v>3664.97</v>
      </c>
      <c r="M4" s="11">
        <v>3725.66</v>
      </c>
      <c r="N4" s="11">
        <v>3792.49</v>
      </c>
      <c r="O4" s="11">
        <v>3865.14</v>
      </c>
      <c r="P4" s="11">
        <v>3962.42</v>
      </c>
      <c r="Q4" s="11">
        <v>4085.74</v>
      </c>
      <c r="R4" s="11">
        <v>4183.93</v>
      </c>
      <c r="S4" s="11">
        <v>4202.66</v>
      </c>
      <c r="T4" s="11" t="e">
        <f t="shared" ref="T4:T37" si="0">(S4+U4)/2</f>
        <v>#REF!</v>
      </c>
      <c r="U4" s="11" t="e">
        <f>#REF!*#REF!/100</f>
        <v>#REF!</v>
      </c>
    </row>
    <row r="5" spans="1:21" s="7" customFormat="1">
      <c r="A5" s="11" t="s">
        <v>12</v>
      </c>
      <c r="B5" s="11">
        <v>1439.4</v>
      </c>
      <c r="C5" s="11">
        <v>1398.3</v>
      </c>
      <c r="D5" s="11">
        <v>1402.2</v>
      </c>
      <c r="E5" s="11">
        <v>1392.4</v>
      </c>
      <c r="F5" s="11">
        <v>1399.5</v>
      </c>
      <c r="G5" s="11">
        <v>1403.3</v>
      </c>
      <c r="H5" s="11">
        <v>1469.5</v>
      </c>
      <c r="I5" s="11">
        <v>1474.6</v>
      </c>
      <c r="J5" s="11">
        <v>1500.2</v>
      </c>
      <c r="K5" s="11">
        <v>1561.2</v>
      </c>
      <c r="L5" s="11">
        <v>1595.7</v>
      </c>
      <c r="M5" s="11">
        <v>1614.1</v>
      </c>
      <c r="N5" s="11">
        <v>1630.6</v>
      </c>
      <c r="O5" s="11">
        <v>1685.9</v>
      </c>
      <c r="P5" s="11">
        <v>1738.89</v>
      </c>
      <c r="Q5" s="11">
        <v>1790.17</v>
      </c>
      <c r="R5" s="11">
        <v>1844.2</v>
      </c>
      <c r="S5" s="11">
        <v>1862.29</v>
      </c>
      <c r="T5" s="11" t="e">
        <f t="shared" si="0"/>
        <v>#REF!</v>
      </c>
      <c r="U5" s="11" t="e">
        <f>#REF!*#REF!/100</f>
        <v>#REF!</v>
      </c>
    </row>
    <row r="6" spans="1:21" s="7" customFormat="1">
      <c r="A6" s="11" t="s">
        <v>13</v>
      </c>
      <c r="B6" s="11">
        <v>1050.3</v>
      </c>
      <c r="C6" s="11">
        <v>1050.3</v>
      </c>
      <c r="D6" s="11">
        <v>1056.7</v>
      </c>
      <c r="E6" s="11">
        <v>1061.5999999999999</v>
      </c>
      <c r="F6" s="11">
        <v>1067</v>
      </c>
      <c r="G6" s="11">
        <v>1086.0999999999999</v>
      </c>
      <c r="H6" s="11">
        <v>1005.2</v>
      </c>
      <c r="I6" s="11">
        <v>1026.0999999999999</v>
      </c>
      <c r="J6" s="11">
        <v>1041.0999999999999</v>
      </c>
      <c r="K6" s="11">
        <v>1051.2</v>
      </c>
      <c r="L6" s="11">
        <v>1081.5</v>
      </c>
      <c r="M6" s="11">
        <v>1103.3</v>
      </c>
      <c r="N6" s="11">
        <v>1142.5</v>
      </c>
      <c r="O6" s="11">
        <v>1184.7</v>
      </c>
      <c r="P6" s="11">
        <v>1249.3</v>
      </c>
      <c r="Q6" s="11">
        <v>1304.9000000000001</v>
      </c>
      <c r="R6" s="11">
        <v>1408.2</v>
      </c>
      <c r="S6" s="11">
        <v>1487.6</v>
      </c>
      <c r="T6" s="11" t="e">
        <f t="shared" si="0"/>
        <v>#REF!</v>
      </c>
      <c r="U6" s="11" t="e">
        <f>#REF!*#REF!/100</f>
        <v>#REF!</v>
      </c>
    </row>
    <row r="7" spans="1:21" s="7" customForma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1:21" s="7" customFormat="1">
      <c r="A8" s="11" t="s">
        <v>14</v>
      </c>
      <c r="B8" s="11">
        <v>1967.1</v>
      </c>
      <c r="C8" s="11">
        <v>1958.8</v>
      </c>
      <c r="D8" s="11">
        <v>1994.4</v>
      </c>
      <c r="E8" s="11">
        <v>2052</v>
      </c>
      <c r="F8" s="11">
        <v>2069.3000000000002</v>
      </c>
      <c r="G8" s="11">
        <v>2025.3</v>
      </c>
      <c r="H8" s="11">
        <v>2018.9</v>
      </c>
      <c r="I8" s="11">
        <v>2097.3000000000002</v>
      </c>
      <c r="J8" s="11">
        <v>2120.3000000000002</v>
      </c>
      <c r="K8" s="11">
        <v>2128.1</v>
      </c>
      <c r="L8" s="11">
        <v>2180.6999999999998</v>
      </c>
      <c r="M8" s="11">
        <v>2198.1999999999998</v>
      </c>
      <c r="N8" s="11">
        <v>2277.1</v>
      </c>
      <c r="O8" s="11">
        <v>2317.5</v>
      </c>
      <c r="P8" s="11">
        <v>2364.9</v>
      </c>
      <c r="Q8" s="11">
        <v>2423.8000000000002</v>
      </c>
      <c r="R8" s="11">
        <v>2518.9</v>
      </c>
      <c r="S8" s="11">
        <v>2626</v>
      </c>
      <c r="T8" s="11" t="e">
        <f t="shared" si="0"/>
        <v>#REF!</v>
      </c>
      <c r="U8" s="11" t="e">
        <f>#REF!*#REF!/100</f>
        <v>#REF!</v>
      </c>
    </row>
    <row r="9" spans="1:21" s="7" customFormat="1">
      <c r="A9" s="11" t="s">
        <v>15</v>
      </c>
      <c r="B9" s="11">
        <v>1237.73</v>
      </c>
      <c r="C9" s="11">
        <v>1130.8499999999999</v>
      </c>
      <c r="D9" s="11">
        <v>1120</v>
      </c>
      <c r="E9" s="11">
        <v>1164.02</v>
      </c>
      <c r="F9" s="11">
        <v>1167.4100000000001</v>
      </c>
      <c r="G9" s="11">
        <v>1186.5999999999999</v>
      </c>
      <c r="H9" s="11">
        <v>1202.5</v>
      </c>
      <c r="I9" s="11">
        <v>1222</v>
      </c>
      <c r="J9" s="11">
        <v>1238.9000000000001</v>
      </c>
      <c r="K9" s="11">
        <v>1250.5</v>
      </c>
      <c r="L9" s="11">
        <v>1266.0999999999999</v>
      </c>
      <c r="M9" s="11">
        <v>1281.4000000000001</v>
      </c>
      <c r="N9" s="11">
        <v>1297.3</v>
      </c>
      <c r="O9" s="11">
        <v>1311.6</v>
      </c>
      <c r="P9" s="11">
        <v>1337.78</v>
      </c>
      <c r="Q9" s="11">
        <v>1355.9</v>
      </c>
      <c r="R9" s="11">
        <v>1415.43</v>
      </c>
      <c r="S9" s="11">
        <v>1447.17</v>
      </c>
      <c r="T9" s="11" t="e">
        <f t="shared" si="0"/>
        <v>#REF!</v>
      </c>
      <c r="U9" s="11" t="e">
        <f>#REF!*#REF!/100</f>
        <v>#REF!</v>
      </c>
    </row>
    <row r="10" spans="1:21" s="7" customFormat="1">
      <c r="A10" s="11" t="s">
        <v>16</v>
      </c>
      <c r="B10" s="11">
        <v>1647.6</v>
      </c>
      <c r="C10" s="11">
        <v>1700</v>
      </c>
      <c r="D10" s="11">
        <v>1654.2</v>
      </c>
      <c r="E10" s="11">
        <v>1600.8</v>
      </c>
      <c r="F10" s="11">
        <v>1592.6</v>
      </c>
      <c r="G10" s="11">
        <v>1603.1</v>
      </c>
      <c r="H10" s="11">
        <v>1614</v>
      </c>
      <c r="I10" s="11">
        <v>1681.1</v>
      </c>
      <c r="J10" s="11">
        <v>1748.9</v>
      </c>
      <c r="K10" s="11">
        <v>1784.1</v>
      </c>
      <c r="L10" s="11">
        <v>1827.6</v>
      </c>
      <c r="M10" s="11">
        <v>1852.4</v>
      </c>
      <c r="N10" s="11">
        <v>1877</v>
      </c>
      <c r="O10" s="11">
        <v>1932</v>
      </c>
      <c r="P10" s="11">
        <v>1977.8</v>
      </c>
      <c r="Q10" s="11">
        <v>2027.8</v>
      </c>
      <c r="R10" s="11">
        <f>467.4+992.8+208.4+314.02+217.31</f>
        <v>2199.9299999999998</v>
      </c>
      <c r="S10" s="11">
        <f>450.9+982.9+200.5+297.22+175.32</f>
        <v>2106.84</v>
      </c>
      <c r="T10" s="11" t="e">
        <f t="shared" si="0"/>
        <v>#REF!</v>
      </c>
      <c r="U10" s="11" t="e">
        <f>#REF!*#REF!/100</f>
        <v>#REF!</v>
      </c>
    </row>
    <row r="11" spans="1:21" s="7" customForma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</row>
    <row r="12" spans="1:21" s="7" customFormat="1">
      <c r="A12" s="11" t="s">
        <v>17</v>
      </c>
      <c r="B12" s="11">
        <v>847.25</v>
      </c>
      <c r="C12" s="11">
        <v>836.21</v>
      </c>
      <c r="D12" s="11">
        <v>812.09</v>
      </c>
      <c r="E12" s="11">
        <v>745.24</v>
      </c>
      <c r="F12" s="11">
        <v>752.26</v>
      </c>
      <c r="G12" s="11">
        <v>792.04</v>
      </c>
      <c r="H12" s="11">
        <v>813.05</v>
      </c>
      <c r="I12" s="11">
        <v>836.87</v>
      </c>
      <c r="J12" s="11">
        <v>863.32</v>
      </c>
      <c r="K12" s="11">
        <v>885.51</v>
      </c>
      <c r="L12" s="11">
        <v>1024.33</v>
      </c>
      <c r="M12" s="11">
        <v>1053.24</v>
      </c>
      <c r="N12" s="11">
        <v>1064.42</v>
      </c>
      <c r="O12" s="11">
        <v>1090.76</v>
      </c>
      <c r="P12" s="11">
        <v>1104.33</v>
      </c>
      <c r="Q12" s="11">
        <v>1115.5</v>
      </c>
      <c r="R12" s="11">
        <v>1137.3499999999999</v>
      </c>
      <c r="S12" s="11">
        <f>1365.63*83.11%</f>
        <v>1134.975093</v>
      </c>
      <c r="T12" s="11" t="e">
        <f t="shared" si="0"/>
        <v>#REF!</v>
      </c>
      <c r="U12" s="11" t="e">
        <f>#REF!*#REF!/100</f>
        <v>#REF!</v>
      </c>
    </row>
    <row r="13" spans="1:21" s="7" customFormat="1">
      <c r="A13" s="11" t="s">
        <v>18</v>
      </c>
      <c r="B13" s="11">
        <v>4388.79</v>
      </c>
      <c r="C13" s="11">
        <v>4389.92</v>
      </c>
      <c r="D13" s="11">
        <v>4390.71</v>
      </c>
      <c r="E13" s="11">
        <v>4418.1400000000003</v>
      </c>
      <c r="F13" s="11">
        <v>4436.45</v>
      </c>
      <c r="G13" s="11">
        <v>4472.84</v>
      </c>
      <c r="H13" s="11">
        <v>4499.97</v>
      </c>
      <c r="I13" s="11">
        <v>4537.07</v>
      </c>
      <c r="J13" s="11">
        <v>4578.75</v>
      </c>
      <c r="K13" s="11">
        <v>4628.95</v>
      </c>
      <c r="L13" s="11">
        <v>4677.88</v>
      </c>
      <c r="M13" s="11">
        <v>4700.96</v>
      </c>
      <c r="N13" s="11">
        <v>4726.54</v>
      </c>
      <c r="O13" s="11">
        <v>4754.68</v>
      </c>
      <c r="P13" s="11">
        <v>4758.2299999999996</v>
      </c>
      <c r="Q13" s="11">
        <v>4759.53</v>
      </c>
      <c r="R13" s="11">
        <v>4759.8900000000003</v>
      </c>
      <c r="S13" s="11">
        <v>4760.83</v>
      </c>
      <c r="T13" s="11" t="e">
        <f t="shared" si="0"/>
        <v>#REF!</v>
      </c>
      <c r="U13" s="11" t="e">
        <f>#REF!*#REF!/100</f>
        <v>#REF!</v>
      </c>
    </row>
    <row r="14" spans="1:21" s="7" customFormat="1">
      <c r="A14" s="11" t="s">
        <v>19</v>
      </c>
      <c r="B14" s="11">
        <v>2619.66</v>
      </c>
      <c r="C14" s="11">
        <v>2612.54</v>
      </c>
      <c r="D14" s="11">
        <v>2625.17</v>
      </c>
      <c r="E14" s="11">
        <v>2726.09</v>
      </c>
      <c r="F14" s="11">
        <v>2796.65</v>
      </c>
      <c r="G14" s="11">
        <v>2858.56</v>
      </c>
      <c r="H14" s="11">
        <v>2918.74</v>
      </c>
      <c r="I14" s="11">
        <v>2991.95</v>
      </c>
      <c r="J14" s="11">
        <v>3100.76</v>
      </c>
      <c r="K14" s="11">
        <v>3172.38</v>
      </c>
      <c r="L14" s="11">
        <v>3405.01</v>
      </c>
      <c r="M14" s="11">
        <v>3486.5266999999999</v>
      </c>
      <c r="N14" s="11">
        <v>3591.98</v>
      </c>
      <c r="O14" s="11">
        <v>3636.02</v>
      </c>
      <c r="P14" s="11">
        <v>3674.11</v>
      </c>
      <c r="Q14" s="11">
        <v>3691.24</v>
      </c>
      <c r="R14" s="11">
        <v>3708.73</v>
      </c>
      <c r="S14" s="11">
        <v>3714.15</v>
      </c>
      <c r="T14" s="11" t="e">
        <f t="shared" si="0"/>
        <v>#REF!</v>
      </c>
      <c r="U14" s="11" t="e">
        <f>#REF!*#REF!/100</f>
        <v>#REF!</v>
      </c>
    </row>
    <row r="15" spans="1:21" s="7" customFormat="1">
      <c r="A15" s="11" t="s">
        <v>20</v>
      </c>
      <c r="B15" s="11">
        <v>3322.1</v>
      </c>
      <c r="C15" s="11">
        <v>3379.3</v>
      </c>
      <c r="D15" s="11">
        <v>3398.6</v>
      </c>
      <c r="E15" s="11">
        <v>3450.7</v>
      </c>
      <c r="F15" s="11">
        <v>3463</v>
      </c>
      <c r="G15" s="11">
        <v>3500.5</v>
      </c>
      <c r="H15" s="11">
        <v>3544.9</v>
      </c>
      <c r="I15" s="11">
        <v>3605.2</v>
      </c>
      <c r="J15" s="11">
        <v>3669.7</v>
      </c>
      <c r="K15" s="11">
        <v>3741</v>
      </c>
      <c r="L15" s="11">
        <v>3818</v>
      </c>
      <c r="M15" s="11">
        <v>3916</v>
      </c>
      <c r="N15" s="11">
        <v>3987.9999605863763</v>
      </c>
      <c r="O15" s="11">
        <v>4050</v>
      </c>
      <c r="P15" s="11">
        <v>4120.8999999999996</v>
      </c>
      <c r="Q15" s="11">
        <v>4206.8</v>
      </c>
      <c r="R15" s="11">
        <v>4275.8999999999996</v>
      </c>
      <c r="S15" s="11">
        <v>4311</v>
      </c>
      <c r="T15" s="11" t="e">
        <f t="shared" si="0"/>
        <v>#REF!</v>
      </c>
      <c r="U15" s="11" t="e">
        <f>#REF!*#REF!/100</f>
        <v>#REF!</v>
      </c>
    </row>
    <row r="16" spans="1:21" s="7" customFormat="1">
      <c r="A16" s="11" t="s">
        <v>21</v>
      </c>
      <c r="B16" s="11">
        <v>1613.41</v>
      </c>
      <c r="C16" s="11">
        <v>1621.87</v>
      </c>
      <c r="D16" s="11">
        <v>1630.85</v>
      </c>
      <c r="E16" s="11">
        <v>1660.19</v>
      </c>
      <c r="F16" s="11">
        <v>1677.79</v>
      </c>
      <c r="G16" s="11">
        <v>1711.32</v>
      </c>
      <c r="H16" s="11">
        <v>1756.71</v>
      </c>
      <c r="I16" s="11">
        <v>1814.03</v>
      </c>
      <c r="J16" s="11">
        <v>1868.5</v>
      </c>
      <c r="K16" s="11">
        <v>1949.58</v>
      </c>
      <c r="L16" s="11">
        <v>2015.33</v>
      </c>
      <c r="M16" s="11">
        <v>2079.7800000000002</v>
      </c>
      <c r="N16" s="11">
        <v>2168.86</v>
      </c>
      <c r="O16" s="11">
        <v>2241.59</v>
      </c>
      <c r="P16" s="11">
        <v>2459.9899999999998</v>
      </c>
      <c r="Q16" s="11">
        <v>2568.9299999999998</v>
      </c>
      <c r="R16" s="11">
        <v>2555.86</v>
      </c>
      <c r="S16" s="11">
        <v>2648.51</v>
      </c>
      <c r="T16" s="11" t="e">
        <f t="shared" si="0"/>
        <v>#REF!</v>
      </c>
      <c r="U16" s="11" t="e">
        <f>#REF!*#REF!/100</f>
        <v>#REF!</v>
      </c>
    </row>
    <row r="17" spans="1:21" s="7" customFormat="1">
      <c r="A17" s="11" t="s">
        <v>22</v>
      </c>
      <c r="B17" s="11">
        <v>2120.6</v>
      </c>
      <c r="C17" s="11">
        <v>2094.3000000000002</v>
      </c>
      <c r="D17" s="11">
        <v>2089</v>
      </c>
      <c r="E17" s="11">
        <v>2060.9</v>
      </c>
      <c r="F17" s="11">
        <v>2054.8000000000002</v>
      </c>
      <c r="G17" s="11">
        <v>2130.6</v>
      </c>
      <c r="H17" s="11">
        <v>2168.1999999999998</v>
      </c>
      <c r="I17" s="11">
        <v>2213.98</v>
      </c>
      <c r="J17" s="11">
        <v>2276.6999999999998</v>
      </c>
      <c r="K17" s="11">
        <v>2321.1</v>
      </c>
      <c r="L17" s="11">
        <v>2369.6</v>
      </c>
      <c r="M17" s="11">
        <v>2404.5</v>
      </c>
      <c r="N17" s="11">
        <v>2445.1999999999998</v>
      </c>
      <c r="O17" s="11">
        <v>2498.8000000000002</v>
      </c>
      <c r="P17" s="11">
        <v>2532.6</v>
      </c>
      <c r="Q17" s="11">
        <v>2556</v>
      </c>
      <c r="R17" s="11">
        <v>2588.6999999999998</v>
      </c>
      <c r="S17" s="11">
        <v>2603.3000000000002</v>
      </c>
      <c r="T17" s="11" t="e">
        <f t="shared" si="0"/>
        <v>#REF!</v>
      </c>
      <c r="U17" s="11" t="e">
        <f>#REF!*#REF!/100</f>
        <v>#REF!</v>
      </c>
    </row>
    <row r="18" spans="1:21" s="7" customFormat="1">
      <c r="A18" s="11" t="s">
        <v>23</v>
      </c>
      <c r="B18" s="11">
        <v>5256</v>
      </c>
      <c r="C18" s="11">
        <v>5287.6</v>
      </c>
      <c r="D18" s="11">
        <v>5314.7</v>
      </c>
      <c r="E18" s="11">
        <v>5441.8</v>
      </c>
      <c r="F18" s="11">
        <v>5475.3</v>
      </c>
      <c r="G18" s="11">
        <v>5527</v>
      </c>
      <c r="H18" s="11">
        <v>5620.6</v>
      </c>
      <c r="I18" s="11">
        <v>5728.1</v>
      </c>
      <c r="J18" s="11">
        <v>5840.7</v>
      </c>
      <c r="K18" s="11">
        <v>5960</v>
      </c>
      <c r="L18" s="11">
        <v>6081.4</v>
      </c>
      <c r="M18" s="11">
        <v>6187.6</v>
      </c>
      <c r="N18" s="11">
        <v>6294.2</v>
      </c>
      <c r="O18" s="11">
        <v>6401.9</v>
      </c>
      <c r="P18" s="11">
        <v>6485.6</v>
      </c>
      <c r="Q18" s="11">
        <v>6554.3</v>
      </c>
      <c r="R18" s="11">
        <v>6580.4</v>
      </c>
      <c r="S18" s="11">
        <v>6606.5</v>
      </c>
      <c r="T18" s="11" t="e">
        <f t="shared" si="0"/>
        <v>#REF!</v>
      </c>
      <c r="U18" s="11" t="e">
        <f>#REF!*#REF!/100</f>
        <v>#REF!</v>
      </c>
    </row>
    <row r="19" spans="1:21" s="7" customForma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</row>
    <row r="20" spans="1:21" s="7" customFormat="1">
      <c r="A20" s="11" t="s">
        <v>24</v>
      </c>
      <c r="B20" s="11">
        <v>4820</v>
      </c>
      <c r="C20" s="11">
        <v>5000</v>
      </c>
      <c r="D20" s="11">
        <v>5205</v>
      </c>
      <c r="E20" s="11">
        <v>5572</v>
      </c>
      <c r="F20" s="11">
        <v>5517</v>
      </c>
      <c r="G20" s="11">
        <v>5522</v>
      </c>
      <c r="H20" s="11">
        <v>5536</v>
      </c>
      <c r="I20" s="11">
        <v>5587</v>
      </c>
      <c r="J20" s="11">
        <v>5662.4</v>
      </c>
      <c r="K20" s="11">
        <v>5718.7</v>
      </c>
      <c r="L20" s="11">
        <v>5772.7</v>
      </c>
      <c r="M20" s="11">
        <v>5835.45</v>
      </c>
      <c r="N20" s="11">
        <v>5949</v>
      </c>
      <c r="O20" s="11">
        <v>6042</v>
      </c>
      <c r="P20" s="11">
        <v>6198</v>
      </c>
      <c r="Q20" s="11">
        <v>6288</v>
      </c>
      <c r="R20" s="11">
        <v>6386.5747000000001</v>
      </c>
      <c r="S20" s="11">
        <v>6520.0322999999999</v>
      </c>
      <c r="T20" s="11" t="e">
        <f t="shared" si="0"/>
        <v>#REF!</v>
      </c>
      <c r="U20" s="11" t="e">
        <f>#REF!*#REF!/100</f>
        <v>#REF!</v>
      </c>
    </row>
    <row r="21" spans="1:21" s="7" customFormat="1">
      <c r="A21" s="11" t="s">
        <v>25</v>
      </c>
      <c r="B21" s="11">
        <v>3311.2</v>
      </c>
      <c r="C21" s="11">
        <v>3328.2</v>
      </c>
      <c r="D21" s="11">
        <v>3358.1</v>
      </c>
      <c r="E21" s="11">
        <v>3384.9</v>
      </c>
      <c r="F21" s="11">
        <v>3414.5</v>
      </c>
      <c r="G21" s="11">
        <v>3443</v>
      </c>
      <c r="H21" s="11">
        <v>3476</v>
      </c>
      <c r="I21" s="11">
        <v>3507</v>
      </c>
      <c r="J21" s="11">
        <v>3537</v>
      </c>
      <c r="K21" s="11">
        <v>3564</v>
      </c>
      <c r="L21" s="11">
        <v>3584</v>
      </c>
      <c r="M21" s="11">
        <v>3607</v>
      </c>
      <c r="N21" s="11">
        <v>3622</v>
      </c>
      <c r="O21" s="11">
        <v>3645</v>
      </c>
      <c r="P21" s="11">
        <v>3672</v>
      </c>
      <c r="Q21" s="11">
        <v>3687</v>
      </c>
      <c r="R21" s="11">
        <v>3692</v>
      </c>
      <c r="S21" s="11">
        <v>3687.5</v>
      </c>
      <c r="T21" s="11" t="e">
        <f t="shared" si="0"/>
        <v>#REF!</v>
      </c>
      <c r="U21" s="11" t="e">
        <f>#REF!*#REF!/100</f>
        <v>#REF!</v>
      </c>
    </row>
    <row r="22" spans="1:21" s="7" customFormat="1">
      <c r="A22" s="11" t="s">
        <v>26</v>
      </c>
      <c r="B22" s="11">
        <v>3560.29</v>
      </c>
      <c r="C22" s="11">
        <v>3603.17</v>
      </c>
      <c r="D22" s="11">
        <v>3601.39</v>
      </c>
      <c r="E22" s="11">
        <v>3577.58</v>
      </c>
      <c r="F22" s="11">
        <v>3607.96</v>
      </c>
      <c r="G22" s="11">
        <v>3644.52</v>
      </c>
      <c r="H22" s="11">
        <v>3694.78</v>
      </c>
      <c r="I22" s="11">
        <v>3747.1</v>
      </c>
      <c r="J22" s="11">
        <v>3801.48</v>
      </c>
      <c r="K22" s="11">
        <v>3842.17</v>
      </c>
      <c r="L22" s="11">
        <v>3883.41</v>
      </c>
      <c r="M22" s="11">
        <v>3910.06</v>
      </c>
      <c r="N22" s="11">
        <v>3935.21</v>
      </c>
      <c r="O22" s="11">
        <v>3982.73</v>
      </c>
      <c r="P22" s="11">
        <v>4005.03</v>
      </c>
      <c r="Q22" s="11">
        <v>4019.31</v>
      </c>
      <c r="R22" s="11">
        <v>4036.45</v>
      </c>
      <c r="S22" s="11">
        <v>4044.13</v>
      </c>
      <c r="T22" s="11" t="e">
        <f t="shared" si="0"/>
        <v>#REF!</v>
      </c>
      <c r="U22" s="11" t="e">
        <f>#REF!*#REF!/100</f>
        <v>#REF!</v>
      </c>
    </row>
    <row r="23" spans="1:21" s="7" customFormat="1">
      <c r="A23" s="11" t="s">
        <v>27</v>
      </c>
      <c r="B23" s="11">
        <v>3701.9</v>
      </c>
      <c r="C23" s="11">
        <v>3783.87</v>
      </c>
      <c r="D23" s="11">
        <v>3796.32</v>
      </c>
      <c r="E23" s="11">
        <v>3989.32</v>
      </c>
      <c r="F23" s="11">
        <v>4058.63</v>
      </c>
      <c r="G23" s="11">
        <v>4134.37</v>
      </c>
      <c r="H23" s="11">
        <v>4395.93</v>
      </c>
      <c r="I23" s="11">
        <v>4681.8900000000003</v>
      </c>
      <c r="J23" s="11">
        <v>5022.97</v>
      </c>
      <c r="K23" s="11">
        <v>5177.0200000000004</v>
      </c>
      <c r="L23" s="11">
        <v>5341.5</v>
      </c>
      <c r="M23" s="11">
        <v>5471.72</v>
      </c>
      <c r="N23" s="11">
        <v>5688.62</v>
      </c>
      <c r="O23" s="11">
        <v>5870.48</v>
      </c>
      <c r="P23" s="11">
        <v>5960.74</v>
      </c>
      <c r="Q23" s="11">
        <v>5965.95</v>
      </c>
      <c r="R23" s="11">
        <v>6117.68</v>
      </c>
      <c r="S23" s="11">
        <v>6183.23</v>
      </c>
      <c r="T23" s="11" t="e">
        <f t="shared" si="0"/>
        <v>#REF!</v>
      </c>
      <c r="U23" s="11" t="e">
        <f>#REF!*#REF!/100</f>
        <v>#REF!</v>
      </c>
    </row>
    <row r="24" spans="1:21" s="7" customFormat="1">
      <c r="A24" s="11" t="s">
        <v>28</v>
      </c>
      <c r="B24" s="11">
        <v>2454</v>
      </c>
      <c r="C24" s="11">
        <v>2499</v>
      </c>
      <c r="D24" s="11">
        <v>2514.9</v>
      </c>
      <c r="E24" s="11">
        <v>2566</v>
      </c>
      <c r="F24" s="11">
        <v>2578</v>
      </c>
      <c r="G24" s="11">
        <v>2589</v>
      </c>
      <c r="H24" s="11">
        <v>2601</v>
      </c>
      <c r="I24" s="11">
        <v>2631.78</v>
      </c>
      <c r="J24" s="11">
        <v>2703</v>
      </c>
      <c r="K24" s="11">
        <v>2760</v>
      </c>
      <c r="L24" s="11">
        <v>2769</v>
      </c>
      <c r="M24" s="11">
        <v>2799</v>
      </c>
      <c r="N24" s="11">
        <v>2848</v>
      </c>
      <c r="O24" s="11">
        <v>2903</v>
      </c>
      <c r="P24" s="11">
        <v>2936</v>
      </c>
      <c r="Q24" s="11">
        <v>2768</v>
      </c>
      <c r="R24" s="11">
        <v>2782.26</v>
      </c>
      <c r="S24" s="11">
        <v>2795</v>
      </c>
      <c r="T24" s="11" t="e">
        <f t="shared" si="0"/>
        <v>#REF!</v>
      </c>
      <c r="U24" s="11" t="e">
        <f>#REF!*#REF!/100</f>
        <v>#REF!</v>
      </c>
    </row>
    <row r="25" spans="1:21" s="7" customFormat="1">
      <c r="A25" s="11" t="s">
        <v>29</v>
      </c>
      <c r="B25" s="11">
        <v>341.64</v>
      </c>
      <c r="C25" s="11">
        <v>326.7</v>
      </c>
      <c r="D25" s="11">
        <v>326.77</v>
      </c>
      <c r="E25" s="11">
        <v>334.55</v>
      </c>
      <c r="F25" s="11">
        <v>338.39</v>
      </c>
      <c r="G25" s="11">
        <v>349.89</v>
      </c>
      <c r="H25" s="11">
        <v>360.34</v>
      </c>
      <c r="I25" s="11">
        <v>371.1</v>
      </c>
      <c r="J25" s="11">
        <v>379.3</v>
      </c>
      <c r="K25" s="11">
        <v>382.4</v>
      </c>
      <c r="L25" s="11">
        <v>400</v>
      </c>
      <c r="M25" s="11">
        <v>408.4</v>
      </c>
      <c r="N25" s="11">
        <v>424.56</v>
      </c>
      <c r="O25" s="11">
        <v>439.65</v>
      </c>
      <c r="P25" s="11">
        <v>459.22</v>
      </c>
      <c r="Q25" s="11">
        <v>483.9</v>
      </c>
      <c r="R25" s="11">
        <v>514.55999999999995</v>
      </c>
      <c r="S25" s="11">
        <v>543.1</v>
      </c>
      <c r="T25" s="11" t="e">
        <f t="shared" si="0"/>
        <v>#REF!</v>
      </c>
      <c r="U25" s="11" t="e">
        <f>#REF!*#REF!/100</f>
        <v>#REF!</v>
      </c>
    </row>
    <row r="26" spans="1:21" s="7" customForma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</row>
    <row r="27" spans="1:21" s="7" customFormat="1">
      <c r="A27" s="11" t="s">
        <v>30</v>
      </c>
      <c r="B27" s="11">
        <v>1715.4</v>
      </c>
      <c r="C27" s="11">
        <v>1710.97</v>
      </c>
      <c r="D27" s="11">
        <v>1699.06</v>
      </c>
      <c r="E27" s="11">
        <v>1661.16</v>
      </c>
      <c r="F27" s="11">
        <v>1616.08</v>
      </c>
      <c r="G27" s="11">
        <v>1551.77</v>
      </c>
      <c r="H27" s="11">
        <v>1499.99</v>
      </c>
      <c r="I27" s="11">
        <v>1471.34</v>
      </c>
      <c r="J27" s="11">
        <v>1456.3</v>
      </c>
      <c r="K27" s="11">
        <v>1454.77</v>
      </c>
      <c r="L27" s="11">
        <v>1468.87</v>
      </c>
      <c r="M27" s="11">
        <v>1492.43</v>
      </c>
      <c r="N27" s="11">
        <v>1513</v>
      </c>
      <c r="O27" s="11">
        <v>1539.95</v>
      </c>
      <c r="P27" s="11">
        <v>1585.16</v>
      </c>
      <c r="Q27" s="11">
        <v>1633.14</v>
      </c>
      <c r="R27" s="11">
        <v>1683.51</v>
      </c>
      <c r="S27" s="11">
        <v>1696.94</v>
      </c>
      <c r="T27" s="11" t="e">
        <f t="shared" si="0"/>
        <v>#REF!</v>
      </c>
      <c r="U27" s="11" t="e">
        <f>#REF!*#REF!/100</f>
        <v>#REF!</v>
      </c>
    </row>
    <row r="28" spans="1:21" s="7" customFormat="1">
      <c r="A28" s="11" t="s">
        <v>31</v>
      </c>
      <c r="B28" s="11">
        <v>4641.2</v>
      </c>
      <c r="C28" s="11">
        <v>4651.3999999999996</v>
      </c>
      <c r="D28" s="11">
        <v>4654.3</v>
      </c>
      <c r="E28" s="11">
        <v>4658.3999999999996</v>
      </c>
      <c r="F28" s="11">
        <v>4664.8</v>
      </c>
      <c r="G28" s="11">
        <v>4667.6000000000004</v>
      </c>
      <c r="H28" s="11">
        <v>4683.5</v>
      </c>
      <c r="I28" s="11">
        <v>4691</v>
      </c>
      <c r="J28" s="11">
        <v>4702</v>
      </c>
      <c r="K28" s="11">
        <v>4715</v>
      </c>
      <c r="L28" s="11">
        <v>4731.1000000000004</v>
      </c>
      <c r="M28" s="11">
        <v>4740</v>
      </c>
      <c r="N28" s="11">
        <v>4756.62</v>
      </c>
      <c r="O28" s="11">
        <v>4772.53</v>
      </c>
      <c r="P28" s="11">
        <v>4785.47</v>
      </c>
      <c r="Q28" s="11">
        <v>4798.3</v>
      </c>
      <c r="R28" s="11">
        <v>4817.3100000000004</v>
      </c>
      <c r="S28" s="11">
        <v>4833</v>
      </c>
      <c r="T28" s="11" t="e">
        <f t="shared" si="0"/>
        <v>#REF!</v>
      </c>
      <c r="U28" s="11" t="e">
        <f>#REF!*#REF!/100</f>
        <v>#REF!</v>
      </c>
    </row>
    <row r="29" spans="1:21" s="7" customFormat="1">
      <c r="A29" s="11" t="s">
        <v>32</v>
      </c>
      <c r="B29" s="11">
        <v>1796.7</v>
      </c>
      <c r="C29" s="11">
        <v>1844.43</v>
      </c>
      <c r="D29" s="11">
        <v>1832.5</v>
      </c>
      <c r="E29" s="11">
        <v>1866.28</v>
      </c>
      <c r="F29" s="11">
        <v>2068.0100000000002</v>
      </c>
      <c r="G29" s="11">
        <v>2106.14</v>
      </c>
      <c r="H29" s="11">
        <v>2145</v>
      </c>
      <c r="I29" s="11">
        <v>2186</v>
      </c>
      <c r="J29" s="11">
        <v>1944.29</v>
      </c>
      <c r="K29" s="11">
        <v>1953.24</v>
      </c>
      <c r="L29" s="11">
        <v>1872.64</v>
      </c>
      <c r="M29" s="11">
        <v>1867.2</v>
      </c>
      <c r="N29" s="11">
        <v>1841.92</v>
      </c>
      <c r="O29" s="11">
        <v>1770.9</v>
      </c>
      <c r="P29" s="11">
        <v>1792.8</v>
      </c>
      <c r="Q29" s="11">
        <v>1825.82</v>
      </c>
      <c r="R29" s="11">
        <v>1864.21</v>
      </c>
      <c r="S29" s="11">
        <v>1909.69</v>
      </c>
      <c r="T29" s="11" t="e">
        <f t="shared" si="0"/>
        <v>#REF!</v>
      </c>
      <c r="U29" s="11" t="e">
        <f>#REF!*#REF!/100</f>
        <v>#REF!</v>
      </c>
    </row>
    <row r="30" spans="1:21" s="7" customFormat="1">
      <c r="A30" s="11" t="s">
        <v>33</v>
      </c>
      <c r="B30" s="11">
        <v>2223.5</v>
      </c>
      <c r="C30" s="11">
        <v>2240.6</v>
      </c>
      <c r="D30" s="11">
        <v>2244</v>
      </c>
      <c r="E30" s="11">
        <v>2295.4</v>
      </c>
      <c r="F30" s="11">
        <v>2322.5</v>
      </c>
      <c r="G30" s="11">
        <v>2341.3000000000002</v>
      </c>
      <c r="H30" s="11">
        <v>2353.3000000000002</v>
      </c>
      <c r="I30" s="11">
        <v>2401.4</v>
      </c>
      <c r="J30" s="11">
        <v>2461.3000000000002</v>
      </c>
      <c r="K30" s="11">
        <v>2517.6</v>
      </c>
      <c r="L30" s="11">
        <v>2573.8000000000002</v>
      </c>
      <c r="M30" s="11">
        <v>2638.4</v>
      </c>
      <c r="N30" s="11">
        <v>2684.8</v>
      </c>
      <c r="O30" s="11">
        <v>2765.9</v>
      </c>
      <c r="P30" s="11">
        <v>2857.24</v>
      </c>
      <c r="Q30" s="11">
        <v>2881.9</v>
      </c>
      <c r="R30" s="11">
        <v>2912.36</v>
      </c>
      <c r="S30" s="11">
        <v>2962.25</v>
      </c>
      <c r="T30" s="11" t="e">
        <f t="shared" si="0"/>
        <v>#REF!</v>
      </c>
      <c r="U30" s="11" t="e">
        <f>#REF!*#REF!/100</f>
        <v>#REF!</v>
      </c>
    </row>
    <row r="31" spans="1:21" s="7" customFormat="1">
      <c r="A31" s="11" t="s">
        <v>34</v>
      </c>
      <c r="B31" s="11">
        <v>120.47</v>
      </c>
      <c r="C31" s="11">
        <v>120.22</v>
      </c>
      <c r="D31" s="11">
        <v>123.91</v>
      </c>
      <c r="E31" s="11">
        <v>124.18</v>
      </c>
      <c r="F31" s="11">
        <v>126.33</v>
      </c>
      <c r="G31" s="11">
        <v>130.19999999999999</v>
      </c>
      <c r="H31" s="11">
        <v>132.81</v>
      </c>
      <c r="I31" s="11">
        <v>137.32</v>
      </c>
      <c r="J31" s="11">
        <v>143.6</v>
      </c>
      <c r="K31" s="11">
        <v>148.19999999999999</v>
      </c>
      <c r="L31" s="11">
        <v>158.15</v>
      </c>
      <c r="M31" s="11">
        <v>163.5</v>
      </c>
      <c r="N31" s="11">
        <v>169.07</v>
      </c>
      <c r="O31" s="11">
        <v>173.39</v>
      </c>
      <c r="P31" s="11">
        <v>185.55</v>
      </c>
      <c r="Q31" s="11">
        <v>202.06</v>
      </c>
      <c r="R31" s="11">
        <v>205.54</v>
      </c>
      <c r="S31" s="11">
        <v>213.68</v>
      </c>
      <c r="T31" s="11" t="e">
        <f t="shared" si="0"/>
        <v>#REF!</v>
      </c>
      <c r="U31" s="11" t="e">
        <f>#REF!*#REF!/100</f>
        <v>#REF!</v>
      </c>
    </row>
    <row r="32" spans="1:21" s="7" customFormat="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</row>
    <row r="33" spans="1:21" s="7" customFormat="1">
      <c r="A33" s="11" t="s">
        <v>35</v>
      </c>
      <c r="B33" s="11">
        <v>1792</v>
      </c>
      <c r="C33" s="11">
        <v>1788</v>
      </c>
      <c r="D33" s="11">
        <v>1808</v>
      </c>
      <c r="E33" s="11">
        <v>1813</v>
      </c>
      <c r="F33" s="11">
        <v>1785</v>
      </c>
      <c r="G33" s="11">
        <v>1874</v>
      </c>
      <c r="H33" s="11">
        <v>1912</v>
      </c>
      <c r="I33" s="11">
        <v>1941</v>
      </c>
      <c r="J33" s="11">
        <v>1976</v>
      </c>
      <c r="K33" s="11">
        <v>1986</v>
      </c>
      <c r="L33" s="11">
        <v>2013</v>
      </c>
      <c r="M33" s="11">
        <v>2039</v>
      </c>
      <c r="N33" s="11">
        <v>2060</v>
      </c>
      <c r="O33" s="11">
        <v>2074</v>
      </c>
      <c r="P33" s="11">
        <v>2059</v>
      </c>
      <c r="Q33" s="11">
        <v>2061</v>
      </c>
      <c r="R33" s="11">
        <v>2058</v>
      </c>
      <c r="S33" s="11">
        <v>2067</v>
      </c>
      <c r="T33" s="11" t="e">
        <f t="shared" si="0"/>
        <v>#REF!</v>
      </c>
      <c r="U33" s="11" t="e">
        <f>#REF!*#REF!/100</f>
        <v>#REF!</v>
      </c>
    </row>
    <row r="34" spans="1:21" s="7" customFormat="1">
      <c r="A34" s="11" t="s">
        <v>36</v>
      </c>
      <c r="B34" s="11">
        <v>1530.32</v>
      </c>
      <c r="C34" s="11">
        <v>1539.8</v>
      </c>
      <c r="D34" s="11">
        <v>1489</v>
      </c>
      <c r="E34" s="11">
        <v>1476.45</v>
      </c>
      <c r="F34" s="11">
        <v>1488.93</v>
      </c>
      <c r="G34" s="11">
        <v>1500.59</v>
      </c>
      <c r="H34" s="11">
        <v>1510.85</v>
      </c>
      <c r="I34" s="11">
        <v>1520.46</v>
      </c>
      <c r="J34" s="11">
        <v>1391.36</v>
      </c>
      <c r="K34" s="11">
        <v>1401.36</v>
      </c>
      <c r="L34" s="11">
        <v>1414.76</v>
      </c>
      <c r="M34" s="11">
        <v>1446.34</v>
      </c>
      <c r="N34" s="11">
        <v>1488.63</v>
      </c>
      <c r="O34" s="11">
        <v>1499.56</v>
      </c>
      <c r="P34" s="11">
        <v>1500.26</v>
      </c>
      <c r="Q34" s="11">
        <v>1491.59</v>
      </c>
      <c r="R34" s="11">
        <v>1504.97</v>
      </c>
      <c r="S34" s="11">
        <v>1519.86</v>
      </c>
      <c r="T34" s="11" t="e">
        <f t="shared" si="0"/>
        <v>#REF!</v>
      </c>
      <c r="U34" s="11" t="e">
        <f>#REF!*#REF!/100</f>
        <v>#REF!</v>
      </c>
    </row>
    <row r="35" spans="1:21" s="7" customFormat="1">
      <c r="A35" s="11" t="s">
        <v>37</v>
      </c>
      <c r="B35" s="11">
        <v>270.38</v>
      </c>
      <c r="C35" s="11">
        <v>274.81</v>
      </c>
      <c r="D35" s="11">
        <v>279.32</v>
      </c>
      <c r="E35" s="11">
        <v>283.91000000000003</v>
      </c>
      <c r="F35" s="11">
        <v>285.66000000000003</v>
      </c>
      <c r="G35" s="11">
        <v>287.72000000000003</v>
      </c>
      <c r="H35" s="11">
        <v>289.8</v>
      </c>
      <c r="I35" s="11">
        <v>290.42</v>
      </c>
      <c r="J35" s="11">
        <v>291.04000000000002</v>
      </c>
      <c r="K35" s="11">
        <v>294.19</v>
      </c>
      <c r="L35" s="11">
        <v>298.56</v>
      </c>
      <c r="M35" s="11">
        <v>301</v>
      </c>
      <c r="N35" s="11">
        <v>303.26</v>
      </c>
      <c r="O35" s="11">
        <v>307.64999999999998</v>
      </c>
      <c r="P35" s="11">
        <v>309.18</v>
      </c>
      <c r="Q35" s="11">
        <v>310.89</v>
      </c>
      <c r="R35" s="11">
        <v>314.2</v>
      </c>
      <c r="S35" s="11">
        <v>317.3</v>
      </c>
      <c r="T35" s="11" t="e">
        <f t="shared" si="0"/>
        <v>#REF!</v>
      </c>
      <c r="U35" s="11" t="e">
        <f>#REF!*#REF!/100</f>
        <v>#REF!</v>
      </c>
    </row>
    <row r="36" spans="1:21" s="7" customFormat="1">
      <c r="A36" s="11" t="s">
        <v>38</v>
      </c>
      <c r="B36" s="11">
        <v>256.8</v>
      </c>
      <c r="C36" s="11">
        <v>254.84</v>
      </c>
      <c r="D36" s="11">
        <v>272.3</v>
      </c>
      <c r="E36" s="11">
        <v>275.5</v>
      </c>
      <c r="F36" s="11">
        <v>279</v>
      </c>
      <c r="G36" s="11">
        <v>282.39999999999998</v>
      </c>
      <c r="H36" s="11">
        <v>291.39999999999998</v>
      </c>
      <c r="I36" s="11">
        <v>298.10000000000002</v>
      </c>
      <c r="J36" s="11">
        <v>299.60000000000002</v>
      </c>
      <c r="K36" s="11">
        <v>308.10000000000002</v>
      </c>
      <c r="L36" s="11">
        <v>309.5</v>
      </c>
      <c r="M36" s="11">
        <v>303.89999999999998</v>
      </c>
      <c r="N36" s="11">
        <v>328.5</v>
      </c>
      <c r="O36" s="11">
        <v>326</v>
      </c>
      <c r="P36" s="11">
        <v>339.6</v>
      </c>
      <c r="Q36" s="11">
        <v>344.5</v>
      </c>
      <c r="R36" s="11">
        <v>351.3</v>
      </c>
      <c r="S36" s="11">
        <v>357.2</v>
      </c>
      <c r="T36" s="11" t="e">
        <f t="shared" si="0"/>
        <v>#REF!</v>
      </c>
      <c r="U36" s="11" t="e">
        <f>#REF!*#REF!/100</f>
        <v>#REF!</v>
      </c>
    </row>
    <row r="37" spans="1:21" s="7" customFormat="1">
      <c r="A37" s="11" t="s">
        <v>39</v>
      </c>
      <c r="B37" s="11">
        <v>715.4</v>
      </c>
      <c r="C37" s="11">
        <v>680.92</v>
      </c>
      <c r="D37" s="11">
        <v>694.34</v>
      </c>
      <c r="E37" s="11">
        <v>672.5</v>
      </c>
      <c r="F37" s="11">
        <v>685.38</v>
      </c>
      <c r="G37" s="11">
        <v>701.49</v>
      </c>
      <c r="H37" s="11">
        <v>721.27</v>
      </c>
      <c r="I37" s="11">
        <v>744.49</v>
      </c>
      <c r="J37" s="11">
        <v>791.62</v>
      </c>
      <c r="K37" s="11">
        <v>811.75</v>
      </c>
      <c r="L37" s="11">
        <v>830.42</v>
      </c>
      <c r="M37" s="11">
        <v>847.58</v>
      </c>
      <c r="N37" s="11">
        <v>866.15</v>
      </c>
      <c r="O37" s="11">
        <v>894.65</v>
      </c>
      <c r="P37" s="11">
        <v>953.34</v>
      </c>
      <c r="Q37" s="11">
        <v>1010.44</v>
      </c>
      <c r="R37" s="11">
        <v>1096.5899999999999</v>
      </c>
      <c r="S37" s="11">
        <v>1135.24</v>
      </c>
      <c r="T37" s="11" t="e">
        <f t="shared" si="0"/>
        <v>#REF!</v>
      </c>
      <c r="U37" s="11" t="e">
        <f>#REF!*#REF!/100</f>
        <v>#REF!</v>
      </c>
    </row>
    <row r="38" spans="1:21">
      <c r="A38" s="10"/>
    </row>
  </sheetData>
  <phoneticPr fontId="6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519EC-DFBA-9F46-9A49-0C4708B36D8F}">
  <dimension ref="A1:U38"/>
  <sheetViews>
    <sheetView workbookViewId="0">
      <selection sqref="A1:A1048576"/>
    </sheetView>
  </sheetViews>
  <sheetFormatPr baseColWidth="10" defaultRowHeight="16"/>
  <cols>
    <col min="1" max="1" width="19" customWidth="1"/>
  </cols>
  <sheetData>
    <row r="1" spans="1:21" ht="17">
      <c r="A1" s="23" t="s">
        <v>50</v>
      </c>
      <c r="B1" s="8">
        <v>1997</v>
      </c>
      <c r="C1" s="8">
        <v>1998</v>
      </c>
      <c r="D1" s="8">
        <v>1999</v>
      </c>
      <c r="E1" s="8">
        <v>2000</v>
      </c>
      <c r="F1" s="8">
        <v>2001</v>
      </c>
      <c r="G1" s="8">
        <v>2002</v>
      </c>
      <c r="H1" s="8">
        <v>2003</v>
      </c>
      <c r="I1" s="8">
        <v>2004</v>
      </c>
      <c r="J1" s="8">
        <v>2005</v>
      </c>
      <c r="K1" s="8">
        <v>2006</v>
      </c>
      <c r="L1" s="8">
        <v>2007</v>
      </c>
      <c r="M1" s="8">
        <v>2008</v>
      </c>
      <c r="N1" s="8">
        <v>2009</v>
      </c>
      <c r="O1" s="8">
        <v>2010</v>
      </c>
      <c r="P1" s="8">
        <v>2011</v>
      </c>
      <c r="Q1" s="8">
        <v>2012</v>
      </c>
      <c r="R1" s="8">
        <v>2013</v>
      </c>
      <c r="S1" s="8">
        <v>2014</v>
      </c>
      <c r="T1" s="8">
        <v>2015</v>
      </c>
      <c r="U1" s="8">
        <v>2016</v>
      </c>
    </row>
    <row r="2" spans="1:21">
      <c r="A2" s="16" t="s">
        <v>9</v>
      </c>
      <c r="B2" s="11">
        <v>3.29</v>
      </c>
      <c r="C2" s="11">
        <v>2.95</v>
      </c>
      <c r="D2" s="11">
        <v>2.8</v>
      </c>
      <c r="E2" s="11">
        <v>3.3</v>
      </c>
      <c r="F2" s="11">
        <v>5.2</v>
      </c>
      <c r="G2" s="11">
        <v>6</v>
      </c>
      <c r="H2" s="11">
        <v>6.9579000000000004</v>
      </c>
      <c r="I2" s="11">
        <v>6.5</v>
      </c>
      <c r="J2" s="11">
        <v>10.6</v>
      </c>
      <c r="K2" s="11">
        <v>10.4</v>
      </c>
      <c r="L2" s="11">
        <v>10.6275</v>
      </c>
      <c r="M2" s="11">
        <v>10.3</v>
      </c>
      <c r="N2" s="11">
        <v>8.1549999999999994</v>
      </c>
      <c r="O2" s="11">
        <v>7.7255000000000003</v>
      </c>
      <c r="P2" s="11">
        <v>8.1335999999999995</v>
      </c>
      <c r="Q2" s="11">
        <v>8.1495999999999995</v>
      </c>
      <c r="R2" s="11">
        <v>7.5345000000000004</v>
      </c>
      <c r="S2" s="11">
        <v>7.4272</v>
      </c>
      <c r="T2" s="11">
        <v>7.8</v>
      </c>
      <c r="U2" s="11">
        <v>8</v>
      </c>
    </row>
    <row r="3" spans="1:21">
      <c r="A3" s="11" t="s">
        <v>10</v>
      </c>
      <c r="B3" s="11">
        <v>4.34</v>
      </c>
      <c r="C3" s="11">
        <v>4.5</v>
      </c>
      <c r="D3" s="11">
        <v>9.5</v>
      </c>
      <c r="E3" s="11">
        <v>10.5</v>
      </c>
      <c r="F3" s="11">
        <v>11.4</v>
      </c>
      <c r="G3" s="11">
        <v>12.9</v>
      </c>
      <c r="H3" s="11">
        <v>12.026400000000001</v>
      </c>
      <c r="I3" s="11">
        <v>11.8</v>
      </c>
      <c r="J3" s="11">
        <v>11.7</v>
      </c>
      <c r="K3" s="11">
        <v>11.7</v>
      </c>
      <c r="L3" s="11">
        <v>14.994199999999999</v>
      </c>
      <c r="M3" s="11">
        <v>13</v>
      </c>
      <c r="N3" s="11">
        <v>14.996600000000001</v>
      </c>
      <c r="O3" s="11">
        <v>16.098299999999998</v>
      </c>
      <c r="P3" s="11">
        <v>20.1098</v>
      </c>
      <c r="Q3" s="11">
        <v>20.400600000000001</v>
      </c>
      <c r="R3" s="11">
        <v>21.6858</v>
      </c>
      <c r="S3" s="11">
        <v>22.523599999999998</v>
      </c>
      <c r="T3" s="11">
        <v>25.1</v>
      </c>
      <c r="U3" s="11">
        <v>25.8</v>
      </c>
    </row>
    <row r="4" spans="1:21">
      <c r="A4" s="11" t="s">
        <v>11</v>
      </c>
      <c r="B4" s="11">
        <v>16.22</v>
      </c>
      <c r="C4" s="11">
        <v>15.86</v>
      </c>
      <c r="D4" s="11">
        <v>16.2</v>
      </c>
      <c r="E4" s="11">
        <v>17.399999999999999</v>
      </c>
      <c r="F4" s="11">
        <v>19.5</v>
      </c>
      <c r="G4" s="11">
        <v>22.2</v>
      </c>
      <c r="H4" s="11">
        <v>25.691700000000001</v>
      </c>
      <c r="I4" s="11">
        <v>28</v>
      </c>
      <c r="J4" s="11">
        <v>27.8</v>
      </c>
      <c r="K4" s="11">
        <v>28.7</v>
      </c>
      <c r="L4" s="11">
        <v>29.2987</v>
      </c>
      <c r="M4" s="11">
        <v>32.200000000000003</v>
      </c>
      <c r="N4" s="11">
        <v>34.500599999999999</v>
      </c>
      <c r="O4" s="11">
        <v>35.136499999999998</v>
      </c>
      <c r="P4" s="11">
        <v>35.985700000000001</v>
      </c>
      <c r="Q4" s="11">
        <v>36.830800000000004</v>
      </c>
      <c r="R4" s="11">
        <v>37.222200000000001</v>
      </c>
      <c r="S4" s="11">
        <v>38.305900000000001</v>
      </c>
      <c r="T4" s="11">
        <v>39.4</v>
      </c>
      <c r="U4" s="11">
        <v>39.700000000000003</v>
      </c>
    </row>
    <row r="5" spans="1:21">
      <c r="A5" s="11" t="s">
        <v>12</v>
      </c>
      <c r="B5" s="11">
        <v>12.6</v>
      </c>
      <c r="C5" s="11">
        <v>10</v>
      </c>
      <c r="D5" s="11">
        <v>9.5</v>
      </c>
      <c r="E5" s="11">
        <v>9.6999999999999993</v>
      </c>
      <c r="F5" s="11">
        <v>12.2</v>
      </c>
      <c r="G5" s="11">
        <v>14.5</v>
      </c>
      <c r="H5" s="11">
        <v>13.051399999999999</v>
      </c>
      <c r="I5" s="11">
        <v>13.7</v>
      </c>
      <c r="J5" s="11">
        <v>14.3</v>
      </c>
      <c r="K5" s="11">
        <v>15.6</v>
      </c>
      <c r="L5" s="11">
        <v>16.104900000000001</v>
      </c>
      <c r="M5" s="11">
        <v>17.5</v>
      </c>
      <c r="N5" s="11">
        <v>21.646599999999999</v>
      </c>
      <c r="O5" s="11">
        <v>20.386800000000001</v>
      </c>
      <c r="P5" s="11">
        <v>21.1493</v>
      </c>
      <c r="Q5" s="11">
        <v>21.000399999999999</v>
      </c>
      <c r="R5" s="11">
        <v>21.103999999999999</v>
      </c>
      <c r="S5" s="11">
        <v>24.549700000000001</v>
      </c>
      <c r="T5" s="11">
        <v>25.6</v>
      </c>
      <c r="U5" s="11">
        <v>26.1</v>
      </c>
    </row>
    <row r="6" spans="1:21">
      <c r="A6" s="11" t="s">
        <v>13</v>
      </c>
      <c r="B6" s="11">
        <v>17.7</v>
      </c>
      <c r="C6" s="11">
        <v>13.1</v>
      </c>
      <c r="D6" s="11">
        <v>12.4</v>
      </c>
      <c r="E6" s="11">
        <v>12.6</v>
      </c>
      <c r="F6" s="11">
        <v>14.5</v>
      </c>
      <c r="G6" s="11">
        <v>16.3</v>
      </c>
      <c r="H6" s="11">
        <v>17.588899999999999</v>
      </c>
      <c r="I6" s="11">
        <v>18.5</v>
      </c>
      <c r="J6" s="11">
        <v>17.7</v>
      </c>
      <c r="K6" s="11">
        <v>18</v>
      </c>
      <c r="L6" s="11">
        <v>18.4572</v>
      </c>
      <c r="M6" s="11">
        <v>19.899999999999999</v>
      </c>
      <c r="N6" s="11">
        <v>20.142800000000001</v>
      </c>
      <c r="O6" s="11">
        <v>20.811</v>
      </c>
      <c r="P6" s="11">
        <v>21.828900000000001</v>
      </c>
      <c r="Q6" s="11">
        <v>23.127700000000001</v>
      </c>
      <c r="R6" s="11">
        <v>23.8047</v>
      </c>
      <c r="S6" s="11">
        <v>24.767600000000002</v>
      </c>
      <c r="T6" s="11">
        <v>25.9</v>
      </c>
      <c r="U6" s="11">
        <v>26.7</v>
      </c>
    </row>
    <row r="7" spans="1:2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1:21">
      <c r="A8" s="11" t="s">
        <v>14</v>
      </c>
      <c r="B8" s="11">
        <v>46.04</v>
      </c>
      <c r="C8" s="11">
        <v>40</v>
      </c>
      <c r="D8" s="11">
        <v>39.799999999999997</v>
      </c>
      <c r="E8" s="11">
        <v>41.2</v>
      </c>
      <c r="F8" s="11">
        <v>55.5</v>
      </c>
      <c r="G8" s="11">
        <v>75.599999999999994</v>
      </c>
      <c r="H8" s="11">
        <v>72.004900000000006</v>
      </c>
      <c r="I8" s="11">
        <v>70.099999999999994</v>
      </c>
      <c r="J8" s="11">
        <v>60.4</v>
      </c>
      <c r="K8" s="11">
        <v>54.1</v>
      </c>
      <c r="L8" s="11">
        <v>44.524900000000002</v>
      </c>
      <c r="M8" s="11">
        <v>41.7</v>
      </c>
      <c r="N8" s="11">
        <v>41.6188</v>
      </c>
      <c r="O8" s="11">
        <v>38.931699999999999</v>
      </c>
      <c r="P8" s="11">
        <v>39.431899999999999</v>
      </c>
      <c r="Q8" s="11">
        <v>38.082599999999999</v>
      </c>
      <c r="R8" s="11">
        <v>39.554400000000001</v>
      </c>
      <c r="S8" s="11">
        <v>40.9619</v>
      </c>
      <c r="T8" s="11">
        <v>46.2</v>
      </c>
      <c r="U8" s="11">
        <v>47.3</v>
      </c>
    </row>
    <row r="9" spans="1:21">
      <c r="A9" s="11" t="s">
        <v>15</v>
      </c>
      <c r="B9" s="11">
        <v>13.64</v>
      </c>
      <c r="C9" s="11">
        <v>18.3</v>
      </c>
      <c r="D9" s="11">
        <v>21.5</v>
      </c>
      <c r="E9" s="11">
        <v>23</v>
      </c>
      <c r="F9" s="11">
        <v>20.2</v>
      </c>
      <c r="G9" s="11">
        <v>23.8</v>
      </c>
      <c r="H9" s="11">
        <v>28.432400000000001</v>
      </c>
      <c r="I9" s="11">
        <v>28.2</v>
      </c>
      <c r="J9" s="11">
        <v>27.6</v>
      </c>
      <c r="K9" s="11">
        <v>26.3</v>
      </c>
      <c r="L9" s="11">
        <v>23.935300000000002</v>
      </c>
      <c r="M9" s="11">
        <v>24.3</v>
      </c>
      <c r="N9" s="11">
        <v>23.445599999999999</v>
      </c>
      <c r="O9" s="11">
        <v>22.65</v>
      </c>
      <c r="P9" s="11">
        <v>22.2121</v>
      </c>
      <c r="Q9" s="11">
        <v>22.2986</v>
      </c>
      <c r="R9" s="11">
        <v>22.613299999999999</v>
      </c>
      <c r="S9" s="11">
        <v>23.1816</v>
      </c>
      <c r="T9" s="11">
        <v>23.9</v>
      </c>
      <c r="U9" s="11">
        <v>25.7</v>
      </c>
    </row>
    <row r="10" spans="1:21">
      <c r="A10" s="11" t="s">
        <v>16</v>
      </c>
      <c r="B10" s="11">
        <v>25.5</v>
      </c>
      <c r="C10" s="11">
        <v>25</v>
      </c>
      <c r="D10" s="11">
        <v>24.1</v>
      </c>
      <c r="E10" s="11">
        <v>25.3</v>
      </c>
      <c r="F10" s="11">
        <v>35.5</v>
      </c>
      <c r="G10" s="11">
        <v>41.6</v>
      </c>
      <c r="H10" s="11">
        <v>34.978200000000001</v>
      </c>
      <c r="I10" s="11">
        <v>32.9</v>
      </c>
      <c r="J10" s="11">
        <v>31.3</v>
      </c>
      <c r="K10" s="11">
        <v>31.2</v>
      </c>
      <c r="L10" s="11">
        <v>31.474699999999999</v>
      </c>
      <c r="M10" s="11">
        <v>32.1</v>
      </c>
      <c r="N10" s="11">
        <v>31.4101</v>
      </c>
      <c r="O10" s="11">
        <v>36.239699999999999</v>
      </c>
      <c r="P10" s="11">
        <v>35.029899999999998</v>
      </c>
      <c r="Q10" s="11">
        <v>41.261299999999999</v>
      </c>
      <c r="R10" s="11">
        <v>41.373800000000003</v>
      </c>
      <c r="S10" s="11">
        <v>39.853099999999998</v>
      </c>
      <c r="T10" s="11">
        <v>41</v>
      </c>
      <c r="U10" s="11">
        <v>39.6</v>
      </c>
    </row>
    <row r="11" spans="1:2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</row>
    <row r="12" spans="1:21">
      <c r="A12" s="11" t="s">
        <v>17</v>
      </c>
      <c r="B12" s="11">
        <v>14.9</v>
      </c>
      <c r="C12" s="11">
        <v>16</v>
      </c>
      <c r="D12" s="11">
        <v>17.5</v>
      </c>
      <c r="E12" s="11">
        <v>20.100000000000001</v>
      </c>
      <c r="F12" s="11">
        <v>25.7</v>
      </c>
      <c r="G12" s="11">
        <v>28.8</v>
      </c>
      <c r="H12" s="11">
        <v>30.113399999999999</v>
      </c>
      <c r="I12" s="11">
        <v>27.4</v>
      </c>
      <c r="J12" s="11">
        <v>27.5</v>
      </c>
      <c r="K12" s="11">
        <v>27.8</v>
      </c>
      <c r="L12" s="11">
        <v>26.6997</v>
      </c>
      <c r="M12" s="11">
        <v>26.6</v>
      </c>
      <c r="N12" s="11">
        <v>27.866299999999999</v>
      </c>
      <c r="O12" s="11">
        <v>27.6</v>
      </c>
      <c r="P12" s="11">
        <v>27.0045</v>
      </c>
      <c r="Q12" s="11">
        <v>26.684999999999999</v>
      </c>
      <c r="R12" s="11">
        <v>25.2971</v>
      </c>
      <c r="S12" s="11">
        <v>25.6312</v>
      </c>
      <c r="T12" s="11">
        <v>24.8</v>
      </c>
      <c r="U12" s="11">
        <v>24.3</v>
      </c>
    </row>
    <row r="13" spans="1:21">
      <c r="A13" s="11" t="s">
        <v>18</v>
      </c>
      <c r="B13" s="11">
        <v>25.1</v>
      </c>
      <c r="C13" s="11">
        <v>24.3</v>
      </c>
      <c r="D13" s="11">
        <v>26.6</v>
      </c>
      <c r="E13" s="11">
        <v>30.4</v>
      </c>
      <c r="F13" s="11">
        <v>36.1</v>
      </c>
      <c r="G13" s="11">
        <v>42.2</v>
      </c>
      <c r="H13" s="11">
        <v>41.844799999999999</v>
      </c>
      <c r="I13" s="11">
        <v>42.9</v>
      </c>
      <c r="J13" s="11">
        <v>41.6</v>
      </c>
      <c r="K13" s="11">
        <v>40.4</v>
      </c>
      <c r="L13" s="11">
        <v>39.263100000000001</v>
      </c>
      <c r="M13" s="11">
        <v>41.1</v>
      </c>
      <c r="N13" s="11">
        <v>40.744300000000003</v>
      </c>
      <c r="O13" s="11">
        <v>40.648200000000003</v>
      </c>
      <c r="P13" s="11">
        <v>41.448399999999999</v>
      </c>
      <c r="Q13" s="11">
        <v>40.471200000000003</v>
      </c>
      <c r="R13" s="11">
        <v>37.607100000000003</v>
      </c>
      <c r="S13" s="11">
        <v>36.566800000000001</v>
      </c>
      <c r="T13" s="11">
        <v>36</v>
      </c>
      <c r="U13" s="11">
        <v>35.200000000000003</v>
      </c>
    </row>
    <row r="14" spans="1:21">
      <c r="A14" s="11" t="s">
        <v>19</v>
      </c>
      <c r="B14" s="11">
        <v>21.2</v>
      </c>
      <c r="C14" s="11">
        <v>20</v>
      </c>
      <c r="D14" s="11">
        <v>21.2</v>
      </c>
      <c r="E14" s="11">
        <v>21.8</v>
      </c>
      <c r="F14" s="11">
        <v>24</v>
      </c>
      <c r="G14" s="11">
        <v>27.7</v>
      </c>
      <c r="H14" s="11">
        <v>28.274000000000001</v>
      </c>
      <c r="I14" s="11">
        <v>30.1</v>
      </c>
      <c r="J14" s="11">
        <v>29</v>
      </c>
      <c r="K14" s="11">
        <v>29.1</v>
      </c>
      <c r="L14" s="11">
        <v>28.602499999999999</v>
      </c>
      <c r="M14" s="11">
        <v>30.7</v>
      </c>
      <c r="N14" s="11">
        <v>30.684899999999999</v>
      </c>
      <c r="O14" s="11">
        <v>31.1342</v>
      </c>
      <c r="P14" s="11">
        <v>31.672999999999998</v>
      </c>
      <c r="Q14" s="11">
        <v>33.4101</v>
      </c>
      <c r="R14" s="11">
        <v>33.411299999999997</v>
      </c>
      <c r="S14" s="11">
        <v>33.139699999999998</v>
      </c>
      <c r="T14" s="11">
        <v>33.700000000000003</v>
      </c>
      <c r="U14" s="11">
        <v>33.9</v>
      </c>
    </row>
    <row r="15" spans="1:21">
      <c r="A15" s="11" t="s">
        <v>20</v>
      </c>
      <c r="B15" s="11">
        <v>21.6</v>
      </c>
      <c r="C15" s="11">
        <v>15.3</v>
      </c>
      <c r="D15" s="11">
        <v>17.3</v>
      </c>
      <c r="E15" s="11">
        <v>16.5</v>
      </c>
      <c r="F15" s="11">
        <v>19.899999999999999</v>
      </c>
      <c r="G15" s="11">
        <v>22.6</v>
      </c>
      <c r="H15" s="11">
        <v>25.1477</v>
      </c>
      <c r="I15" s="11">
        <v>26.1</v>
      </c>
      <c r="J15" s="11">
        <v>27.8</v>
      </c>
      <c r="K15" s="11">
        <v>28.2</v>
      </c>
      <c r="L15" s="11">
        <v>27.1738</v>
      </c>
      <c r="M15" s="11">
        <v>29.3</v>
      </c>
      <c r="N15" s="11">
        <v>30.076499999999999</v>
      </c>
      <c r="O15" s="11">
        <v>26.863099999999999</v>
      </c>
      <c r="P15" s="11">
        <v>33.136699999999998</v>
      </c>
      <c r="Q15" s="11">
        <v>31.301100000000002</v>
      </c>
      <c r="R15" s="11">
        <v>32.355899999999998</v>
      </c>
      <c r="S15" s="11">
        <v>31.450099999999999</v>
      </c>
      <c r="T15" s="11">
        <v>30.9</v>
      </c>
      <c r="U15" s="11">
        <v>30.4</v>
      </c>
    </row>
    <row r="16" spans="1:21">
      <c r="A16" s="11" t="s">
        <v>21</v>
      </c>
      <c r="B16" s="11">
        <v>10.4</v>
      </c>
      <c r="C16" s="11">
        <v>8</v>
      </c>
      <c r="D16" s="11">
        <v>7.9</v>
      </c>
      <c r="E16" s="11">
        <v>9.1</v>
      </c>
      <c r="F16" s="11">
        <v>13.2</v>
      </c>
      <c r="G16" s="11">
        <v>15</v>
      </c>
      <c r="H16" s="11">
        <v>14.6218</v>
      </c>
      <c r="I16" s="11">
        <v>14.5</v>
      </c>
      <c r="J16" s="11">
        <v>14.9</v>
      </c>
      <c r="K16" s="11">
        <v>15.1</v>
      </c>
      <c r="L16" s="11">
        <v>14.8521</v>
      </c>
      <c r="M16" s="11">
        <v>15</v>
      </c>
      <c r="N16" s="11">
        <v>15.190200000000001</v>
      </c>
      <c r="O16" s="11">
        <v>14.492900000000001</v>
      </c>
      <c r="P16" s="11">
        <v>14.636100000000001</v>
      </c>
      <c r="Q16" s="11">
        <v>14.545199999999999</v>
      </c>
      <c r="R16" s="11">
        <v>14.6997</v>
      </c>
      <c r="S16" s="11">
        <v>14.349</v>
      </c>
      <c r="T16" s="11">
        <v>15.4</v>
      </c>
      <c r="U16" s="11">
        <v>16.3</v>
      </c>
    </row>
    <row r="17" spans="1:21">
      <c r="A17" s="11" t="s">
        <v>22</v>
      </c>
      <c r="B17" s="11">
        <v>16.3</v>
      </c>
      <c r="C17" s="11">
        <v>14.5</v>
      </c>
      <c r="D17" s="11">
        <v>15.5</v>
      </c>
      <c r="E17" s="11">
        <v>16.7</v>
      </c>
      <c r="F17" s="11">
        <v>17.3</v>
      </c>
      <c r="G17" s="11">
        <v>17.8</v>
      </c>
      <c r="H17" s="11">
        <v>21.619800000000001</v>
      </c>
      <c r="I17" s="11">
        <v>22.4</v>
      </c>
      <c r="J17" s="11">
        <v>22.8</v>
      </c>
      <c r="K17" s="11">
        <v>25.3</v>
      </c>
      <c r="L17" s="11">
        <v>24.3446</v>
      </c>
      <c r="M17" s="11">
        <v>26</v>
      </c>
      <c r="N17" s="11">
        <v>27.298400000000001</v>
      </c>
      <c r="O17" s="11">
        <v>26.2577</v>
      </c>
      <c r="P17" s="11">
        <v>24.6416</v>
      </c>
      <c r="Q17" s="11">
        <v>25.7</v>
      </c>
      <c r="R17" s="11">
        <v>27.421399999999998</v>
      </c>
      <c r="S17" s="11">
        <v>29.411300000000001</v>
      </c>
      <c r="T17" s="11">
        <v>29.9</v>
      </c>
      <c r="U17" s="11">
        <v>31.3</v>
      </c>
    </row>
    <row r="18" spans="1:21">
      <c r="A18" s="11" t="s">
        <v>23</v>
      </c>
      <c r="B18" s="11">
        <v>38.9</v>
      </c>
      <c r="C18" s="11">
        <v>36.5</v>
      </c>
      <c r="D18" s="11">
        <v>36.5</v>
      </c>
      <c r="E18" s="11">
        <v>37.5</v>
      </c>
      <c r="F18" s="11">
        <v>35.4</v>
      </c>
      <c r="G18" s="11">
        <v>39.700000000000003</v>
      </c>
      <c r="H18" s="11">
        <v>41.279200000000003</v>
      </c>
      <c r="I18" s="11">
        <v>42.3</v>
      </c>
      <c r="J18" s="11">
        <v>42.9</v>
      </c>
      <c r="K18" s="11">
        <v>43.7</v>
      </c>
      <c r="L18" s="11">
        <v>43.472900000000003</v>
      </c>
      <c r="M18" s="11">
        <v>60.7</v>
      </c>
      <c r="N18" s="11">
        <v>45.123699999999999</v>
      </c>
      <c r="O18" s="11">
        <v>44.5</v>
      </c>
      <c r="P18" s="11">
        <v>45.1</v>
      </c>
      <c r="Q18" s="11">
        <v>43.4</v>
      </c>
      <c r="R18" s="11">
        <v>42.150500000000001</v>
      </c>
      <c r="S18" s="11">
        <v>43.064999999999998</v>
      </c>
      <c r="T18" s="11">
        <v>43.7</v>
      </c>
      <c r="U18" s="11">
        <v>45.8</v>
      </c>
    </row>
    <row r="19" spans="1:2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</row>
    <row r="20" spans="1:21">
      <c r="A20" s="11" t="s">
        <v>24</v>
      </c>
      <c r="B20" s="11">
        <v>24</v>
      </c>
      <c r="C20" s="11">
        <v>21.7</v>
      </c>
      <c r="D20" s="11">
        <v>22</v>
      </c>
      <c r="E20" s="11">
        <v>21.4</v>
      </c>
      <c r="F20" s="11">
        <v>23.1</v>
      </c>
      <c r="G20" s="11">
        <v>25.4</v>
      </c>
      <c r="H20" s="11">
        <v>26.306999999999999</v>
      </c>
      <c r="I20" s="11">
        <v>31.2</v>
      </c>
      <c r="J20" s="11">
        <v>33</v>
      </c>
      <c r="K20" s="11">
        <v>35.4</v>
      </c>
      <c r="L20" s="11">
        <v>33.071399999999997</v>
      </c>
      <c r="M20" s="11">
        <v>36.5</v>
      </c>
      <c r="N20" s="11">
        <v>38.459400000000002</v>
      </c>
      <c r="O20" s="11">
        <v>38.1571</v>
      </c>
      <c r="P20" s="11">
        <v>38.407299999999999</v>
      </c>
      <c r="Q20" s="11">
        <v>38.299999999999997</v>
      </c>
      <c r="R20" s="11">
        <v>40.2423</v>
      </c>
      <c r="S20" s="11">
        <v>40.006300000000003</v>
      </c>
      <c r="T20" s="11">
        <v>42.5</v>
      </c>
      <c r="U20" s="11">
        <v>43.6</v>
      </c>
    </row>
    <row r="21" spans="1:21">
      <c r="A21" s="11" t="s">
        <v>25</v>
      </c>
      <c r="B21" s="11">
        <v>33.9</v>
      </c>
      <c r="C21" s="11">
        <v>31.3</v>
      </c>
      <c r="D21" s="11">
        <v>33.1</v>
      </c>
      <c r="E21" s="11">
        <v>36.6</v>
      </c>
      <c r="F21" s="11">
        <v>42.2</v>
      </c>
      <c r="G21" s="11">
        <v>44.7</v>
      </c>
      <c r="H21" s="11">
        <v>49.349800000000002</v>
      </c>
      <c r="I21" s="11">
        <v>49.4</v>
      </c>
      <c r="J21" s="11">
        <v>52.6</v>
      </c>
      <c r="K21" s="11">
        <v>52.6</v>
      </c>
      <c r="L21" s="11">
        <v>54.102699999999999</v>
      </c>
      <c r="M21" s="11">
        <v>55.1</v>
      </c>
      <c r="N21" s="11">
        <v>55.253799999999998</v>
      </c>
      <c r="O21" s="11">
        <v>55.654200000000003</v>
      </c>
      <c r="P21" s="11">
        <v>55.115600000000001</v>
      </c>
      <c r="Q21" s="11">
        <v>42.255800000000001</v>
      </c>
      <c r="R21" s="11">
        <v>40.168500000000002</v>
      </c>
      <c r="S21" s="11">
        <v>37.881100000000004</v>
      </c>
      <c r="T21" s="11">
        <v>33.4</v>
      </c>
      <c r="U21" s="11">
        <v>32.9</v>
      </c>
    </row>
    <row r="22" spans="1:21">
      <c r="A22" s="11" t="s">
        <v>26</v>
      </c>
      <c r="B22" s="11">
        <v>30.9</v>
      </c>
      <c r="C22" s="11">
        <v>29.8</v>
      </c>
      <c r="D22" s="11">
        <v>30.7</v>
      </c>
      <c r="E22" s="11">
        <v>27.6</v>
      </c>
      <c r="F22" s="11">
        <v>30.3</v>
      </c>
      <c r="G22" s="11">
        <v>30.4</v>
      </c>
      <c r="H22" s="11">
        <v>37.132199999999997</v>
      </c>
      <c r="I22" s="11">
        <v>43</v>
      </c>
      <c r="J22" s="11">
        <v>41.9</v>
      </c>
      <c r="K22" s="11">
        <v>43.3</v>
      </c>
      <c r="L22" s="11">
        <v>44.3797</v>
      </c>
      <c r="M22" s="11">
        <v>47</v>
      </c>
      <c r="N22" s="11">
        <v>47.806199999999997</v>
      </c>
      <c r="O22" s="11">
        <v>43.217199999999998</v>
      </c>
      <c r="P22" s="11">
        <v>43.144799999999996</v>
      </c>
      <c r="Q22" s="11">
        <v>44.127800000000001</v>
      </c>
      <c r="R22" s="11">
        <v>45.646799999999999</v>
      </c>
      <c r="S22" s="11">
        <v>47.294699999999999</v>
      </c>
      <c r="T22" s="11">
        <v>45.1</v>
      </c>
      <c r="U22" s="11">
        <v>44.9</v>
      </c>
    </row>
    <row r="23" spans="1:21">
      <c r="A23" s="11" t="s">
        <v>27</v>
      </c>
      <c r="B23" s="11">
        <v>31.9</v>
      </c>
      <c r="C23" s="11">
        <v>26.2</v>
      </c>
      <c r="D23" s="11">
        <v>27.4</v>
      </c>
      <c r="E23" s="11">
        <v>30.2</v>
      </c>
      <c r="F23" s="11">
        <v>34.5</v>
      </c>
      <c r="G23" s="11">
        <v>36.5</v>
      </c>
      <c r="H23" s="11">
        <v>35.461100000000002</v>
      </c>
      <c r="I23" s="11">
        <v>35.9</v>
      </c>
      <c r="J23" s="11">
        <v>34.5</v>
      </c>
      <c r="K23" s="11">
        <v>36.200000000000003</v>
      </c>
      <c r="L23" s="11">
        <v>36.222700000000003</v>
      </c>
      <c r="M23" s="11">
        <v>38.1</v>
      </c>
      <c r="N23" s="11">
        <v>39.509300000000003</v>
      </c>
      <c r="O23" s="11">
        <v>39.302900000000001</v>
      </c>
      <c r="P23" s="11">
        <v>38.834499999999998</v>
      </c>
      <c r="Q23" s="11">
        <v>39.606200000000001</v>
      </c>
      <c r="R23" s="11">
        <v>37.978900000000003</v>
      </c>
      <c r="S23" s="11">
        <v>36.831800000000001</v>
      </c>
      <c r="T23" s="11">
        <v>37</v>
      </c>
      <c r="U23" s="11">
        <v>38</v>
      </c>
    </row>
    <row r="24" spans="1:21">
      <c r="A24" s="11" t="s">
        <v>28</v>
      </c>
      <c r="B24" s="11">
        <v>18.2</v>
      </c>
      <c r="C24" s="11">
        <v>13.4</v>
      </c>
      <c r="D24" s="11">
        <v>11.6</v>
      </c>
      <c r="E24" s="11">
        <v>11.3</v>
      </c>
      <c r="F24" s="11">
        <v>14.2</v>
      </c>
      <c r="G24" s="11">
        <v>14.7</v>
      </c>
      <c r="H24" s="11">
        <v>14.8581</v>
      </c>
      <c r="I24" s="11">
        <v>17.8</v>
      </c>
      <c r="J24" s="11">
        <v>18.5</v>
      </c>
      <c r="K24" s="11">
        <v>20</v>
      </c>
      <c r="L24" s="11">
        <v>18.471</v>
      </c>
      <c r="M24" s="11">
        <v>18.8</v>
      </c>
      <c r="N24" s="11">
        <v>19.113900000000001</v>
      </c>
      <c r="O24" s="11">
        <v>19.070699999999999</v>
      </c>
      <c r="P24" s="11">
        <v>18.813300000000002</v>
      </c>
      <c r="Q24" s="11">
        <v>18.9404</v>
      </c>
      <c r="R24" s="11">
        <v>18.049700000000001</v>
      </c>
      <c r="S24" s="11">
        <v>18.659199999999998</v>
      </c>
      <c r="T24" s="11">
        <v>18.100000000000001</v>
      </c>
      <c r="U24" s="11">
        <v>18.100000000000001</v>
      </c>
    </row>
    <row r="25" spans="1:21">
      <c r="A25" s="11" t="s">
        <v>29</v>
      </c>
      <c r="B25" s="11">
        <v>5.5</v>
      </c>
      <c r="C25" s="11">
        <v>3.5</v>
      </c>
      <c r="D25" s="11">
        <v>3.7</v>
      </c>
      <c r="E25" s="11">
        <v>3.7</v>
      </c>
      <c r="F25" s="11">
        <v>3.8</v>
      </c>
      <c r="G25" s="11">
        <v>4</v>
      </c>
      <c r="H25" s="11">
        <v>3.6452</v>
      </c>
      <c r="I25" s="11">
        <v>4.7</v>
      </c>
      <c r="J25" s="11">
        <v>5.0999999999999996</v>
      </c>
      <c r="K25" s="11">
        <v>5.2</v>
      </c>
      <c r="L25" s="11">
        <v>5.4097999999999997</v>
      </c>
      <c r="M25" s="11">
        <v>5.6</v>
      </c>
      <c r="N25" s="11">
        <v>5.2971000000000004</v>
      </c>
      <c r="O25" s="11">
        <v>4.7737999999999996</v>
      </c>
      <c r="P25" s="11">
        <v>2.8546999999999998</v>
      </c>
      <c r="Q25" s="11">
        <v>3.6326999999999998</v>
      </c>
      <c r="R25" s="11">
        <v>3.944</v>
      </c>
      <c r="S25" s="11">
        <v>4.2522000000000002</v>
      </c>
      <c r="T25" s="11">
        <v>4.8</v>
      </c>
      <c r="U25" s="11">
        <v>5.0999999999999996</v>
      </c>
    </row>
    <row r="26" spans="1:2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</row>
    <row r="27" spans="1:21">
      <c r="A27" s="11" t="s">
        <v>30</v>
      </c>
      <c r="B27" s="11">
        <v>10.9</v>
      </c>
      <c r="C27" s="11">
        <v>10.1</v>
      </c>
      <c r="D27" s="11">
        <v>10.1</v>
      </c>
      <c r="E27" s="11">
        <v>10.1</v>
      </c>
      <c r="F27" s="11">
        <v>13.7</v>
      </c>
      <c r="G27" s="11">
        <v>16.2</v>
      </c>
      <c r="H27" s="11">
        <v>16.158300000000001</v>
      </c>
      <c r="I27" s="11">
        <v>16.8</v>
      </c>
      <c r="J27" s="11">
        <v>16.899999999999999</v>
      </c>
      <c r="K27" s="11">
        <v>15.4</v>
      </c>
      <c r="L27" s="11">
        <v>14.1256</v>
      </c>
      <c r="M27" s="11">
        <v>13</v>
      </c>
      <c r="N27" s="11">
        <v>13.4412</v>
      </c>
      <c r="O27" s="11">
        <v>13.0166</v>
      </c>
      <c r="P27" s="11">
        <v>12.9565</v>
      </c>
      <c r="Q27" s="11">
        <v>12.4305</v>
      </c>
      <c r="R27" s="11">
        <v>12.070600000000001</v>
      </c>
      <c r="S27" s="11">
        <v>13.424300000000001</v>
      </c>
      <c r="T27" s="11">
        <v>14.3</v>
      </c>
      <c r="U27" s="11">
        <v>15.7</v>
      </c>
    </row>
    <row r="28" spans="1:21">
      <c r="A28" s="11" t="s">
        <v>31</v>
      </c>
      <c r="B28" s="11">
        <v>32.299999999999997</v>
      </c>
      <c r="C28" s="11">
        <v>30.2</v>
      </c>
      <c r="D28" s="11">
        <v>29.6</v>
      </c>
      <c r="E28" s="11">
        <v>30.8</v>
      </c>
      <c r="F28" s="11">
        <v>31.9</v>
      </c>
      <c r="G28" s="11">
        <v>33.799999999999997</v>
      </c>
      <c r="H28" s="11">
        <v>33.098399999999998</v>
      </c>
      <c r="I28" s="11">
        <v>33.299999999999997</v>
      </c>
      <c r="J28" s="11">
        <v>34.299999999999997</v>
      </c>
      <c r="K28" s="11">
        <v>36.1</v>
      </c>
      <c r="L28" s="11">
        <v>34.530999999999999</v>
      </c>
      <c r="M28" s="11">
        <v>37.9</v>
      </c>
      <c r="N28" s="11">
        <v>36.280799999999999</v>
      </c>
      <c r="O28" s="11">
        <v>34.555</v>
      </c>
      <c r="P28" s="11">
        <v>36.930999999999997</v>
      </c>
      <c r="Q28" s="11">
        <v>40.673299999999998</v>
      </c>
      <c r="R28" s="11">
        <v>42.874899999999997</v>
      </c>
      <c r="S28" s="11">
        <v>54.360100000000003</v>
      </c>
      <c r="T28" s="11">
        <v>54.6</v>
      </c>
      <c r="U28" s="11">
        <v>56.3</v>
      </c>
    </row>
    <row r="29" spans="1:21">
      <c r="A29" s="11" t="s">
        <v>32</v>
      </c>
      <c r="B29" s="11">
        <v>19.600000000000001</v>
      </c>
      <c r="C29" s="11">
        <v>10.7</v>
      </c>
      <c r="D29" s="11">
        <v>11.3</v>
      </c>
      <c r="E29" s="11">
        <v>10.199999999999999</v>
      </c>
      <c r="F29" s="11">
        <v>11.1</v>
      </c>
      <c r="G29" s="11">
        <v>11.1</v>
      </c>
      <c r="H29" s="11">
        <v>11.1784</v>
      </c>
      <c r="I29" s="11">
        <v>11.6</v>
      </c>
      <c r="J29" s="11">
        <v>12.1</v>
      </c>
      <c r="K29" s="11">
        <v>12.1</v>
      </c>
      <c r="L29" s="11">
        <v>12.132899999999999</v>
      </c>
      <c r="M29" s="11">
        <v>12.5</v>
      </c>
      <c r="N29" s="11">
        <v>12.3378</v>
      </c>
      <c r="O29" s="11">
        <v>12.1798</v>
      </c>
      <c r="P29" s="11">
        <v>12.5091</v>
      </c>
      <c r="Q29" s="11">
        <v>12.560499999999999</v>
      </c>
      <c r="R29" s="11">
        <v>13.6571</v>
      </c>
      <c r="S29" s="11">
        <v>14.087199999999999</v>
      </c>
      <c r="T29" s="11">
        <v>14.5</v>
      </c>
      <c r="U29" s="11">
        <v>14.8</v>
      </c>
    </row>
    <row r="30" spans="1:21">
      <c r="A30" s="11" t="s">
        <v>33</v>
      </c>
      <c r="B30" s="11">
        <v>10.4</v>
      </c>
      <c r="C30" s="11">
        <v>6</v>
      </c>
      <c r="D30" s="11">
        <v>6.2</v>
      </c>
      <c r="E30" s="11">
        <v>6.8</v>
      </c>
      <c r="F30" s="11">
        <v>8</v>
      </c>
      <c r="G30" s="11">
        <v>9.8000000000000007</v>
      </c>
      <c r="H30" s="11">
        <v>12.115600000000001</v>
      </c>
      <c r="I30" s="11">
        <v>11.9</v>
      </c>
      <c r="J30" s="11">
        <v>13</v>
      </c>
      <c r="K30" s="11">
        <v>13.8</v>
      </c>
      <c r="L30" s="11">
        <v>14.022600000000001</v>
      </c>
      <c r="M30" s="11">
        <v>14.8</v>
      </c>
      <c r="N30" s="11">
        <v>15.3987</v>
      </c>
      <c r="O30" s="11">
        <v>15.6899</v>
      </c>
      <c r="P30" s="11">
        <v>15.994</v>
      </c>
      <c r="Q30" s="11">
        <v>17.439699999999998</v>
      </c>
      <c r="R30" s="11">
        <v>18.088200000000001</v>
      </c>
      <c r="S30" s="11">
        <v>19.191199999999998</v>
      </c>
      <c r="T30" s="11">
        <v>19.5</v>
      </c>
      <c r="U30" s="11">
        <v>20.100000000000001</v>
      </c>
    </row>
    <row r="31" spans="1:21">
      <c r="A31" s="11" t="s">
        <v>34</v>
      </c>
      <c r="B31" s="11"/>
      <c r="C31" s="11"/>
      <c r="D31" s="11"/>
      <c r="E31" s="11">
        <v>1</v>
      </c>
      <c r="F31" s="11"/>
      <c r="G31" s="11">
        <v>1.3</v>
      </c>
      <c r="H31" s="11"/>
      <c r="I31" s="11">
        <v>1.2</v>
      </c>
      <c r="J31" s="11"/>
      <c r="K31" s="11"/>
      <c r="L31" s="11"/>
      <c r="M31" s="11"/>
      <c r="N31" s="11">
        <v>2.0158</v>
      </c>
      <c r="O31" s="11">
        <v>2.0789</v>
      </c>
      <c r="P31" s="11">
        <v>1.0403</v>
      </c>
      <c r="Q31" s="11">
        <v>1.6407</v>
      </c>
      <c r="R31" s="11">
        <v>1.6293</v>
      </c>
      <c r="S31" s="11">
        <v>1.6862999999999999</v>
      </c>
      <c r="T31" s="11">
        <v>1.8</v>
      </c>
      <c r="U31" s="11">
        <v>1.8</v>
      </c>
    </row>
    <row r="32" spans="1:2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</row>
    <row r="33" spans="1:21">
      <c r="A33" s="11" t="s">
        <v>35</v>
      </c>
      <c r="B33" s="11">
        <v>32</v>
      </c>
      <c r="C33" s="11">
        <v>12.2</v>
      </c>
      <c r="D33" s="11">
        <v>10.7</v>
      </c>
      <c r="E33" s="11">
        <v>11.4</v>
      </c>
      <c r="F33" s="11">
        <v>14</v>
      </c>
      <c r="G33" s="11">
        <v>13.5</v>
      </c>
      <c r="H33" s="11">
        <v>13.949</v>
      </c>
      <c r="I33" s="11">
        <v>18.5</v>
      </c>
      <c r="J33" s="11">
        <v>21.5</v>
      </c>
      <c r="K33" s="11">
        <v>21.5</v>
      </c>
      <c r="L33" s="11">
        <v>20.954599999999999</v>
      </c>
      <c r="M33" s="11">
        <v>20.8</v>
      </c>
      <c r="N33" s="11">
        <v>21.4757</v>
      </c>
      <c r="O33" s="11">
        <v>21.4206</v>
      </c>
      <c r="P33" s="11">
        <v>20.906099999999999</v>
      </c>
      <c r="Q33" s="11">
        <v>19.480699999999999</v>
      </c>
      <c r="R33" s="11">
        <v>21.059000000000001</v>
      </c>
      <c r="S33" s="11">
        <v>22.348600000000001</v>
      </c>
      <c r="T33" s="11">
        <v>22.3</v>
      </c>
      <c r="U33" s="11">
        <v>22.7</v>
      </c>
    </row>
    <row r="34" spans="1:21">
      <c r="A34" s="11" t="s">
        <v>36</v>
      </c>
      <c r="B34" s="11">
        <v>15.7</v>
      </c>
      <c r="C34" s="11">
        <v>8.3000000000000007</v>
      </c>
      <c r="D34" s="11">
        <v>8</v>
      </c>
      <c r="E34" s="11">
        <v>7.4</v>
      </c>
      <c r="F34" s="11">
        <v>7.4</v>
      </c>
      <c r="G34" s="11">
        <v>8.6999999999999993</v>
      </c>
      <c r="H34" s="11">
        <v>9.3094999999999999</v>
      </c>
      <c r="I34" s="11">
        <v>9.5</v>
      </c>
      <c r="J34" s="11">
        <v>9.3000000000000007</v>
      </c>
      <c r="K34" s="11">
        <v>9.6999999999999993</v>
      </c>
      <c r="L34" s="11">
        <v>9.5100999999999996</v>
      </c>
      <c r="M34" s="11">
        <v>9.4</v>
      </c>
      <c r="N34" s="11">
        <v>10.2826</v>
      </c>
      <c r="O34" s="11">
        <v>10.7224</v>
      </c>
      <c r="P34" s="11">
        <v>10.776899999999999</v>
      </c>
      <c r="Q34" s="11">
        <v>9.8000000000000007</v>
      </c>
      <c r="R34" s="11">
        <v>9.2979000000000003</v>
      </c>
      <c r="S34" s="11">
        <v>9.7117000000000004</v>
      </c>
      <c r="T34" s="11">
        <v>9.5</v>
      </c>
      <c r="U34" s="11">
        <v>9.8000000000000007</v>
      </c>
    </row>
    <row r="35" spans="1:21">
      <c r="A35" s="11" t="s">
        <v>37</v>
      </c>
      <c r="B35" s="11">
        <v>5.9</v>
      </c>
      <c r="C35" s="11">
        <v>1.8</v>
      </c>
      <c r="D35" s="11">
        <v>1.9</v>
      </c>
      <c r="E35" s="11">
        <v>1.8</v>
      </c>
      <c r="F35" s="11">
        <v>2.4</v>
      </c>
      <c r="G35" s="11">
        <v>2.9</v>
      </c>
      <c r="H35" s="11">
        <v>3.0743</v>
      </c>
      <c r="I35" s="11">
        <v>3.5</v>
      </c>
      <c r="J35" s="11">
        <v>3.6</v>
      </c>
      <c r="K35" s="11">
        <v>3.7</v>
      </c>
      <c r="L35" s="11">
        <v>3.7248000000000001</v>
      </c>
      <c r="M35" s="11">
        <v>3.9</v>
      </c>
      <c r="N35" s="11">
        <v>4.0646000000000004</v>
      </c>
      <c r="O35" s="11">
        <v>4.2423999999999999</v>
      </c>
      <c r="P35" s="11">
        <v>4.3537999999999997</v>
      </c>
      <c r="Q35" s="11">
        <v>4.0928000000000004</v>
      </c>
      <c r="R35" s="11">
        <v>4.2262000000000004</v>
      </c>
      <c r="S35" s="11">
        <v>4.2149999999999999</v>
      </c>
      <c r="T35" s="11">
        <v>4.4000000000000004</v>
      </c>
      <c r="U35" s="11">
        <v>4.5999999999999996</v>
      </c>
    </row>
    <row r="36" spans="1:21">
      <c r="A36" s="11" t="s">
        <v>38</v>
      </c>
      <c r="B36" s="11">
        <v>4.2</v>
      </c>
      <c r="C36" s="11">
        <v>3.9</v>
      </c>
      <c r="D36" s="11">
        <v>3.7</v>
      </c>
      <c r="E36" s="11">
        <v>3.8</v>
      </c>
      <c r="F36" s="11">
        <v>3.7</v>
      </c>
      <c r="G36" s="11">
        <v>3.5</v>
      </c>
      <c r="H36" s="11">
        <v>3.7543000000000002</v>
      </c>
      <c r="I36" s="11">
        <v>4.0999999999999996</v>
      </c>
      <c r="J36" s="11">
        <v>4.4000000000000004</v>
      </c>
      <c r="K36" s="11">
        <v>4.2</v>
      </c>
      <c r="L36" s="11">
        <v>4.4161999999999999</v>
      </c>
      <c r="M36" s="11">
        <v>4.8</v>
      </c>
      <c r="N36" s="11">
        <v>4.7990000000000004</v>
      </c>
      <c r="O36" s="11">
        <v>4.7550999999999997</v>
      </c>
      <c r="P36" s="11">
        <v>5.2222999999999997</v>
      </c>
      <c r="Q36" s="11">
        <v>4.6062000000000003</v>
      </c>
      <c r="R36" s="11">
        <v>4.6924999999999999</v>
      </c>
      <c r="S36" s="11">
        <v>4.9976000000000003</v>
      </c>
      <c r="T36" s="11">
        <v>4.9000000000000004</v>
      </c>
      <c r="U36" s="11">
        <v>5.0999999999999996</v>
      </c>
    </row>
    <row r="37" spans="1:21">
      <c r="A37" s="11" t="s">
        <v>39</v>
      </c>
      <c r="B37" s="11">
        <v>13.8</v>
      </c>
      <c r="C37" s="11">
        <v>12.8</v>
      </c>
      <c r="D37" s="11">
        <v>10.3</v>
      </c>
      <c r="E37" s="11">
        <v>11</v>
      </c>
      <c r="F37" s="11">
        <v>9.6999999999999993</v>
      </c>
      <c r="G37" s="11">
        <v>9.9</v>
      </c>
      <c r="H37" s="11">
        <v>9.9</v>
      </c>
      <c r="I37" s="11">
        <v>13.3</v>
      </c>
      <c r="J37" s="11">
        <v>11.1</v>
      </c>
      <c r="K37" s="11">
        <v>11.6</v>
      </c>
      <c r="L37" s="11">
        <v>11.6959</v>
      </c>
      <c r="M37" s="11">
        <v>11.8</v>
      </c>
      <c r="N37" s="11">
        <v>11.858599999999999</v>
      </c>
      <c r="O37" s="11">
        <v>10.987399999999999</v>
      </c>
      <c r="P37" s="11">
        <v>11.1183</v>
      </c>
      <c r="Q37" s="11">
        <v>11.8475</v>
      </c>
      <c r="R37" s="11">
        <v>11.8965</v>
      </c>
      <c r="S37" s="11">
        <v>11.207100000000001</v>
      </c>
      <c r="T37" s="11">
        <v>10.3</v>
      </c>
      <c r="U37" s="11">
        <v>9.6999999999999993</v>
      </c>
    </row>
    <row r="38" spans="1:21">
      <c r="A38" s="10"/>
    </row>
  </sheetData>
  <phoneticPr fontId="6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6B2FB-41BC-9347-9FB3-6F5A914964F5}">
  <dimension ref="A1:U38"/>
  <sheetViews>
    <sheetView workbookViewId="0">
      <selection sqref="A1:A1048576"/>
    </sheetView>
  </sheetViews>
  <sheetFormatPr baseColWidth="10" defaultRowHeight="16"/>
  <cols>
    <col min="1" max="1" width="19" customWidth="1"/>
  </cols>
  <sheetData>
    <row r="1" spans="1:21" ht="17">
      <c r="A1" s="23" t="s">
        <v>49</v>
      </c>
      <c r="B1" s="8">
        <v>1997</v>
      </c>
      <c r="C1" s="8">
        <v>1998</v>
      </c>
      <c r="D1" s="8">
        <v>1999</v>
      </c>
      <c r="E1" s="8">
        <v>2000</v>
      </c>
      <c r="F1" s="8">
        <v>2001</v>
      </c>
      <c r="G1" s="8">
        <v>2002</v>
      </c>
      <c r="H1" s="8">
        <v>2003</v>
      </c>
      <c r="I1" s="8">
        <v>2004</v>
      </c>
      <c r="J1" s="8">
        <v>2005</v>
      </c>
      <c r="K1" s="8">
        <v>2006</v>
      </c>
      <c r="L1" s="8">
        <v>2007</v>
      </c>
      <c r="M1" s="8">
        <v>2008</v>
      </c>
      <c r="N1" s="8">
        <v>2009</v>
      </c>
      <c r="O1" s="8">
        <v>2010</v>
      </c>
      <c r="P1" s="8">
        <v>2011</v>
      </c>
      <c r="Q1" s="8">
        <v>2012</v>
      </c>
      <c r="R1" s="8">
        <v>2013</v>
      </c>
      <c r="S1" s="8">
        <v>2014</v>
      </c>
      <c r="T1" s="8">
        <v>2015</v>
      </c>
      <c r="U1" s="8">
        <v>2016</v>
      </c>
    </row>
    <row r="2" spans="1:21">
      <c r="A2" s="16" t="s">
        <v>9</v>
      </c>
      <c r="B2" s="25">
        <v>11019</v>
      </c>
      <c r="C2" s="25">
        <v>12451</v>
      </c>
      <c r="D2" s="25">
        <v>14054</v>
      </c>
      <c r="E2" s="25">
        <v>16350</v>
      </c>
      <c r="F2" s="25">
        <v>19155</v>
      </c>
      <c r="G2" s="25">
        <v>21852</v>
      </c>
      <c r="H2" s="25">
        <v>25312</v>
      </c>
      <c r="I2" s="25">
        <v>29674</v>
      </c>
      <c r="J2" s="25">
        <v>34191</v>
      </c>
      <c r="K2" s="25">
        <v>40117</v>
      </c>
      <c r="L2" s="25">
        <v>46507</v>
      </c>
      <c r="M2" s="25">
        <v>56328</v>
      </c>
      <c r="N2" s="25">
        <v>57779</v>
      </c>
      <c r="O2" s="25">
        <v>65158</v>
      </c>
      <c r="P2" s="25">
        <v>75482</v>
      </c>
      <c r="Q2" s="25">
        <v>84742</v>
      </c>
      <c r="R2" s="25">
        <v>93006</v>
      </c>
      <c r="S2" s="25">
        <v>102268</v>
      </c>
      <c r="T2" s="25">
        <v>111390</v>
      </c>
      <c r="U2" s="25">
        <v>119928</v>
      </c>
    </row>
    <row r="3" spans="1:21">
      <c r="A3" s="11" t="s">
        <v>10</v>
      </c>
      <c r="B3" s="25">
        <v>8238</v>
      </c>
      <c r="C3" s="25">
        <v>9946</v>
      </c>
      <c r="D3" s="25">
        <v>11056</v>
      </c>
      <c r="E3" s="25">
        <v>12480</v>
      </c>
      <c r="F3" s="25">
        <v>14308</v>
      </c>
      <c r="G3" s="25">
        <v>16258</v>
      </c>
      <c r="H3" s="25">
        <v>18648</v>
      </c>
      <c r="I3" s="25">
        <v>21754</v>
      </c>
      <c r="J3" s="25">
        <v>25271</v>
      </c>
      <c r="K3" s="25">
        <v>28682</v>
      </c>
      <c r="L3" s="25">
        <v>34938</v>
      </c>
      <c r="M3" s="25">
        <v>41748</v>
      </c>
      <c r="N3" s="25">
        <v>43937</v>
      </c>
      <c r="O3" s="25">
        <v>51489</v>
      </c>
      <c r="P3" s="25">
        <v>55658</v>
      </c>
      <c r="Q3" s="25">
        <v>61514</v>
      </c>
      <c r="R3" s="25">
        <v>67773</v>
      </c>
      <c r="S3" s="25">
        <v>72773</v>
      </c>
      <c r="T3" s="25">
        <v>80090</v>
      </c>
      <c r="U3" s="25">
        <v>86305</v>
      </c>
    </row>
    <row r="4" spans="1:21">
      <c r="A4" s="11" t="s">
        <v>11</v>
      </c>
      <c r="B4" s="25">
        <v>5692</v>
      </c>
      <c r="C4" s="25">
        <v>6302</v>
      </c>
      <c r="D4" s="25">
        <v>7022</v>
      </c>
      <c r="E4" s="25">
        <v>7781</v>
      </c>
      <c r="F4" s="25">
        <v>8730</v>
      </c>
      <c r="G4" s="25">
        <v>10032</v>
      </c>
      <c r="H4" s="25">
        <v>11189</v>
      </c>
      <c r="I4" s="25">
        <v>12925</v>
      </c>
      <c r="J4" s="25">
        <v>14707</v>
      </c>
      <c r="K4" s="25">
        <v>16590</v>
      </c>
      <c r="L4" s="25">
        <v>19911</v>
      </c>
      <c r="M4" s="25">
        <v>24756</v>
      </c>
      <c r="N4" s="25">
        <v>27774</v>
      </c>
      <c r="O4" s="25">
        <v>31451</v>
      </c>
      <c r="P4" s="25">
        <v>35309</v>
      </c>
      <c r="Q4" s="25">
        <v>38658</v>
      </c>
      <c r="R4" s="25">
        <v>41501</v>
      </c>
      <c r="S4" s="25">
        <v>45114</v>
      </c>
      <c r="T4" s="25">
        <v>50921</v>
      </c>
      <c r="U4" s="25">
        <v>55334</v>
      </c>
    </row>
    <row r="5" spans="1:21">
      <c r="A5" s="11" t="s">
        <v>12</v>
      </c>
      <c r="B5" s="25">
        <v>5320</v>
      </c>
      <c r="C5" s="25">
        <v>5641</v>
      </c>
      <c r="D5" s="25">
        <v>6065</v>
      </c>
      <c r="E5" s="25">
        <v>6918</v>
      </c>
      <c r="F5" s="25">
        <v>8122</v>
      </c>
      <c r="G5" s="25">
        <v>9357</v>
      </c>
      <c r="H5" s="25">
        <v>10729</v>
      </c>
      <c r="I5" s="25">
        <v>12943</v>
      </c>
      <c r="J5" s="25">
        <v>15645</v>
      </c>
      <c r="K5" s="25">
        <v>18300</v>
      </c>
      <c r="L5" s="25">
        <v>21525</v>
      </c>
      <c r="M5" s="25">
        <v>25828</v>
      </c>
      <c r="N5" s="25">
        <v>28066</v>
      </c>
      <c r="O5" s="25">
        <v>33057</v>
      </c>
      <c r="P5" s="25">
        <v>39230</v>
      </c>
      <c r="Q5" s="25">
        <v>44236</v>
      </c>
      <c r="R5" s="25">
        <v>46407</v>
      </c>
      <c r="S5" s="25">
        <v>48969</v>
      </c>
      <c r="T5" s="25">
        <v>51803</v>
      </c>
      <c r="U5" s="25">
        <v>53705</v>
      </c>
    </row>
    <row r="6" spans="1:21">
      <c r="A6" s="11" t="s">
        <v>13</v>
      </c>
      <c r="B6" s="25">
        <v>5124</v>
      </c>
      <c r="C6" s="25">
        <v>5792</v>
      </c>
      <c r="D6" s="25">
        <v>6347</v>
      </c>
      <c r="E6" s="25">
        <v>6974</v>
      </c>
      <c r="F6" s="25">
        <v>8250</v>
      </c>
      <c r="G6" s="25">
        <v>9683</v>
      </c>
      <c r="H6" s="25">
        <v>11279</v>
      </c>
      <c r="I6" s="25">
        <v>13324</v>
      </c>
      <c r="J6" s="25">
        <v>15985</v>
      </c>
      <c r="K6" s="25">
        <v>18469</v>
      </c>
      <c r="L6" s="25">
        <v>21884</v>
      </c>
      <c r="M6" s="25">
        <v>26114</v>
      </c>
      <c r="N6" s="25">
        <v>30486</v>
      </c>
      <c r="O6" s="25">
        <v>35211</v>
      </c>
      <c r="P6" s="25">
        <v>41118</v>
      </c>
      <c r="Q6" s="25">
        <v>46557</v>
      </c>
      <c r="R6" s="25">
        <v>50723</v>
      </c>
      <c r="S6" s="25">
        <v>53748</v>
      </c>
      <c r="T6" s="25">
        <v>57135</v>
      </c>
      <c r="U6" s="25">
        <v>61067</v>
      </c>
    </row>
    <row r="7" spans="1:21">
      <c r="A7" s="11"/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</row>
    <row r="8" spans="1:21">
      <c r="A8" s="11" t="s">
        <v>14</v>
      </c>
      <c r="B8" s="25">
        <v>5591</v>
      </c>
      <c r="C8" s="25">
        <v>7161</v>
      </c>
      <c r="D8" s="25">
        <v>7895</v>
      </c>
      <c r="E8" s="25">
        <v>8811</v>
      </c>
      <c r="F8" s="25">
        <v>10145</v>
      </c>
      <c r="G8" s="25">
        <v>11659</v>
      </c>
      <c r="H8" s="25">
        <v>13008</v>
      </c>
      <c r="I8" s="25">
        <v>14921</v>
      </c>
      <c r="J8" s="25">
        <v>17331</v>
      </c>
      <c r="K8" s="25">
        <v>19624</v>
      </c>
      <c r="L8" s="25">
        <v>23202</v>
      </c>
      <c r="M8" s="25">
        <v>27729</v>
      </c>
      <c r="N8" s="25">
        <v>30523</v>
      </c>
      <c r="O8" s="25">
        <v>34437</v>
      </c>
      <c r="P8" s="25">
        <v>38154</v>
      </c>
      <c r="Q8" s="25">
        <v>41858</v>
      </c>
      <c r="R8" s="25">
        <v>45505</v>
      </c>
      <c r="S8" s="25">
        <v>48190</v>
      </c>
      <c r="T8" s="25">
        <v>52332</v>
      </c>
      <c r="U8" s="25">
        <v>56015</v>
      </c>
    </row>
    <row r="9" spans="1:21">
      <c r="A9" s="11" t="s">
        <v>15</v>
      </c>
      <c r="B9" s="25">
        <v>5664</v>
      </c>
      <c r="C9" s="25">
        <v>6551</v>
      </c>
      <c r="D9" s="25">
        <v>7158</v>
      </c>
      <c r="E9" s="25">
        <v>7924</v>
      </c>
      <c r="F9" s="25">
        <v>8771</v>
      </c>
      <c r="G9" s="25">
        <v>9990</v>
      </c>
      <c r="H9" s="25">
        <v>11081</v>
      </c>
      <c r="I9" s="25">
        <v>12431</v>
      </c>
      <c r="J9" s="25">
        <v>14409</v>
      </c>
      <c r="K9" s="25">
        <v>16583</v>
      </c>
      <c r="L9" s="25">
        <v>20513</v>
      </c>
      <c r="M9" s="25">
        <v>23486</v>
      </c>
      <c r="N9" s="25">
        <v>25943</v>
      </c>
      <c r="O9" s="25">
        <v>29003</v>
      </c>
      <c r="P9" s="25">
        <v>33610</v>
      </c>
      <c r="Q9" s="25">
        <v>38407</v>
      </c>
      <c r="R9" s="25">
        <v>42846</v>
      </c>
      <c r="S9" s="25">
        <v>46516</v>
      </c>
      <c r="T9" s="25">
        <v>51558</v>
      </c>
      <c r="U9" s="25">
        <v>56098</v>
      </c>
    </row>
    <row r="10" spans="1:21">
      <c r="A10" s="11" t="s">
        <v>16</v>
      </c>
      <c r="B10" s="25">
        <v>4889</v>
      </c>
      <c r="C10" s="25">
        <v>6238</v>
      </c>
      <c r="D10" s="25">
        <v>7094</v>
      </c>
      <c r="E10" s="25">
        <v>7835</v>
      </c>
      <c r="F10" s="25">
        <v>8910</v>
      </c>
      <c r="G10" s="25">
        <v>9926</v>
      </c>
      <c r="H10" s="25">
        <v>11038</v>
      </c>
      <c r="I10" s="25">
        <v>12557</v>
      </c>
      <c r="J10" s="25">
        <v>14458</v>
      </c>
      <c r="K10" s="25">
        <v>16505</v>
      </c>
      <c r="L10" s="25">
        <v>19386</v>
      </c>
      <c r="M10" s="25">
        <v>23046</v>
      </c>
      <c r="N10" s="25">
        <v>24805</v>
      </c>
      <c r="O10" s="25">
        <v>27735</v>
      </c>
      <c r="P10" s="25">
        <v>31302</v>
      </c>
      <c r="Q10" s="25">
        <v>36406</v>
      </c>
      <c r="R10" s="25">
        <v>40794</v>
      </c>
      <c r="S10" s="25">
        <v>44036</v>
      </c>
      <c r="T10" s="25">
        <v>48881</v>
      </c>
      <c r="U10" s="25">
        <v>52435</v>
      </c>
    </row>
    <row r="11" spans="1:21">
      <c r="A11" s="11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</row>
    <row r="12" spans="1:21">
      <c r="A12" s="11" t="s">
        <v>17</v>
      </c>
      <c r="B12" s="25">
        <v>11425</v>
      </c>
      <c r="C12" s="25">
        <v>13580</v>
      </c>
      <c r="D12" s="25">
        <v>16641</v>
      </c>
      <c r="E12" s="25">
        <v>18531</v>
      </c>
      <c r="F12" s="25">
        <v>21781</v>
      </c>
      <c r="G12" s="25">
        <v>23959</v>
      </c>
      <c r="H12" s="25">
        <v>27304</v>
      </c>
      <c r="I12" s="25">
        <v>30085</v>
      </c>
      <c r="J12" s="25">
        <v>34345</v>
      </c>
      <c r="K12" s="25">
        <v>41188</v>
      </c>
      <c r="L12" s="25">
        <v>49310</v>
      </c>
      <c r="M12" s="25">
        <v>56565</v>
      </c>
      <c r="N12" s="25">
        <v>58336</v>
      </c>
      <c r="O12" s="25">
        <v>66115</v>
      </c>
      <c r="P12" s="25">
        <v>75591</v>
      </c>
      <c r="Q12" s="25">
        <v>78673</v>
      </c>
      <c r="R12" s="25">
        <v>90908</v>
      </c>
      <c r="S12" s="25">
        <v>100251</v>
      </c>
      <c r="T12" s="25">
        <v>109174</v>
      </c>
      <c r="U12" s="25">
        <v>119935</v>
      </c>
    </row>
    <row r="13" spans="1:21">
      <c r="A13" s="11" t="s">
        <v>18</v>
      </c>
      <c r="B13" s="25">
        <v>7108</v>
      </c>
      <c r="C13" s="25">
        <v>8256</v>
      </c>
      <c r="D13" s="25">
        <v>9171</v>
      </c>
      <c r="E13" s="25">
        <v>10299</v>
      </c>
      <c r="F13" s="25">
        <v>11842</v>
      </c>
      <c r="G13" s="25">
        <v>13509</v>
      </c>
      <c r="H13" s="25">
        <v>15712</v>
      </c>
      <c r="I13" s="25">
        <v>18202</v>
      </c>
      <c r="J13" s="25">
        <v>20957</v>
      </c>
      <c r="K13" s="25">
        <v>23782</v>
      </c>
      <c r="L13" s="25">
        <v>27374</v>
      </c>
      <c r="M13" s="25">
        <v>31667</v>
      </c>
      <c r="N13" s="25">
        <v>35217</v>
      </c>
      <c r="O13" s="25">
        <v>39772</v>
      </c>
      <c r="P13" s="25">
        <v>45487</v>
      </c>
      <c r="Q13" s="25">
        <v>50639</v>
      </c>
      <c r="R13" s="25">
        <v>57177</v>
      </c>
      <c r="S13" s="25">
        <v>60867</v>
      </c>
      <c r="T13" s="25">
        <v>66196</v>
      </c>
      <c r="U13" s="25">
        <v>71574</v>
      </c>
    </row>
    <row r="14" spans="1:21">
      <c r="A14" s="11" t="s">
        <v>19</v>
      </c>
      <c r="B14" s="25">
        <v>8386</v>
      </c>
      <c r="C14" s="25">
        <v>9759</v>
      </c>
      <c r="D14" s="25">
        <v>11201</v>
      </c>
      <c r="E14" s="25">
        <v>13076</v>
      </c>
      <c r="F14" s="25">
        <v>16385</v>
      </c>
      <c r="G14" s="25">
        <v>18785</v>
      </c>
      <c r="H14" s="25">
        <v>21367</v>
      </c>
      <c r="I14" s="25">
        <v>23506</v>
      </c>
      <c r="J14" s="25">
        <v>25896</v>
      </c>
      <c r="K14" s="25">
        <v>27820</v>
      </c>
      <c r="L14" s="25">
        <v>31086</v>
      </c>
      <c r="M14" s="25">
        <v>34146</v>
      </c>
      <c r="N14" s="25">
        <v>36553</v>
      </c>
      <c r="O14" s="25">
        <v>40640</v>
      </c>
      <c r="P14" s="25">
        <v>45162</v>
      </c>
      <c r="Q14" s="25">
        <v>50197</v>
      </c>
      <c r="R14" s="25">
        <v>56571</v>
      </c>
      <c r="S14" s="25">
        <v>61572</v>
      </c>
      <c r="T14" s="25">
        <v>66668</v>
      </c>
      <c r="U14" s="25">
        <v>73326</v>
      </c>
    </row>
    <row r="15" spans="1:21">
      <c r="A15" s="11" t="s">
        <v>20</v>
      </c>
      <c r="B15" s="25">
        <v>5492</v>
      </c>
      <c r="C15" s="25">
        <v>6117</v>
      </c>
      <c r="D15" s="25">
        <v>6516</v>
      </c>
      <c r="E15" s="25">
        <v>6989</v>
      </c>
      <c r="F15" s="25">
        <v>7908</v>
      </c>
      <c r="G15" s="25">
        <v>9296</v>
      </c>
      <c r="H15" s="25">
        <v>10581</v>
      </c>
      <c r="I15" s="25">
        <v>12928</v>
      </c>
      <c r="J15" s="25">
        <v>15334</v>
      </c>
      <c r="K15" s="25">
        <v>17949</v>
      </c>
      <c r="L15" s="25">
        <v>22180</v>
      </c>
      <c r="M15" s="25">
        <v>26363</v>
      </c>
      <c r="N15" s="25">
        <v>28723</v>
      </c>
      <c r="O15" s="25">
        <v>33341</v>
      </c>
      <c r="P15" s="25">
        <v>39352</v>
      </c>
      <c r="Q15" s="25">
        <v>44601</v>
      </c>
      <c r="R15" s="25">
        <v>47806</v>
      </c>
      <c r="S15" s="25">
        <v>50894</v>
      </c>
      <c r="T15" s="25">
        <v>55139</v>
      </c>
      <c r="U15" s="25">
        <v>59102</v>
      </c>
    </row>
    <row r="16" spans="1:21">
      <c r="A16" s="11" t="s">
        <v>21</v>
      </c>
      <c r="B16" s="25">
        <v>7559</v>
      </c>
      <c r="C16" s="25">
        <v>8531</v>
      </c>
      <c r="D16" s="25">
        <v>9490</v>
      </c>
      <c r="E16" s="25">
        <v>10584</v>
      </c>
      <c r="F16" s="25">
        <v>12013</v>
      </c>
      <c r="G16" s="25">
        <v>13306</v>
      </c>
      <c r="H16" s="25">
        <v>14310</v>
      </c>
      <c r="I16" s="25">
        <v>15603</v>
      </c>
      <c r="J16" s="25">
        <v>17146</v>
      </c>
      <c r="K16" s="25">
        <v>19318</v>
      </c>
      <c r="L16" s="25">
        <v>22283</v>
      </c>
      <c r="M16" s="25">
        <v>25702</v>
      </c>
      <c r="N16" s="25">
        <v>28366</v>
      </c>
      <c r="O16" s="25">
        <v>32340</v>
      </c>
      <c r="P16" s="25">
        <v>38588</v>
      </c>
      <c r="Q16" s="25">
        <v>44525</v>
      </c>
      <c r="R16" s="25">
        <v>48538</v>
      </c>
      <c r="S16" s="25">
        <v>53426</v>
      </c>
      <c r="T16" s="25">
        <v>57628</v>
      </c>
      <c r="U16" s="25">
        <v>61973</v>
      </c>
    </row>
    <row r="17" spans="1:21">
      <c r="A17" s="11" t="s">
        <v>22</v>
      </c>
      <c r="B17" s="25">
        <v>5089</v>
      </c>
      <c r="C17" s="25">
        <v>5384</v>
      </c>
      <c r="D17" s="25">
        <v>6749</v>
      </c>
      <c r="E17" s="25">
        <v>7014</v>
      </c>
      <c r="F17" s="25">
        <v>8026</v>
      </c>
      <c r="G17" s="25">
        <v>9262</v>
      </c>
      <c r="H17" s="25">
        <v>10521</v>
      </c>
      <c r="I17" s="25">
        <v>11860</v>
      </c>
      <c r="J17" s="25">
        <v>13688</v>
      </c>
      <c r="K17" s="25">
        <v>15590</v>
      </c>
      <c r="L17" s="25">
        <v>18400</v>
      </c>
      <c r="M17" s="25">
        <v>21000</v>
      </c>
      <c r="N17" s="25">
        <v>24165</v>
      </c>
      <c r="O17" s="25">
        <v>28363</v>
      </c>
      <c r="P17" s="25">
        <v>33239</v>
      </c>
      <c r="Q17" s="25">
        <v>38512</v>
      </c>
      <c r="R17" s="25">
        <v>42473</v>
      </c>
      <c r="S17" s="25">
        <v>46218</v>
      </c>
      <c r="T17" s="25">
        <v>50932</v>
      </c>
      <c r="U17" s="25">
        <v>56136</v>
      </c>
    </row>
    <row r="18" spans="1:21">
      <c r="A18" s="11" t="s">
        <v>23</v>
      </c>
      <c r="B18" s="25">
        <v>6241</v>
      </c>
      <c r="C18" s="25">
        <v>6854</v>
      </c>
      <c r="D18" s="25">
        <v>7656</v>
      </c>
      <c r="E18" s="25">
        <v>8772</v>
      </c>
      <c r="F18" s="25">
        <v>10008</v>
      </c>
      <c r="G18" s="25">
        <v>11374</v>
      </c>
      <c r="H18" s="25">
        <v>12567</v>
      </c>
      <c r="I18" s="25">
        <v>14332</v>
      </c>
      <c r="J18" s="25">
        <v>16614</v>
      </c>
      <c r="K18" s="25">
        <v>19228</v>
      </c>
      <c r="L18" s="25">
        <v>22844</v>
      </c>
      <c r="M18" s="25">
        <v>26404</v>
      </c>
      <c r="N18" s="25">
        <v>29398</v>
      </c>
      <c r="O18" s="25">
        <v>33321</v>
      </c>
      <c r="P18" s="25">
        <v>37618</v>
      </c>
      <c r="Q18" s="25">
        <v>41904</v>
      </c>
      <c r="R18" s="25">
        <v>46998</v>
      </c>
      <c r="S18" s="25">
        <v>51825</v>
      </c>
      <c r="T18" s="25">
        <v>57270</v>
      </c>
      <c r="U18" s="25">
        <v>62539</v>
      </c>
    </row>
    <row r="19" spans="1:21">
      <c r="A19" s="11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</row>
    <row r="20" spans="1:21">
      <c r="A20" s="11" t="s">
        <v>24</v>
      </c>
      <c r="B20" s="25">
        <v>5225</v>
      </c>
      <c r="C20" s="25">
        <v>5781</v>
      </c>
      <c r="D20" s="25">
        <v>6194</v>
      </c>
      <c r="E20" s="25">
        <v>6930</v>
      </c>
      <c r="F20" s="25">
        <v>7916</v>
      </c>
      <c r="G20" s="25">
        <v>9174</v>
      </c>
      <c r="H20" s="25">
        <v>10749</v>
      </c>
      <c r="I20" s="25">
        <v>12114</v>
      </c>
      <c r="J20" s="25">
        <v>14282</v>
      </c>
      <c r="K20" s="25">
        <v>16981</v>
      </c>
      <c r="L20" s="25">
        <v>20935</v>
      </c>
      <c r="M20" s="25">
        <v>24816</v>
      </c>
      <c r="N20" s="25">
        <v>26906</v>
      </c>
      <c r="O20" s="25">
        <v>29819</v>
      </c>
      <c r="P20" s="25">
        <v>33634</v>
      </c>
      <c r="Q20" s="25">
        <v>37338</v>
      </c>
      <c r="R20" s="25">
        <v>38301</v>
      </c>
      <c r="S20" s="25">
        <v>42179</v>
      </c>
      <c r="T20" s="25">
        <v>45403</v>
      </c>
      <c r="U20" s="25">
        <v>49505</v>
      </c>
    </row>
    <row r="21" spans="1:21">
      <c r="A21" s="11" t="s">
        <v>25</v>
      </c>
      <c r="B21" s="25">
        <v>5401</v>
      </c>
      <c r="C21" s="25">
        <v>6436</v>
      </c>
      <c r="D21" s="25">
        <v>6991</v>
      </c>
      <c r="E21" s="25">
        <v>7565</v>
      </c>
      <c r="F21" s="25">
        <v>8619</v>
      </c>
      <c r="G21" s="25">
        <v>9611</v>
      </c>
      <c r="H21" s="25">
        <v>10692</v>
      </c>
      <c r="I21" s="25">
        <v>11855</v>
      </c>
      <c r="J21" s="25">
        <v>14419</v>
      </c>
      <c r="K21" s="25">
        <v>16048</v>
      </c>
      <c r="L21" s="25">
        <v>19818</v>
      </c>
      <c r="M21" s="25">
        <v>22739</v>
      </c>
      <c r="N21" s="25">
        <v>26547</v>
      </c>
      <c r="O21" s="25">
        <v>31811</v>
      </c>
      <c r="P21" s="25">
        <v>36128</v>
      </c>
      <c r="Q21" s="25">
        <v>39846</v>
      </c>
      <c r="R21" s="25">
        <v>43899</v>
      </c>
      <c r="S21" s="25">
        <v>49838</v>
      </c>
      <c r="T21" s="25">
        <v>54367</v>
      </c>
      <c r="U21" s="25">
        <v>59831</v>
      </c>
    </row>
    <row r="22" spans="1:21">
      <c r="A22" s="11" t="s">
        <v>26</v>
      </c>
      <c r="B22" s="25">
        <v>5326</v>
      </c>
      <c r="C22" s="25">
        <v>6558</v>
      </c>
      <c r="D22" s="25">
        <v>7269</v>
      </c>
      <c r="E22" s="25">
        <v>8128</v>
      </c>
      <c r="F22" s="25">
        <v>9623</v>
      </c>
      <c r="G22" s="25">
        <v>10967</v>
      </c>
      <c r="H22" s="25">
        <v>12221</v>
      </c>
      <c r="I22" s="25">
        <v>13928</v>
      </c>
      <c r="J22" s="25">
        <v>15659</v>
      </c>
      <c r="K22" s="25">
        <v>17850</v>
      </c>
      <c r="L22" s="25">
        <v>21534</v>
      </c>
      <c r="M22" s="25">
        <v>24870</v>
      </c>
      <c r="N22" s="25">
        <v>26534</v>
      </c>
      <c r="O22" s="25">
        <v>29670</v>
      </c>
      <c r="P22" s="25">
        <v>34586</v>
      </c>
      <c r="Q22" s="25">
        <v>38971</v>
      </c>
      <c r="R22" s="25">
        <v>42726</v>
      </c>
      <c r="S22" s="25">
        <v>47117</v>
      </c>
      <c r="T22" s="25">
        <v>52357</v>
      </c>
      <c r="U22" s="25">
        <v>58241</v>
      </c>
    </row>
    <row r="23" spans="1:21">
      <c r="A23" s="11" t="s">
        <v>27</v>
      </c>
      <c r="B23" s="25">
        <v>9698</v>
      </c>
      <c r="C23" s="25">
        <v>11032</v>
      </c>
      <c r="D23" s="25">
        <v>12245</v>
      </c>
      <c r="E23" s="25">
        <v>13823</v>
      </c>
      <c r="F23" s="25">
        <v>15682</v>
      </c>
      <c r="G23" s="25">
        <v>17814</v>
      </c>
      <c r="H23" s="25">
        <v>19986</v>
      </c>
      <c r="I23" s="25">
        <v>22116</v>
      </c>
      <c r="J23" s="25">
        <v>23959</v>
      </c>
      <c r="K23" s="25">
        <v>26186</v>
      </c>
      <c r="L23" s="25">
        <v>29443</v>
      </c>
      <c r="M23" s="25">
        <v>33110</v>
      </c>
      <c r="N23" s="25">
        <v>36469</v>
      </c>
      <c r="O23" s="25">
        <v>40432</v>
      </c>
      <c r="P23" s="25">
        <v>45060</v>
      </c>
      <c r="Q23" s="25">
        <v>50278</v>
      </c>
      <c r="R23" s="25">
        <v>53318</v>
      </c>
      <c r="S23" s="25">
        <v>59481</v>
      </c>
      <c r="T23" s="25">
        <v>65788</v>
      </c>
      <c r="U23" s="25">
        <v>72326</v>
      </c>
    </row>
    <row r="24" spans="1:21">
      <c r="A24" s="11" t="s">
        <v>28</v>
      </c>
      <c r="B24" s="25">
        <v>5542</v>
      </c>
      <c r="C24" s="25">
        <v>6208</v>
      </c>
      <c r="D24" s="25">
        <v>6776</v>
      </c>
      <c r="E24" s="25">
        <v>7651</v>
      </c>
      <c r="F24" s="25">
        <v>9075</v>
      </c>
      <c r="G24" s="25">
        <v>10774</v>
      </c>
      <c r="H24" s="25">
        <v>11953</v>
      </c>
      <c r="I24" s="25">
        <v>13579</v>
      </c>
      <c r="J24" s="25">
        <v>15461</v>
      </c>
      <c r="K24" s="25">
        <v>18064</v>
      </c>
      <c r="L24" s="25">
        <v>21898</v>
      </c>
      <c r="M24" s="25">
        <v>25660</v>
      </c>
      <c r="N24" s="25">
        <v>27322</v>
      </c>
      <c r="O24" s="25">
        <v>30673</v>
      </c>
      <c r="P24" s="25">
        <v>33032</v>
      </c>
      <c r="Q24" s="25">
        <v>36386</v>
      </c>
      <c r="R24" s="25">
        <v>41391</v>
      </c>
      <c r="S24" s="25">
        <v>45424</v>
      </c>
      <c r="T24" s="25">
        <v>52982</v>
      </c>
      <c r="U24" s="25">
        <v>57878</v>
      </c>
    </row>
    <row r="25" spans="1:21">
      <c r="A25" s="11" t="s">
        <v>29</v>
      </c>
      <c r="B25" s="25">
        <v>5664</v>
      </c>
      <c r="C25" s="25">
        <v>6248</v>
      </c>
      <c r="D25" s="25">
        <v>6865</v>
      </c>
      <c r="E25" s="25">
        <v>7408</v>
      </c>
      <c r="F25" s="25">
        <v>8321</v>
      </c>
      <c r="G25" s="25">
        <v>9480</v>
      </c>
      <c r="H25" s="25">
        <v>10397</v>
      </c>
      <c r="I25" s="25">
        <v>12652</v>
      </c>
      <c r="J25" s="25">
        <v>14417</v>
      </c>
      <c r="K25" s="25">
        <v>15890</v>
      </c>
      <c r="L25" s="25">
        <v>19357</v>
      </c>
      <c r="M25" s="25">
        <v>21864</v>
      </c>
      <c r="N25" s="25">
        <v>24790</v>
      </c>
      <c r="O25" s="25">
        <v>30775</v>
      </c>
      <c r="P25" s="25">
        <v>36244</v>
      </c>
      <c r="Q25" s="25">
        <v>39485</v>
      </c>
      <c r="R25" s="25">
        <v>44971</v>
      </c>
      <c r="S25" s="25">
        <v>49882</v>
      </c>
      <c r="T25" s="25">
        <v>57600</v>
      </c>
      <c r="U25" s="25">
        <v>61663</v>
      </c>
    </row>
    <row r="26" spans="1:21">
      <c r="A26" s="11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</row>
    <row r="27" spans="1:21">
      <c r="A27" s="11" t="s">
        <v>30</v>
      </c>
      <c r="B27" s="25">
        <v>5502</v>
      </c>
      <c r="C27" s="25">
        <v>6433</v>
      </c>
      <c r="D27" s="25">
        <v>7182</v>
      </c>
      <c r="E27" s="25">
        <v>8020</v>
      </c>
      <c r="F27" s="25">
        <v>9523</v>
      </c>
      <c r="G27" s="25">
        <v>10960</v>
      </c>
      <c r="H27" s="25">
        <v>12425</v>
      </c>
      <c r="I27" s="25">
        <v>14357</v>
      </c>
      <c r="J27" s="25">
        <v>16630</v>
      </c>
      <c r="K27" s="25">
        <v>19215</v>
      </c>
      <c r="L27" s="25">
        <v>23098</v>
      </c>
      <c r="M27" s="25">
        <v>26985</v>
      </c>
      <c r="N27" s="25">
        <v>30499</v>
      </c>
      <c r="O27" s="25">
        <v>34727</v>
      </c>
      <c r="P27" s="25">
        <v>39430</v>
      </c>
      <c r="Q27" s="25">
        <v>44498</v>
      </c>
      <c r="R27" s="25">
        <v>50006</v>
      </c>
      <c r="S27" s="25">
        <v>55588</v>
      </c>
      <c r="T27" s="25">
        <v>60543</v>
      </c>
      <c r="U27" s="25">
        <v>65545</v>
      </c>
    </row>
    <row r="28" spans="1:21">
      <c r="A28" s="11" t="s">
        <v>31</v>
      </c>
      <c r="B28" s="25">
        <v>5626</v>
      </c>
      <c r="C28" s="25">
        <v>6577</v>
      </c>
      <c r="D28" s="25">
        <v>7249</v>
      </c>
      <c r="E28" s="25">
        <v>8323</v>
      </c>
      <c r="F28" s="25">
        <v>9934</v>
      </c>
      <c r="G28" s="25">
        <v>11183</v>
      </c>
      <c r="H28" s="25">
        <v>12441</v>
      </c>
      <c r="I28" s="25">
        <v>14063</v>
      </c>
      <c r="J28" s="25">
        <v>15826</v>
      </c>
      <c r="K28" s="25">
        <v>17852</v>
      </c>
      <c r="L28" s="25">
        <v>21312</v>
      </c>
      <c r="M28" s="25">
        <v>25038</v>
      </c>
      <c r="N28" s="25">
        <v>28149</v>
      </c>
      <c r="O28" s="25">
        <v>32567</v>
      </c>
      <c r="P28" s="25">
        <v>37330</v>
      </c>
      <c r="Q28" s="25">
        <v>42339</v>
      </c>
      <c r="R28" s="25">
        <v>47965</v>
      </c>
      <c r="S28" s="25">
        <v>52555</v>
      </c>
      <c r="T28" s="25">
        <v>58915</v>
      </c>
      <c r="U28" s="25">
        <v>63926</v>
      </c>
    </row>
    <row r="29" spans="1:21">
      <c r="A29" s="11" t="s">
        <v>32</v>
      </c>
      <c r="B29" s="25">
        <v>5206</v>
      </c>
      <c r="C29" s="25">
        <v>5775</v>
      </c>
      <c r="D29" s="25">
        <v>6595</v>
      </c>
      <c r="E29" s="25">
        <v>7468</v>
      </c>
      <c r="F29" s="25">
        <v>8991</v>
      </c>
      <c r="G29" s="25">
        <v>9810</v>
      </c>
      <c r="H29" s="25">
        <v>11037</v>
      </c>
      <c r="I29" s="25">
        <v>12431</v>
      </c>
      <c r="J29" s="25">
        <v>14344</v>
      </c>
      <c r="K29" s="25">
        <v>16815</v>
      </c>
      <c r="L29" s="25">
        <v>20668</v>
      </c>
      <c r="M29" s="25">
        <v>24602</v>
      </c>
      <c r="N29" s="25">
        <v>27437</v>
      </c>
      <c r="O29" s="25">
        <v>30433</v>
      </c>
      <c r="P29" s="25">
        <v>36102</v>
      </c>
      <c r="Q29" s="25">
        <v>41156</v>
      </c>
      <c r="R29" s="25">
        <v>47364</v>
      </c>
      <c r="S29" s="25">
        <v>52772</v>
      </c>
      <c r="T29" s="25">
        <v>59701</v>
      </c>
      <c r="U29" s="25">
        <v>66279</v>
      </c>
    </row>
    <row r="30" spans="1:21">
      <c r="A30" s="11" t="s">
        <v>33</v>
      </c>
      <c r="B30" s="25">
        <v>7037</v>
      </c>
      <c r="C30" s="25">
        <v>7667</v>
      </c>
      <c r="D30" s="25">
        <v>8276</v>
      </c>
      <c r="E30" s="25">
        <v>9231</v>
      </c>
      <c r="F30" s="25">
        <v>10537</v>
      </c>
      <c r="G30" s="25">
        <v>11987</v>
      </c>
      <c r="H30" s="25">
        <v>12870</v>
      </c>
      <c r="I30" s="25">
        <v>14581</v>
      </c>
      <c r="J30" s="25">
        <v>16140</v>
      </c>
      <c r="K30" s="25">
        <v>18711</v>
      </c>
      <c r="L30" s="25">
        <v>20481</v>
      </c>
      <c r="M30" s="25">
        <v>24030</v>
      </c>
      <c r="N30" s="25">
        <v>26163</v>
      </c>
      <c r="O30" s="25">
        <v>29195</v>
      </c>
      <c r="P30" s="25">
        <v>34004</v>
      </c>
      <c r="Q30" s="25">
        <v>37629</v>
      </c>
      <c r="R30" s="25">
        <v>42447</v>
      </c>
      <c r="S30" s="25">
        <v>46101</v>
      </c>
      <c r="T30" s="25">
        <v>52564</v>
      </c>
      <c r="U30" s="25">
        <v>60450</v>
      </c>
    </row>
    <row r="31" spans="1:21">
      <c r="A31" s="11" t="s">
        <v>34</v>
      </c>
      <c r="B31" s="25">
        <v>10098</v>
      </c>
      <c r="C31" s="25">
        <v>10987</v>
      </c>
      <c r="D31" s="25">
        <v>12962</v>
      </c>
      <c r="E31" s="25">
        <v>14976</v>
      </c>
      <c r="F31" s="25">
        <v>19144</v>
      </c>
      <c r="G31" s="25">
        <v>24766</v>
      </c>
      <c r="H31" s="25">
        <v>26931</v>
      </c>
      <c r="I31" s="25">
        <v>30873</v>
      </c>
      <c r="J31" s="25">
        <v>28950</v>
      </c>
      <c r="K31" s="25">
        <v>31518</v>
      </c>
      <c r="L31" s="25">
        <v>46098</v>
      </c>
      <c r="M31" s="25">
        <v>47280</v>
      </c>
      <c r="N31" s="25">
        <v>45347</v>
      </c>
      <c r="O31" s="25">
        <v>49898</v>
      </c>
      <c r="P31" s="25">
        <v>49464</v>
      </c>
      <c r="Q31" s="25">
        <v>51705</v>
      </c>
      <c r="R31" s="25">
        <v>57773</v>
      </c>
      <c r="S31" s="25">
        <v>61235</v>
      </c>
      <c r="T31" s="25">
        <v>97849</v>
      </c>
      <c r="U31" s="25">
        <v>103232</v>
      </c>
    </row>
    <row r="32" spans="1:21">
      <c r="A32" s="11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</row>
    <row r="33" spans="1:21">
      <c r="A33" s="11" t="s">
        <v>35</v>
      </c>
      <c r="B33" s="25">
        <v>5184</v>
      </c>
      <c r="C33" s="25">
        <v>6029</v>
      </c>
      <c r="D33" s="25">
        <v>6931</v>
      </c>
      <c r="E33" s="25">
        <v>7804</v>
      </c>
      <c r="F33" s="25">
        <v>9120</v>
      </c>
      <c r="G33" s="25">
        <v>10351</v>
      </c>
      <c r="H33" s="25">
        <v>11461</v>
      </c>
      <c r="I33" s="25">
        <v>13024</v>
      </c>
      <c r="J33" s="25">
        <v>14796</v>
      </c>
      <c r="K33" s="25">
        <v>16918</v>
      </c>
      <c r="L33" s="25">
        <v>21296</v>
      </c>
      <c r="M33" s="25">
        <v>25942</v>
      </c>
      <c r="N33" s="25">
        <v>29566</v>
      </c>
      <c r="O33" s="25">
        <v>33384</v>
      </c>
      <c r="P33" s="25">
        <v>38143</v>
      </c>
      <c r="Q33" s="25">
        <v>43073</v>
      </c>
      <c r="R33" s="25">
        <v>47446</v>
      </c>
      <c r="S33" s="25">
        <v>50535</v>
      </c>
      <c r="T33" s="25">
        <v>54994</v>
      </c>
      <c r="U33" s="25">
        <v>59637</v>
      </c>
    </row>
    <row r="34" spans="1:21">
      <c r="A34" s="11" t="s">
        <v>36</v>
      </c>
      <c r="B34" s="25">
        <v>6182</v>
      </c>
      <c r="C34" s="25">
        <v>6809</v>
      </c>
      <c r="D34" s="25">
        <v>7427</v>
      </c>
      <c r="E34" s="25">
        <v>8560</v>
      </c>
      <c r="F34" s="25">
        <v>9949</v>
      </c>
      <c r="G34" s="25">
        <v>11147</v>
      </c>
      <c r="H34" s="25">
        <v>12307</v>
      </c>
      <c r="I34" s="25">
        <v>13623</v>
      </c>
      <c r="J34" s="25">
        <v>14939</v>
      </c>
      <c r="K34" s="25">
        <v>17246</v>
      </c>
      <c r="L34" s="25">
        <v>20987</v>
      </c>
      <c r="M34" s="25">
        <v>24017</v>
      </c>
      <c r="N34" s="25">
        <v>26743</v>
      </c>
      <c r="O34" s="25">
        <v>29096</v>
      </c>
      <c r="P34" s="25">
        <v>32092</v>
      </c>
      <c r="Q34" s="25">
        <v>37679</v>
      </c>
      <c r="R34" s="25">
        <v>42833</v>
      </c>
      <c r="S34" s="25">
        <v>46960</v>
      </c>
      <c r="T34" s="25">
        <v>52942</v>
      </c>
      <c r="U34" s="25">
        <v>57575</v>
      </c>
    </row>
    <row r="35" spans="1:21">
      <c r="A35" s="11" t="s">
        <v>37</v>
      </c>
      <c r="B35" s="25">
        <v>7091</v>
      </c>
      <c r="C35" s="25">
        <v>8011</v>
      </c>
      <c r="D35" s="25">
        <v>9081</v>
      </c>
      <c r="E35" s="25">
        <v>10050</v>
      </c>
      <c r="F35" s="25">
        <v>12906</v>
      </c>
      <c r="G35" s="25">
        <v>14472</v>
      </c>
      <c r="H35" s="25">
        <v>15356</v>
      </c>
      <c r="I35" s="25">
        <v>17229</v>
      </c>
      <c r="J35" s="25">
        <v>19084</v>
      </c>
      <c r="K35" s="25">
        <v>22679</v>
      </c>
      <c r="L35" s="25">
        <v>26166</v>
      </c>
      <c r="M35" s="25">
        <v>30983</v>
      </c>
      <c r="N35" s="25">
        <v>32481</v>
      </c>
      <c r="O35" s="25">
        <v>36121</v>
      </c>
      <c r="P35" s="25">
        <v>41370</v>
      </c>
      <c r="Q35" s="25">
        <v>46483</v>
      </c>
      <c r="R35" s="25">
        <v>51393</v>
      </c>
      <c r="S35" s="25">
        <v>57084</v>
      </c>
      <c r="T35" s="25">
        <v>61090</v>
      </c>
      <c r="U35" s="25">
        <v>66589</v>
      </c>
    </row>
    <row r="36" spans="1:21">
      <c r="A36" s="11" t="s">
        <v>38</v>
      </c>
      <c r="B36" s="25">
        <v>6073</v>
      </c>
      <c r="C36" s="25">
        <v>6822</v>
      </c>
      <c r="D36" s="25">
        <v>7392</v>
      </c>
      <c r="E36" s="25">
        <v>8590</v>
      </c>
      <c r="F36" s="25">
        <v>10442</v>
      </c>
      <c r="G36" s="25">
        <v>11640</v>
      </c>
      <c r="H36" s="25">
        <v>12981</v>
      </c>
      <c r="I36" s="25">
        <v>14620</v>
      </c>
      <c r="J36" s="25">
        <v>17211</v>
      </c>
      <c r="K36" s="25">
        <v>21239</v>
      </c>
      <c r="L36" s="25">
        <v>26210</v>
      </c>
      <c r="M36" s="25">
        <v>30719</v>
      </c>
      <c r="N36" s="25">
        <v>32916</v>
      </c>
      <c r="O36" s="25">
        <v>37166</v>
      </c>
      <c r="P36" s="25">
        <v>42703</v>
      </c>
      <c r="Q36" s="25">
        <v>47436</v>
      </c>
      <c r="R36" s="25">
        <v>50476</v>
      </c>
      <c r="S36" s="25">
        <v>54858</v>
      </c>
      <c r="T36" s="25">
        <v>60380</v>
      </c>
      <c r="U36" s="25">
        <v>65570</v>
      </c>
    </row>
    <row r="37" spans="1:21">
      <c r="A37" s="11" t="s">
        <v>39</v>
      </c>
      <c r="B37" s="25">
        <v>6644</v>
      </c>
      <c r="C37" s="25">
        <v>7121</v>
      </c>
      <c r="D37" s="25">
        <v>7611</v>
      </c>
      <c r="E37" s="25">
        <v>8717</v>
      </c>
      <c r="F37" s="25">
        <v>10278</v>
      </c>
      <c r="G37" s="25">
        <v>11605</v>
      </c>
      <c r="H37" s="25">
        <v>13255</v>
      </c>
      <c r="I37" s="25">
        <v>14484</v>
      </c>
      <c r="J37" s="25">
        <v>15558</v>
      </c>
      <c r="K37" s="25">
        <v>17819</v>
      </c>
      <c r="L37" s="25">
        <v>21434</v>
      </c>
      <c r="M37" s="25">
        <v>24687</v>
      </c>
      <c r="N37" s="25">
        <v>27617</v>
      </c>
      <c r="O37" s="25">
        <v>32003</v>
      </c>
      <c r="P37" s="25">
        <v>38238</v>
      </c>
      <c r="Q37" s="25">
        <v>44576</v>
      </c>
      <c r="R37" s="25">
        <v>49064</v>
      </c>
      <c r="S37" s="25">
        <v>53471</v>
      </c>
      <c r="T37" s="25">
        <v>60117</v>
      </c>
      <c r="U37" s="25">
        <v>63739</v>
      </c>
    </row>
    <row r="38" spans="1:21">
      <c r="A38" s="10"/>
    </row>
  </sheetData>
  <phoneticPr fontId="6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07E12-F444-5F46-A176-2918AE9355B6}">
  <dimension ref="A1:V38"/>
  <sheetViews>
    <sheetView workbookViewId="0">
      <selection sqref="A1:A1048576"/>
    </sheetView>
  </sheetViews>
  <sheetFormatPr baseColWidth="10" defaultRowHeight="16"/>
  <cols>
    <col min="1" max="1" width="19" customWidth="1"/>
  </cols>
  <sheetData>
    <row r="1" spans="1:22" ht="17">
      <c r="A1" s="23" t="s">
        <v>49</v>
      </c>
      <c r="B1" s="8">
        <v>1997</v>
      </c>
      <c r="C1" s="8">
        <v>1998</v>
      </c>
      <c r="D1" s="8">
        <v>1999</v>
      </c>
      <c r="E1" s="8">
        <v>2000</v>
      </c>
      <c r="F1" s="8">
        <v>2001</v>
      </c>
      <c r="G1" s="8">
        <v>2002</v>
      </c>
      <c r="H1" s="8">
        <v>2003</v>
      </c>
      <c r="I1" s="8">
        <v>2004</v>
      </c>
      <c r="J1" s="8">
        <v>2005</v>
      </c>
      <c r="K1" s="8">
        <v>2006</v>
      </c>
      <c r="L1" s="8">
        <v>2007</v>
      </c>
      <c r="M1" s="8">
        <v>2008</v>
      </c>
      <c r="N1" s="8">
        <v>2009</v>
      </c>
      <c r="O1" s="8">
        <v>2010</v>
      </c>
      <c r="P1" s="8">
        <v>2011</v>
      </c>
      <c r="Q1" s="8">
        <v>2012</v>
      </c>
      <c r="R1" s="8">
        <v>2013</v>
      </c>
      <c r="S1" s="8">
        <v>2014</v>
      </c>
      <c r="T1" s="8">
        <v>2015</v>
      </c>
      <c r="U1" s="8">
        <v>2016</v>
      </c>
    </row>
    <row r="2" spans="1:22">
      <c r="A2" s="16" t="s">
        <v>9</v>
      </c>
      <c r="B2" s="25">
        <v>12802</v>
      </c>
      <c r="C2" s="25">
        <v>13328</v>
      </c>
      <c r="D2" s="25">
        <v>14344</v>
      </c>
      <c r="E2" s="25">
        <v>16549</v>
      </c>
      <c r="F2" s="25">
        <v>19557</v>
      </c>
      <c r="G2" s="25">
        <v>23022</v>
      </c>
      <c r="H2" s="25">
        <v>17433</v>
      </c>
      <c r="I2" s="25">
        <v>16735</v>
      </c>
      <c r="J2" s="25">
        <v>18159</v>
      </c>
      <c r="K2" s="25">
        <v>19428</v>
      </c>
      <c r="L2" s="25">
        <v>23521</v>
      </c>
      <c r="M2" s="25">
        <v>24522</v>
      </c>
      <c r="N2" s="25">
        <v>25006</v>
      </c>
      <c r="O2" s="25">
        <v>27625</v>
      </c>
      <c r="P2" s="25">
        <v>34498</v>
      </c>
      <c r="Q2" s="25">
        <v>38838</v>
      </c>
      <c r="R2" s="25">
        <v>43754</v>
      </c>
      <c r="S2" s="25">
        <v>45776</v>
      </c>
      <c r="T2" s="25">
        <v>48613</v>
      </c>
      <c r="U2" s="25">
        <v>52025</v>
      </c>
      <c r="V2" s="25"/>
    </row>
    <row r="3" spans="1:22">
      <c r="A3" s="11" t="s">
        <v>10</v>
      </c>
      <c r="B3" s="25">
        <v>7817</v>
      </c>
      <c r="C3" s="25">
        <v>8964</v>
      </c>
      <c r="D3" s="25">
        <v>9877</v>
      </c>
      <c r="E3" s="25">
        <v>10708</v>
      </c>
      <c r="F3" s="25">
        <v>12824</v>
      </c>
      <c r="G3" s="25">
        <v>14293</v>
      </c>
      <c r="H3" s="25">
        <v>14492</v>
      </c>
      <c r="I3" s="25">
        <v>15467</v>
      </c>
      <c r="J3" s="25">
        <v>18648</v>
      </c>
      <c r="K3" s="25">
        <v>14775</v>
      </c>
      <c r="L3" s="25">
        <v>15428</v>
      </c>
      <c r="M3" s="25">
        <v>21305</v>
      </c>
      <c r="N3" s="25">
        <v>20992</v>
      </c>
      <c r="O3" s="25">
        <v>23529</v>
      </c>
      <c r="P3" s="25">
        <v>26054</v>
      </c>
      <c r="Q3" s="25">
        <v>25518</v>
      </c>
      <c r="R3" s="25">
        <v>30517</v>
      </c>
      <c r="S3" s="25">
        <v>34200</v>
      </c>
      <c r="T3" s="25">
        <v>39631</v>
      </c>
      <c r="U3" s="25">
        <v>41777</v>
      </c>
      <c r="V3" s="25"/>
    </row>
    <row r="4" spans="1:22">
      <c r="A4" s="11" t="s">
        <v>11</v>
      </c>
      <c r="B4" s="25">
        <v>6154</v>
      </c>
      <c r="C4" s="25">
        <v>6418</v>
      </c>
      <c r="D4" s="25">
        <v>7715</v>
      </c>
      <c r="E4" s="25">
        <v>8006</v>
      </c>
      <c r="F4" s="25">
        <v>9195</v>
      </c>
      <c r="G4" s="25">
        <v>9491</v>
      </c>
      <c r="H4" s="25">
        <v>14647</v>
      </c>
      <c r="I4" s="25">
        <v>17386</v>
      </c>
      <c r="J4" s="25">
        <v>18753</v>
      </c>
      <c r="K4" s="25">
        <v>22506</v>
      </c>
      <c r="L4" s="25">
        <v>23838</v>
      </c>
      <c r="M4" s="25">
        <v>29992</v>
      </c>
      <c r="N4" s="25">
        <v>34617</v>
      </c>
      <c r="O4" s="25">
        <v>34932</v>
      </c>
      <c r="P4" s="25">
        <v>40374</v>
      </c>
      <c r="Q4" s="25">
        <v>41946</v>
      </c>
      <c r="R4" s="25">
        <v>28024</v>
      </c>
      <c r="S4" s="25">
        <v>31614</v>
      </c>
      <c r="T4" s="25">
        <v>33368</v>
      </c>
      <c r="U4" s="25">
        <v>35634</v>
      </c>
      <c r="V4" s="25"/>
    </row>
    <row r="5" spans="1:22">
      <c r="A5" s="11" t="s">
        <v>12</v>
      </c>
      <c r="B5" s="25">
        <v>4027</v>
      </c>
      <c r="C5" s="25">
        <v>4415</v>
      </c>
      <c r="D5" s="25">
        <v>4668</v>
      </c>
      <c r="E5" s="25">
        <v>5510</v>
      </c>
      <c r="F5" s="25">
        <v>6208</v>
      </c>
      <c r="G5" s="25">
        <v>7351</v>
      </c>
      <c r="H5" s="25">
        <v>6714</v>
      </c>
      <c r="I5" s="25">
        <v>6785</v>
      </c>
      <c r="J5" s="25">
        <v>11368</v>
      </c>
      <c r="K5" s="25">
        <v>13950</v>
      </c>
      <c r="L5" s="25">
        <v>13413</v>
      </c>
      <c r="M5" s="25">
        <v>15395</v>
      </c>
      <c r="N5" s="25">
        <v>18678</v>
      </c>
      <c r="O5" s="25">
        <v>20623</v>
      </c>
      <c r="P5" s="25">
        <v>22575</v>
      </c>
      <c r="Q5" s="25">
        <v>22565</v>
      </c>
      <c r="R5" s="25">
        <v>27476</v>
      </c>
      <c r="S5" s="25">
        <v>30467</v>
      </c>
      <c r="T5" s="25">
        <v>36933</v>
      </c>
      <c r="U5" s="25">
        <v>36307</v>
      </c>
      <c r="V5" s="25"/>
    </row>
    <row r="6" spans="1:22">
      <c r="A6" s="11" t="s">
        <v>13</v>
      </c>
      <c r="B6" s="25">
        <v>4643</v>
      </c>
      <c r="C6" s="25">
        <v>5147</v>
      </c>
      <c r="D6" s="25">
        <v>5668</v>
      </c>
      <c r="E6" s="25">
        <v>6126</v>
      </c>
      <c r="F6" s="25">
        <v>7077</v>
      </c>
      <c r="G6" s="25">
        <v>8047</v>
      </c>
      <c r="H6" s="25">
        <v>7257</v>
      </c>
      <c r="I6" s="25">
        <v>8347</v>
      </c>
      <c r="J6" s="25">
        <v>10239</v>
      </c>
      <c r="K6" s="25">
        <v>19671</v>
      </c>
      <c r="L6" s="25">
        <v>22495</v>
      </c>
      <c r="M6" s="25">
        <v>27723</v>
      </c>
      <c r="N6" s="25">
        <v>30494</v>
      </c>
      <c r="O6" s="25">
        <v>39550</v>
      </c>
      <c r="P6" s="25">
        <v>43476</v>
      </c>
      <c r="Q6" s="25">
        <v>32844</v>
      </c>
      <c r="R6" s="25">
        <v>36346</v>
      </c>
      <c r="S6" s="25">
        <v>38733</v>
      </c>
      <c r="T6" s="25">
        <v>40348</v>
      </c>
      <c r="U6" s="25">
        <v>38082</v>
      </c>
      <c r="V6" s="25"/>
    </row>
    <row r="7" spans="1:22">
      <c r="A7" s="11"/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</row>
    <row r="8" spans="1:22">
      <c r="A8" s="11" t="s">
        <v>14</v>
      </c>
      <c r="B8" s="25">
        <v>6212</v>
      </c>
      <c r="C8" s="25">
        <v>6811</v>
      </c>
      <c r="D8" s="25">
        <v>7555</v>
      </c>
      <c r="E8" s="25">
        <v>8080</v>
      </c>
      <c r="F8" s="25">
        <v>9399</v>
      </c>
      <c r="G8" s="25">
        <v>10952</v>
      </c>
      <c r="H8" s="25">
        <v>9804</v>
      </c>
      <c r="I8" s="25">
        <v>11461</v>
      </c>
      <c r="J8" s="25">
        <v>13274</v>
      </c>
      <c r="K8" s="25">
        <v>15524</v>
      </c>
      <c r="L8" s="25">
        <v>15919</v>
      </c>
      <c r="M8" s="25">
        <v>18338</v>
      </c>
      <c r="N8" s="25">
        <v>21408</v>
      </c>
      <c r="O8" s="25">
        <v>25101</v>
      </c>
      <c r="P8" s="25">
        <v>28378</v>
      </c>
      <c r="Q8" s="25">
        <v>32718</v>
      </c>
      <c r="R8" s="25">
        <v>34562</v>
      </c>
      <c r="S8" s="25">
        <v>34864</v>
      </c>
      <c r="T8" s="25">
        <v>36726</v>
      </c>
      <c r="U8" s="25">
        <v>39022</v>
      </c>
      <c r="V8" s="25"/>
    </row>
    <row r="9" spans="1:22">
      <c r="A9" s="11" t="s">
        <v>15</v>
      </c>
      <c r="B9" s="25">
        <v>6383</v>
      </c>
      <c r="C9" s="25">
        <v>6642</v>
      </c>
      <c r="D9" s="25">
        <v>7139</v>
      </c>
      <c r="E9" s="25">
        <v>8484</v>
      </c>
      <c r="F9" s="25">
        <v>9164</v>
      </c>
      <c r="G9" s="25">
        <v>10071</v>
      </c>
      <c r="H9" s="25">
        <v>12335</v>
      </c>
      <c r="I9" s="25">
        <v>11454</v>
      </c>
      <c r="J9" s="25">
        <v>11396</v>
      </c>
      <c r="K9" s="25">
        <v>14479</v>
      </c>
      <c r="L9" s="25">
        <v>12995</v>
      </c>
      <c r="M9" s="25">
        <v>13479</v>
      </c>
      <c r="N9" s="25">
        <v>16190</v>
      </c>
      <c r="O9" s="25">
        <v>17511</v>
      </c>
      <c r="P9" s="25">
        <v>27373</v>
      </c>
      <c r="Q9" s="25">
        <v>31513</v>
      </c>
      <c r="R9" s="25">
        <v>28343</v>
      </c>
      <c r="S9" s="25">
        <v>32385</v>
      </c>
      <c r="T9" s="25">
        <v>31535</v>
      </c>
      <c r="U9" s="25">
        <v>32797</v>
      </c>
      <c r="V9" s="25"/>
    </row>
    <row r="10" spans="1:22">
      <c r="A10" s="11" t="s">
        <v>16</v>
      </c>
      <c r="B10" s="25">
        <v>4968</v>
      </c>
      <c r="C10" s="25">
        <v>5997</v>
      </c>
      <c r="D10" s="25">
        <v>6627</v>
      </c>
      <c r="E10" s="25">
        <v>7650</v>
      </c>
      <c r="F10" s="25">
        <v>8419</v>
      </c>
      <c r="G10" s="25">
        <v>8785</v>
      </c>
      <c r="H10" s="25">
        <v>6330</v>
      </c>
      <c r="I10" s="25">
        <v>11754</v>
      </c>
      <c r="J10" s="25">
        <v>13062</v>
      </c>
      <c r="K10" s="25">
        <v>13653</v>
      </c>
      <c r="L10" s="25">
        <v>15613</v>
      </c>
      <c r="M10" s="25">
        <v>21807</v>
      </c>
      <c r="N10" s="25">
        <v>25848</v>
      </c>
      <c r="O10" s="25">
        <v>29803</v>
      </c>
      <c r="P10" s="25">
        <v>35488</v>
      </c>
      <c r="Q10" s="25">
        <v>42918</v>
      </c>
      <c r="R10" s="25">
        <v>49101</v>
      </c>
      <c r="S10" s="25">
        <v>52333</v>
      </c>
      <c r="T10" s="25">
        <v>50275</v>
      </c>
      <c r="U10" s="25">
        <v>55411</v>
      </c>
      <c r="V10" s="25"/>
    </row>
    <row r="11" spans="1:22">
      <c r="A11" s="11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</row>
    <row r="12" spans="1:22">
      <c r="A12" s="11" t="s">
        <v>17</v>
      </c>
      <c r="B12" s="25">
        <v>10736</v>
      </c>
      <c r="C12" s="25">
        <v>12115</v>
      </c>
      <c r="D12" s="25">
        <v>14582</v>
      </c>
      <c r="E12" s="25">
        <v>15451</v>
      </c>
      <c r="F12" s="25">
        <v>16778</v>
      </c>
      <c r="G12" s="25">
        <v>18811</v>
      </c>
      <c r="H12" s="25">
        <v>18542</v>
      </c>
      <c r="I12" s="25">
        <v>19947</v>
      </c>
      <c r="J12" s="25">
        <v>20338</v>
      </c>
      <c r="K12" s="25">
        <v>20762</v>
      </c>
      <c r="L12" s="25">
        <v>24712</v>
      </c>
      <c r="M12" s="25">
        <v>17975</v>
      </c>
      <c r="N12" s="25">
        <v>30875</v>
      </c>
      <c r="O12" s="25">
        <v>35226</v>
      </c>
      <c r="P12" s="25">
        <v>43413</v>
      </c>
      <c r="Q12" s="25">
        <v>43525</v>
      </c>
      <c r="R12" s="25">
        <v>54276</v>
      </c>
      <c r="S12" s="25">
        <v>59289</v>
      </c>
      <c r="T12" s="25">
        <v>62576</v>
      </c>
      <c r="U12" s="25">
        <v>66280</v>
      </c>
      <c r="V12" s="25"/>
    </row>
    <row r="13" spans="1:22">
      <c r="A13" s="11" t="s">
        <v>18</v>
      </c>
      <c r="B13" s="25">
        <v>8252</v>
      </c>
      <c r="C13" s="25">
        <v>9263</v>
      </c>
      <c r="D13" s="25">
        <v>10350</v>
      </c>
      <c r="E13" s="25">
        <v>11275</v>
      </c>
      <c r="F13" s="25">
        <v>12670</v>
      </c>
      <c r="G13" s="25">
        <v>14212</v>
      </c>
      <c r="H13" s="25">
        <v>16735</v>
      </c>
      <c r="I13" s="25">
        <v>18866</v>
      </c>
      <c r="J13" s="25">
        <v>22411</v>
      </c>
      <c r="K13" s="25">
        <v>20691</v>
      </c>
      <c r="L13" s="25">
        <v>23387</v>
      </c>
      <c r="M13" s="25">
        <v>25993</v>
      </c>
      <c r="N13" s="25">
        <v>28502</v>
      </c>
      <c r="O13" s="25">
        <v>34349</v>
      </c>
      <c r="P13" s="25">
        <v>41160</v>
      </c>
      <c r="Q13" s="25">
        <v>45981</v>
      </c>
      <c r="R13" s="25">
        <v>45774</v>
      </c>
      <c r="S13" s="25">
        <v>49159</v>
      </c>
      <c r="T13" s="25">
        <v>54116</v>
      </c>
      <c r="U13" s="25">
        <v>57905</v>
      </c>
      <c r="V13" s="25"/>
    </row>
    <row r="14" spans="1:22">
      <c r="A14" s="11" t="s">
        <v>19</v>
      </c>
      <c r="B14" s="25">
        <v>9133</v>
      </c>
      <c r="C14" s="25">
        <v>10008</v>
      </c>
      <c r="D14" s="25">
        <v>10949</v>
      </c>
      <c r="E14" s="25">
        <v>12209</v>
      </c>
      <c r="F14" s="25">
        <v>14566</v>
      </c>
      <c r="G14" s="25">
        <v>16020</v>
      </c>
      <c r="H14" s="25">
        <v>19269</v>
      </c>
      <c r="I14" s="25">
        <v>22074</v>
      </c>
      <c r="J14" s="25">
        <v>23834</v>
      </c>
      <c r="K14" s="25">
        <v>24288</v>
      </c>
      <c r="L14" s="25">
        <v>30225</v>
      </c>
      <c r="M14" s="25">
        <v>30798</v>
      </c>
      <c r="N14" s="25">
        <v>29586</v>
      </c>
      <c r="O14" s="25">
        <v>35127</v>
      </c>
      <c r="P14" s="25">
        <v>39230</v>
      </c>
      <c r="Q14" s="25">
        <v>42613</v>
      </c>
      <c r="R14" s="25">
        <v>44727</v>
      </c>
      <c r="S14" s="25">
        <v>46508</v>
      </c>
      <c r="T14" s="25">
        <v>48471</v>
      </c>
      <c r="U14" s="25">
        <v>58157</v>
      </c>
      <c r="V14" s="25"/>
    </row>
    <row r="15" spans="1:22">
      <c r="A15" s="11" t="s">
        <v>20</v>
      </c>
      <c r="B15" s="25">
        <v>5018</v>
      </c>
      <c r="C15" s="25">
        <v>5369</v>
      </c>
      <c r="D15" s="25">
        <v>5630</v>
      </c>
      <c r="E15" s="25">
        <v>6377</v>
      </c>
      <c r="F15" s="25">
        <v>7202</v>
      </c>
      <c r="G15" s="25">
        <v>8187</v>
      </c>
      <c r="H15" s="25">
        <v>7600</v>
      </c>
      <c r="I15" s="25">
        <v>11246</v>
      </c>
      <c r="J15" s="25">
        <v>13981</v>
      </c>
      <c r="K15" s="25">
        <v>14919</v>
      </c>
      <c r="L15" s="25">
        <v>17463</v>
      </c>
      <c r="M15" s="25">
        <v>20156</v>
      </c>
      <c r="N15" s="25">
        <v>19180</v>
      </c>
      <c r="O15" s="25">
        <v>23258</v>
      </c>
      <c r="P15" s="25">
        <v>27929</v>
      </c>
      <c r="Q15" s="25">
        <v>35602</v>
      </c>
      <c r="R15" s="25">
        <v>37074</v>
      </c>
      <c r="S15" s="25">
        <v>38091</v>
      </c>
      <c r="T15" s="25">
        <v>41690</v>
      </c>
      <c r="U15" s="25">
        <v>44353</v>
      </c>
      <c r="V15" s="25"/>
    </row>
    <row r="16" spans="1:22">
      <c r="A16" s="11" t="s">
        <v>21</v>
      </c>
      <c r="B16" s="25">
        <v>8037</v>
      </c>
      <c r="C16" s="25">
        <v>8606</v>
      </c>
      <c r="D16" s="25">
        <v>9295</v>
      </c>
      <c r="E16" s="25">
        <v>10380</v>
      </c>
      <c r="F16" s="25">
        <v>11674</v>
      </c>
      <c r="G16" s="25">
        <v>12522</v>
      </c>
      <c r="H16" s="25">
        <v>15009</v>
      </c>
      <c r="I16" s="25">
        <v>15952</v>
      </c>
      <c r="J16" s="25">
        <v>15707</v>
      </c>
      <c r="K16" s="25">
        <v>17669</v>
      </c>
      <c r="L16" s="25">
        <v>19565</v>
      </c>
      <c r="M16" s="25">
        <v>22648</v>
      </c>
      <c r="N16" s="25">
        <v>27430</v>
      </c>
      <c r="O16" s="25">
        <v>33977</v>
      </c>
      <c r="P16" s="25">
        <v>35808</v>
      </c>
      <c r="Q16" s="25">
        <v>34320</v>
      </c>
      <c r="R16" s="25">
        <v>38689</v>
      </c>
      <c r="S16" s="25">
        <v>44215</v>
      </c>
      <c r="T16" s="25">
        <v>46396</v>
      </c>
      <c r="U16" s="25">
        <v>48040</v>
      </c>
      <c r="V16" s="25"/>
    </row>
    <row r="17" spans="1:22">
      <c r="A17" s="11" t="s">
        <v>22</v>
      </c>
      <c r="B17" s="25">
        <v>4836</v>
      </c>
      <c r="C17" s="25">
        <v>4900</v>
      </c>
      <c r="D17" s="25">
        <v>6088</v>
      </c>
      <c r="E17" s="25">
        <v>6580</v>
      </c>
      <c r="F17" s="25">
        <v>7507</v>
      </c>
      <c r="G17" s="25">
        <v>8527</v>
      </c>
      <c r="H17" s="25">
        <v>8152</v>
      </c>
      <c r="I17" s="25">
        <v>9239</v>
      </c>
      <c r="J17" s="25">
        <v>9460</v>
      </c>
      <c r="K17" s="25">
        <v>11569</v>
      </c>
      <c r="L17" s="25">
        <v>13149</v>
      </c>
      <c r="M17" s="25">
        <v>17444</v>
      </c>
      <c r="N17" s="25">
        <v>20053</v>
      </c>
      <c r="O17" s="25">
        <v>22375</v>
      </c>
      <c r="P17" s="25">
        <v>29392</v>
      </c>
      <c r="Q17" s="25">
        <v>27611</v>
      </c>
      <c r="R17" s="25">
        <v>31840</v>
      </c>
      <c r="S17" s="25">
        <v>42678</v>
      </c>
      <c r="T17" s="25">
        <v>44908</v>
      </c>
      <c r="U17" s="25">
        <v>51631</v>
      </c>
      <c r="V17" s="25"/>
    </row>
    <row r="18" spans="1:22">
      <c r="A18" s="11" t="s">
        <v>23</v>
      </c>
      <c r="B18" s="25">
        <v>6210</v>
      </c>
      <c r="C18" s="25">
        <v>6756</v>
      </c>
      <c r="D18" s="25">
        <v>7656</v>
      </c>
      <c r="E18" s="25">
        <v>8733</v>
      </c>
      <c r="F18" s="25">
        <v>9865</v>
      </c>
      <c r="G18" s="25">
        <v>10997</v>
      </c>
      <c r="H18" s="25">
        <v>11633</v>
      </c>
      <c r="I18" s="25">
        <v>13238</v>
      </c>
      <c r="J18" s="25">
        <v>24511</v>
      </c>
      <c r="K18" s="25">
        <v>25080</v>
      </c>
      <c r="L18" s="25">
        <v>27313</v>
      </c>
      <c r="M18" s="25">
        <v>31777</v>
      </c>
      <c r="N18" s="25">
        <v>29853</v>
      </c>
      <c r="O18" s="25">
        <v>32461</v>
      </c>
      <c r="P18" s="25">
        <v>45264</v>
      </c>
      <c r="Q18" s="25">
        <v>45588</v>
      </c>
      <c r="R18" s="25">
        <v>38233</v>
      </c>
      <c r="S18" s="25">
        <v>40300</v>
      </c>
      <c r="T18" s="25">
        <v>42675</v>
      </c>
      <c r="U18" s="25">
        <v>44511</v>
      </c>
      <c r="V18" s="25"/>
    </row>
    <row r="19" spans="1:22">
      <c r="A19" s="11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</row>
    <row r="20" spans="1:22">
      <c r="A20" s="11" t="s">
        <v>24</v>
      </c>
      <c r="B20" s="25">
        <v>5045</v>
      </c>
      <c r="C20" s="25">
        <v>5482</v>
      </c>
      <c r="D20" s="25">
        <v>5965</v>
      </c>
      <c r="E20" s="25">
        <v>6468</v>
      </c>
      <c r="F20" s="25">
        <v>7858</v>
      </c>
      <c r="G20" s="25">
        <v>8268</v>
      </c>
      <c r="H20" s="25">
        <v>9217</v>
      </c>
      <c r="I20" s="25">
        <v>9323</v>
      </c>
      <c r="J20" s="25">
        <v>10644</v>
      </c>
      <c r="K20" s="25">
        <v>15159</v>
      </c>
      <c r="L20" s="25">
        <v>15834</v>
      </c>
      <c r="M20" s="25">
        <v>16818</v>
      </c>
      <c r="N20" s="25">
        <v>21542</v>
      </c>
      <c r="O20" s="25">
        <v>23650</v>
      </c>
      <c r="P20" s="25">
        <v>25338</v>
      </c>
      <c r="Q20" s="25">
        <v>29170</v>
      </c>
      <c r="R20" s="25">
        <v>27878</v>
      </c>
      <c r="S20" s="25">
        <v>30482</v>
      </c>
      <c r="T20" s="25">
        <v>33857</v>
      </c>
      <c r="U20" s="25">
        <v>36848</v>
      </c>
      <c r="V20" s="25"/>
    </row>
    <row r="21" spans="1:22">
      <c r="A21" s="11" t="s">
        <v>25</v>
      </c>
      <c r="B21" s="25">
        <v>5584</v>
      </c>
      <c r="C21" s="25">
        <v>6433</v>
      </c>
      <c r="D21" s="25">
        <v>7010</v>
      </c>
      <c r="E21" s="25">
        <v>7337</v>
      </c>
      <c r="F21" s="25">
        <v>8133</v>
      </c>
      <c r="G21" s="25">
        <v>8526</v>
      </c>
      <c r="H21" s="25">
        <v>8941</v>
      </c>
      <c r="I21" s="25">
        <v>9958</v>
      </c>
      <c r="J21" s="25">
        <v>15239</v>
      </c>
      <c r="K21" s="25">
        <v>15088</v>
      </c>
      <c r="L21" s="25">
        <v>16049</v>
      </c>
      <c r="M21" s="25">
        <v>18295</v>
      </c>
      <c r="N21" s="25">
        <v>22387</v>
      </c>
      <c r="O21" s="25">
        <v>26086</v>
      </c>
      <c r="P21" s="25">
        <v>29296</v>
      </c>
      <c r="Q21" s="25">
        <v>30299</v>
      </c>
      <c r="R21" s="25">
        <v>31492</v>
      </c>
      <c r="S21" s="25">
        <v>37433</v>
      </c>
      <c r="T21" s="25">
        <v>39309</v>
      </c>
      <c r="U21" s="25">
        <v>43921</v>
      </c>
      <c r="V21" s="25"/>
    </row>
    <row r="22" spans="1:22">
      <c r="A22" s="11" t="s">
        <v>26</v>
      </c>
      <c r="B22" s="25">
        <v>5702</v>
      </c>
      <c r="C22" s="25">
        <v>6599</v>
      </c>
      <c r="D22" s="25">
        <v>7225</v>
      </c>
      <c r="E22" s="25">
        <v>7842</v>
      </c>
      <c r="F22" s="25">
        <v>9006</v>
      </c>
      <c r="G22" s="25">
        <v>9820</v>
      </c>
      <c r="H22" s="25">
        <v>11274</v>
      </c>
      <c r="I22" s="25">
        <v>14140</v>
      </c>
      <c r="J22" s="25">
        <v>14307</v>
      </c>
      <c r="K22" s="25">
        <v>15374</v>
      </c>
      <c r="L22" s="25">
        <v>18961</v>
      </c>
      <c r="M22" s="25">
        <v>20629</v>
      </c>
      <c r="N22" s="25">
        <v>22865</v>
      </c>
      <c r="O22" s="25">
        <v>23740</v>
      </c>
      <c r="P22" s="25">
        <v>31027</v>
      </c>
      <c r="Q22" s="25">
        <v>35554</v>
      </c>
      <c r="R22" s="25">
        <v>34523</v>
      </c>
      <c r="S22" s="25">
        <v>39471</v>
      </c>
      <c r="T22" s="25">
        <v>42499</v>
      </c>
      <c r="U22" s="25">
        <v>45946</v>
      </c>
      <c r="V22" s="25"/>
    </row>
    <row r="23" spans="1:22">
      <c r="A23" s="11" t="s">
        <v>27</v>
      </c>
      <c r="B23" s="25">
        <v>12406</v>
      </c>
      <c r="C23" s="25">
        <v>13527</v>
      </c>
      <c r="D23" s="25">
        <v>14636</v>
      </c>
      <c r="E23" s="25">
        <v>15967</v>
      </c>
      <c r="F23" s="25">
        <v>17769</v>
      </c>
      <c r="G23" s="25">
        <v>19217</v>
      </c>
      <c r="H23" s="25">
        <v>17832</v>
      </c>
      <c r="I23" s="25">
        <v>19665</v>
      </c>
      <c r="J23" s="25">
        <v>19755</v>
      </c>
      <c r="K23" s="25">
        <v>22512</v>
      </c>
      <c r="L23" s="25">
        <v>24172</v>
      </c>
      <c r="M23" s="25">
        <v>26982</v>
      </c>
      <c r="N23" s="25">
        <v>27343</v>
      </c>
      <c r="O23" s="25">
        <v>29956</v>
      </c>
      <c r="P23" s="25">
        <v>33954</v>
      </c>
      <c r="Q23" s="25">
        <v>36844</v>
      </c>
      <c r="R23" s="25">
        <v>42187</v>
      </c>
      <c r="S23" s="25">
        <v>44896</v>
      </c>
      <c r="T23" s="25">
        <v>47483</v>
      </c>
      <c r="U23" s="25">
        <v>49297</v>
      </c>
      <c r="V23" s="25"/>
    </row>
    <row r="24" spans="1:22">
      <c r="A24" s="11" t="s">
        <v>28</v>
      </c>
      <c r="B24" s="25">
        <v>6015</v>
      </c>
      <c r="C24" s="25">
        <v>6770</v>
      </c>
      <c r="D24" s="25">
        <v>7167</v>
      </c>
      <c r="E24" s="25">
        <v>7806</v>
      </c>
      <c r="F24" s="25">
        <v>8677</v>
      </c>
      <c r="G24" s="25">
        <v>9543</v>
      </c>
      <c r="H24" s="25">
        <v>12021</v>
      </c>
      <c r="I24" s="25">
        <v>12090</v>
      </c>
      <c r="J24" s="25">
        <v>12026</v>
      </c>
      <c r="K24" s="25">
        <v>14930</v>
      </c>
      <c r="L24" s="25">
        <v>15124</v>
      </c>
      <c r="M24" s="25">
        <v>18582</v>
      </c>
      <c r="N24" s="25">
        <v>22235</v>
      </c>
      <c r="O24" s="25">
        <v>21791</v>
      </c>
      <c r="P24" s="25">
        <v>24978</v>
      </c>
      <c r="Q24" s="25">
        <v>28566</v>
      </c>
      <c r="R24" s="25">
        <v>34921</v>
      </c>
      <c r="S24" s="25">
        <v>37218</v>
      </c>
      <c r="T24" s="25">
        <v>43299</v>
      </c>
      <c r="U24" s="25">
        <v>45729</v>
      </c>
      <c r="V24" s="25"/>
    </row>
    <row r="25" spans="1:22">
      <c r="A25" s="11" t="s">
        <v>29</v>
      </c>
      <c r="B25" s="25">
        <v>6925</v>
      </c>
      <c r="C25" s="25">
        <v>7190</v>
      </c>
      <c r="D25" s="25">
        <v>7781</v>
      </c>
      <c r="E25" s="25">
        <v>8244</v>
      </c>
      <c r="F25" s="25">
        <v>8964</v>
      </c>
      <c r="G25" s="25">
        <v>9517</v>
      </c>
      <c r="H25" s="25">
        <v>12538</v>
      </c>
      <c r="I25" s="25">
        <v>13259</v>
      </c>
      <c r="J25" s="25">
        <v>16075</v>
      </c>
      <c r="K25" s="25">
        <v>15918</v>
      </c>
      <c r="L25" s="25">
        <v>14657</v>
      </c>
      <c r="M25" s="25">
        <v>18233</v>
      </c>
      <c r="N25" s="25">
        <v>21192</v>
      </c>
      <c r="O25" s="25">
        <v>20526</v>
      </c>
      <c r="P25" s="25">
        <v>23229</v>
      </c>
      <c r="Q25" s="25">
        <v>25199</v>
      </c>
      <c r="R25" s="25">
        <v>28983</v>
      </c>
      <c r="S25" s="25">
        <v>27880</v>
      </c>
      <c r="T25" s="25">
        <v>29606</v>
      </c>
      <c r="U25" s="25">
        <v>39352</v>
      </c>
      <c r="V25" s="25"/>
    </row>
    <row r="26" spans="1:22">
      <c r="A26" s="11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</row>
    <row r="27" spans="1:22">
      <c r="A27" s="11" t="s">
        <v>30</v>
      </c>
      <c r="B27" s="25">
        <v>5529</v>
      </c>
      <c r="C27" s="25">
        <v>6205</v>
      </c>
      <c r="D27" s="25">
        <v>6803</v>
      </c>
      <c r="E27" s="25">
        <v>7476</v>
      </c>
      <c r="F27" s="25">
        <v>8550</v>
      </c>
      <c r="G27" s="25">
        <v>9758</v>
      </c>
      <c r="H27" s="25">
        <v>12920</v>
      </c>
      <c r="I27" s="25">
        <v>12187</v>
      </c>
      <c r="J27" s="25">
        <v>13530</v>
      </c>
      <c r="K27" s="25">
        <v>15100</v>
      </c>
      <c r="L27" s="25">
        <v>19637</v>
      </c>
      <c r="M27" s="25">
        <v>19217</v>
      </c>
      <c r="N27" s="25">
        <v>22446</v>
      </c>
      <c r="O27" s="25">
        <v>26049</v>
      </c>
      <c r="P27" s="25">
        <v>28253</v>
      </c>
      <c r="Q27" s="25">
        <v>31991</v>
      </c>
      <c r="R27" s="25">
        <v>35535</v>
      </c>
      <c r="S27" s="25">
        <v>40900</v>
      </c>
      <c r="T27" s="25">
        <v>42910</v>
      </c>
      <c r="U27" s="25">
        <v>46015</v>
      </c>
      <c r="V27" s="25"/>
    </row>
    <row r="28" spans="1:22">
      <c r="A28" s="11" t="s">
        <v>31</v>
      </c>
      <c r="B28" s="25">
        <v>5535</v>
      </c>
      <c r="C28" s="25">
        <v>6390</v>
      </c>
      <c r="D28" s="25">
        <v>7392</v>
      </c>
      <c r="E28" s="25">
        <v>8170</v>
      </c>
      <c r="F28" s="25">
        <v>9456</v>
      </c>
      <c r="G28" s="25">
        <v>10621</v>
      </c>
      <c r="H28" s="25">
        <v>13180</v>
      </c>
      <c r="I28" s="25">
        <v>13960</v>
      </c>
      <c r="J28" s="25">
        <v>18309</v>
      </c>
      <c r="K28" s="25">
        <v>17605</v>
      </c>
      <c r="L28" s="25">
        <v>22115</v>
      </c>
      <c r="M28" s="25">
        <v>18493</v>
      </c>
      <c r="N28" s="25">
        <v>21319</v>
      </c>
      <c r="O28" s="25">
        <v>24029</v>
      </c>
      <c r="P28" s="25">
        <v>29688</v>
      </c>
      <c r="Q28" s="25">
        <v>32815</v>
      </c>
      <c r="R28" s="25">
        <v>36253</v>
      </c>
      <c r="S28" s="25">
        <v>39203</v>
      </c>
      <c r="T28" s="25">
        <v>44212</v>
      </c>
      <c r="U28" s="25">
        <v>47806</v>
      </c>
      <c r="V28" s="25"/>
    </row>
    <row r="29" spans="1:22">
      <c r="A29" s="11" t="s">
        <v>32</v>
      </c>
      <c r="B29" s="25">
        <v>4533</v>
      </c>
      <c r="C29" s="25">
        <v>5314</v>
      </c>
      <c r="D29" s="25">
        <v>6167</v>
      </c>
      <c r="E29" s="25">
        <v>7274</v>
      </c>
      <c r="F29" s="25">
        <v>8556</v>
      </c>
      <c r="G29" s="25">
        <v>9072</v>
      </c>
      <c r="H29" s="25">
        <v>8455</v>
      </c>
      <c r="I29" s="25">
        <v>9729</v>
      </c>
      <c r="J29" s="25">
        <v>9055</v>
      </c>
      <c r="K29" s="25">
        <v>10484</v>
      </c>
      <c r="L29" s="25">
        <v>15228</v>
      </c>
      <c r="M29" s="25">
        <v>13591</v>
      </c>
      <c r="N29" s="25">
        <v>21268</v>
      </c>
      <c r="O29" s="25">
        <v>21966</v>
      </c>
      <c r="P29" s="25">
        <v>26772</v>
      </c>
      <c r="Q29" s="25">
        <v>28224</v>
      </c>
      <c r="R29" s="25">
        <v>28437</v>
      </c>
      <c r="S29" s="25">
        <v>34214</v>
      </c>
      <c r="T29" s="25">
        <v>35528</v>
      </c>
      <c r="U29" s="25">
        <v>38246</v>
      </c>
      <c r="V29" s="25"/>
    </row>
    <row r="30" spans="1:22">
      <c r="A30" s="11" t="s">
        <v>33</v>
      </c>
      <c r="B30" s="25">
        <v>6522</v>
      </c>
      <c r="C30" s="25">
        <v>7125</v>
      </c>
      <c r="D30" s="25">
        <v>7912</v>
      </c>
      <c r="E30" s="25">
        <v>8404</v>
      </c>
      <c r="F30" s="25">
        <v>8951</v>
      </c>
      <c r="G30" s="25">
        <v>9892</v>
      </c>
      <c r="H30" s="25">
        <v>10954</v>
      </c>
      <c r="I30" s="25">
        <v>11008</v>
      </c>
      <c r="J30" s="25">
        <v>11521</v>
      </c>
      <c r="K30" s="25">
        <v>12380</v>
      </c>
      <c r="L30" s="25">
        <v>12927</v>
      </c>
      <c r="M30" s="25">
        <v>16459</v>
      </c>
      <c r="N30" s="25">
        <v>17035</v>
      </c>
      <c r="O30" s="25">
        <v>18340</v>
      </c>
      <c r="P30" s="25">
        <v>22660</v>
      </c>
      <c r="Q30" s="25">
        <v>26146</v>
      </c>
      <c r="R30" s="25">
        <v>30000</v>
      </c>
      <c r="S30" s="25">
        <v>32696</v>
      </c>
      <c r="T30" s="25">
        <v>37319</v>
      </c>
      <c r="U30" s="25">
        <v>38581</v>
      </c>
      <c r="V30" s="25"/>
    </row>
    <row r="31" spans="1:22">
      <c r="A31" s="11" t="s">
        <v>34</v>
      </c>
      <c r="B31" s="25">
        <v>8751</v>
      </c>
      <c r="C31" s="25">
        <v>9181</v>
      </c>
      <c r="D31" s="25">
        <v>9580</v>
      </c>
      <c r="E31" s="25">
        <v>10045</v>
      </c>
      <c r="F31" s="25">
        <v>12075</v>
      </c>
      <c r="G31" s="25">
        <v>16151</v>
      </c>
      <c r="H31" s="25">
        <v>29909</v>
      </c>
      <c r="I31" s="25">
        <v>32645</v>
      </c>
      <c r="J31" s="25">
        <v>26571</v>
      </c>
      <c r="K31" s="25">
        <v>28156</v>
      </c>
      <c r="L31" s="25">
        <v>37656</v>
      </c>
      <c r="M31" s="25">
        <v>32938</v>
      </c>
      <c r="N31" s="25">
        <v>42678</v>
      </c>
      <c r="O31" s="25">
        <v>44509</v>
      </c>
      <c r="P31" s="25">
        <v>52616</v>
      </c>
      <c r="Q31" s="25">
        <v>25586</v>
      </c>
      <c r="R31" s="25">
        <v>34467</v>
      </c>
      <c r="S31" s="25">
        <v>42638</v>
      </c>
      <c r="T31" s="25">
        <v>43823</v>
      </c>
      <c r="U31" s="25">
        <v>48985</v>
      </c>
      <c r="V31" s="25"/>
    </row>
    <row r="32" spans="1:22">
      <c r="A32" s="11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</row>
    <row r="33" spans="1:22">
      <c r="A33" s="11" t="s">
        <v>35</v>
      </c>
      <c r="B33" s="25">
        <v>4870</v>
      </c>
      <c r="C33" s="25">
        <v>5451</v>
      </c>
      <c r="D33" s="25">
        <v>6169</v>
      </c>
      <c r="E33" s="25">
        <v>7208</v>
      </c>
      <c r="F33" s="25">
        <v>8392</v>
      </c>
      <c r="G33" s="25">
        <v>10284</v>
      </c>
      <c r="H33" s="25">
        <v>9076</v>
      </c>
      <c r="I33" s="25">
        <v>9922</v>
      </c>
      <c r="J33" s="25">
        <v>11263</v>
      </c>
      <c r="K33" s="25">
        <v>12820</v>
      </c>
      <c r="L33" s="25">
        <v>21457</v>
      </c>
      <c r="M33" s="25">
        <v>25160</v>
      </c>
      <c r="N33" s="25">
        <v>23506</v>
      </c>
      <c r="O33" s="25">
        <v>26147</v>
      </c>
      <c r="P33" s="25">
        <v>24562</v>
      </c>
      <c r="Q33" s="25">
        <v>26762</v>
      </c>
      <c r="R33" s="25">
        <v>32047</v>
      </c>
      <c r="S33" s="25">
        <v>32890</v>
      </c>
      <c r="T33" s="25">
        <v>36733</v>
      </c>
      <c r="U33" s="25">
        <v>38405</v>
      </c>
      <c r="V33" s="25"/>
    </row>
    <row r="34" spans="1:22">
      <c r="A34" s="11" t="s">
        <v>36</v>
      </c>
      <c r="B34" s="25">
        <v>5166</v>
      </c>
      <c r="C34" s="25">
        <v>5756</v>
      </c>
      <c r="D34" s="25">
        <v>6564</v>
      </c>
      <c r="E34" s="25">
        <v>7279</v>
      </c>
      <c r="F34" s="25">
        <v>8366</v>
      </c>
      <c r="G34" s="25">
        <v>9289</v>
      </c>
      <c r="H34" s="25">
        <v>10629</v>
      </c>
      <c r="I34" s="25">
        <v>10360</v>
      </c>
      <c r="J34" s="25">
        <v>10766</v>
      </c>
      <c r="K34" s="25">
        <v>20252</v>
      </c>
      <c r="L34" s="25">
        <v>17934</v>
      </c>
      <c r="M34" s="25">
        <v>21719</v>
      </c>
      <c r="N34" s="25">
        <v>19559</v>
      </c>
      <c r="O34" s="25">
        <v>21384</v>
      </c>
      <c r="P34" s="25">
        <v>22916</v>
      </c>
      <c r="Q34" s="25">
        <v>24604</v>
      </c>
      <c r="R34" s="25">
        <v>27199</v>
      </c>
      <c r="S34" s="25">
        <v>32779</v>
      </c>
      <c r="T34" s="25">
        <v>41777</v>
      </c>
      <c r="U34" s="25">
        <v>38823</v>
      </c>
      <c r="V34" s="25"/>
    </row>
    <row r="35" spans="1:22">
      <c r="A35" s="11" t="s">
        <v>37</v>
      </c>
      <c r="B35" s="25">
        <v>5541</v>
      </c>
      <c r="C35" s="25">
        <v>5537</v>
      </c>
      <c r="D35" s="25">
        <v>6034</v>
      </c>
      <c r="E35" s="25">
        <v>6979</v>
      </c>
      <c r="F35" s="25">
        <v>8692</v>
      </c>
      <c r="G35" s="25">
        <v>9712</v>
      </c>
      <c r="H35" s="25">
        <v>13188</v>
      </c>
      <c r="I35" s="25">
        <v>14705</v>
      </c>
      <c r="J35" s="25">
        <v>31780</v>
      </c>
      <c r="K35" s="25">
        <v>48111</v>
      </c>
      <c r="L35" s="25">
        <v>26884</v>
      </c>
      <c r="M35" s="25">
        <v>45740</v>
      </c>
      <c r="N35" s="25">
        <v>30093</v>
      </c>
      <c r="O35" s="25">
        <v>32969</v>
      </c>
      <c r="P35" s="25">
        <v>35573</v>
      </c>
      <c r="Q35" s="25">
        <v>38722</v>
      </c>
      <c r="R35" s="25">
        <v>27848</v>
      </c>
      <c r="S35" s="25">
        <v>33526</v>
      </c>
      <c r="T35" s="25">
        <v>36055</v>
      </c>
      <c r="U35" s="25">
        <v>37917</v>
      </c>
      <c r="V35" s="25"/>
    </row>
    <row r="36" spans="1:22">
      <c r="A36" s="11" t="s">
        <v>38</v>
      </c>
      <c r="B36" s="25">
        <v>4513</v>
      </c>
      <c r="C36" s="25">
        <v>5285</v>
      </c>
      <c r="D36" s="25">
        <v>6224</v>
      </c>
      <c r="E36" s="25">
        <v>7528</v>
      </c>
      <c r="F36" s="25">
        <v>8391</v>
      </c>
      <c r="G36" s="25">
        <v>9460</v>
      </c>
      <c r="H36" s="25">
        <v>10566</v>
      </c>
      <c r="I36" s="25">
        <v>12956</v>
      </c>
      <c r="J36" s="25">
        <v>13712</v>
      </c>
      <c r="K36" s="25">
        <v>15728</v>
      </c>
      <c r="L36" s="25">
        <v>16211</v>
      </c>
      <c r="M36" s="25">
        <v>20979</v>
      </c>
      <c r="N36" s="25">
        <v>24951</v>
      </c>
      <c r="O36" s="25">
        <v>23356</v>
      </c>
      <c r="P36" s="25">
        <v>25688</v>
      </c>
      <c r="Q36" s="25">
        <v>37162</v>
      </c>
      <c r="R36" s="25">
        <v>35155</v>
      </c>
      <c r="S36" s="25">
        <v>36742</v>
      </c>
      <c r="T36" s="25">
        <v>39732</v>
      </c>
      <c r="U36" s="25">
        <v>41492</v>
      </c>
      <c r="V36" s="25"/>
    </row>
    <row r="37" spans="1:22">
      <c r="A37" s="11" t="s">
        <v>39</v>
      </c>
      <c r="B37" s="25">
        <v>6180</v>
      </c>
      <c r="C37" s="25">
        <v>6806</v>
      </c>
      <c r="D37" s="25">
        <v>7502</v>
      </c>
      <c r="E37" s="25">
        <v>8340</v>
      </c>
      <c r="F37" s="25">
        <v>9526</v>
      </c>
      <c r="G37" s="25">
        <v>10393</v>
      </c>
      <c r="H37" s="25">
        <v>13860</v>
      </c>
      <c r="I37" s="25">
        <v>14269</v>
      </c>
      <c r="J37" s="25">
        <v>12159</v>
      </c>
      <c r="K37" s="25">
        <v>14182</v>
      </c>
      <c r="L37" s="25">
        <v>15705</v>
      </c>
      <c r="M37" s="25">
        <v>16222</v>
      </c>
      <c r="N37" s="25">
        <v>16022</v>
      </c>
      <c r="O37" s="25">
        <v>18330</v>
      </c>
      <c r="P37" s="25">
        <v>30968</v>
      </c>
      <c r="Q37" s="25">
        <v>27376</v>
      </c>
      <c r="R37" s="25">
        <v>32441</v>
      </c>
      <c r="S37" s="25">
        <v>35928</v>
      </c>
      <c r="T37" s="25">
        <v>40614</v>
      </c>
      <c r="U37" s="25">
        <v>42785</v>
      </c>
      <c r="V37" s="25"/>
    </row>
    <row r="38" spans="1:22">
      <c r="A38" s="10"/>
    </row>
  </sheetData>
  <phoneticPr fontId="6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E8C96-4582-934F-A252-D67B78572269}">
  <dimension ref="A1:U38"/>
  <sheetViews>
    <sheetView workbookViewId="0">
      <selection activeCell="E17" sqref="E17"/>
    </sheetView>
  </sheetViews>
  <sheetFormatPr baseColWidth="10" defaultRowHeight="16"/>
  <cols>
    <col min="1" max="1" width="19" customWidth="1"/>
  </cols>
  <sheetData>
    <row r="1" spans="1:21" ht="17">
      <c r="A1" s="23" t="s">
        <v>49</v>
      </c>
      <c r="B1" s="23">
        <v>1997</v>
      </c>
      <c r="C1" s="23">
        <v>1998</v>
      </c>
      <c r="D1" s="23">
        <v>1999</v>
      </c>
      <c r="E1" s="23">
        <v>2000</v>
      </c>
      <c r="F1" s="23">
        <v>2001</v>
      </c>
      <c r="G1" s="23">
        <v>2002</v>
      </c>
      <c r="H1" s="23">
        <v>2003</v>
      </c>
      <c r="I1" s="23">
        <v>2004</v>
      </c>
      <c r="J1" s="23">
        <v>2005</v>
      </c>
      <c r="K1" s="23">
        <v>2006</v>
      </c>
      <c r="L1" s="23">
        <v>2007</v>
      </c>
      <c r="M1" s="23">
        <v>2008</v>
      </c>
      <c r="N1" s="23">
        <v>2009</v>
      </c>
      <c r="O1" s="23">
        <v>2010</v>
      </c>
      <c r="P1" s="23">
        <v>2011</v>
      </c>
      <c r="Q1" s="23">
        <v>2012</v>
      </c>
      <c r="R1" s="23">
        <v>2013</v>
      </c>
      <c r="S1" s="23">
        <v>2014</v>
      </c>
      <c r="T1" s="23">
        <v>2015</v>
      </c>
      <c r="U1" s="23">
        <v>2016</v>
      </c>
    </row>
    <row r="2" spans="1:21">
      <c r="A2" s="16" t="s">
        <v>9</v>
      </c>
      <c r="B2" s="31">
        <v>11709</v>
      </c>
      <c r="C2" s="31">
        <v>14632</v>
      </c>
      <c r="D2" s="31">
        <v>17898</v>
      </c>
      <c r="E2" s="31">
        <v>21717</v>
      </c>
      <c r="F2" s="31">
        <v>25961</v>
      </c>
      <c r="G2" s="31">
        <v>30271</v>
      </c>
      <c r="H2" s="31">
        <v>34173</v>
      </c>
      <c r="I2" s="31">
        <v>39678</v>
      </c>
      <c r="J2" s="31">
        <v>42925</v>
      </c>
      <c r="K2" s="31">
        <v>46495</v>
      </c>
      <c r="L2" s="31">
        <v>52698</v>
      </c>
      <c r="M2" s="31">
        <v>60199</v>
      </c>
      <c r="N2" s="31">
        <v>63081</v>
      </c>
      <c r="O2" s="31">
        <v>70182</v>
      </c>
      <c r="P2" s="31">
        <v>82308</v>
      </c>
      <c r="Q2" s="31">
        <v>97480</v>
      </c>
      <c r="R2" s="31">
        <v>109940</v>
      </c>
      <c r="S2" s="31">
        <v>125273</v>
      </c>
      <c r="T2" s="31">
        <v>139176</v>
      </c>
      <c r="U2" s="31">
        <v>147903</v>
      </c>
    </row>
    <row r="3" spans="1:21">
      <c r="A3" s="11" t="s">
        <v>10</v>
      </c>
      <c r="B3" s="31">
        <v>9785</v>
      </c>
      <c r="C3" s="31">
        <v>10782</v>
      </c>
      <c r="D3" s="31">
        <v>12149</v>
      </c>
      <c r="E3" s="31">
        <v>14366</v>
      </c>
      <c r="F3" s="31">
        <v>16665</v>
      </c>
      <c r="G3" s="31">
        <v>19681</v>
      </c>
      <c r="H3" s="31">
        <v>20426</v>
      </c>
      <c r="I3" s="31">
        <v>23958</v>
      </c>
      <c r="J3" s="31">
        <v>27435</v>
      </c>
      <c r="K3" s="31">
        <v>28959</v>
      </c>
      <c r="L3" s="31">
        <v>35224</v>
      </c>
      <c r="M3" s="31">
        <v>43841</v>
      </c>
      <c r="N3" s="31">
        <v>49175</v>
      </c>
      <c r="O3" s="31">
        <v>60149</v>
      </c>
      <c r="P3" s="31">
        <v>67192</v>
      </c>
      <c r="Q3" s="31">
        <v>79513</v>
      </c>
      <c r="R3" s="31">
        <v>86807</v>
      </c>
      <c r="S3" s="31">
        <v>96200</v>
      </c>
      <c r="T3" s="31">
        <v>105452</v>
      </c>
      <c r="U3" s="31">
        <v>115367</v>
      </c>
    </row>
    <row r="4" spans="1:21">
      <c r="A4" s="11" t="s">
        <v>11</v>
      </c>
      <c r="B4" s="31">
        <v>6245</v>
      </c>
      <c r="C4" s="31">
        <v>6845</v>
      </c>
      <c r="D4" s="31">
        <v>7716</v>
      </c>
      <c r="E4" s="31">
        <v>8807</v>
      </c>
      <c r="F4" s="31">
        <v>9744</v>
      </c>
      <c r="G4" s="31">
        <v>10963</v>
      </c>
      <c r="H4" s="31">
        <v>11681</v>
      </c>
      <c r="I4" s="31">
        <v>13435</v>
      </c>
      <c r="J4" s="31">
        <v>15266</v>
      </c>
      <c r="K4" s="31">
        <v>16829</v>
      </c>
      <c r="L4" s="31">
        <v>19920</v>
      </c>
      <c r="M4" s="31">
        <v>23770</v>
      </c>
      <c r="N4" s="31">
        <v>27678</v>
      </c>
      <c r="O4" s="31">
        <v>30645</v>
      </c>
      <c r="P4" s="31">
        <v>33150</v>
      </c>
      <c r="Q4" s="31">
        <v>37427</v>
      </c>
      <c r="R4" s="31">
        <v>39382</v>
      </c>
      <c r="S4" s="31">
        <v>43843</v>
      </c>
      <c r="T4" s="31">
        <v>51967</v>
      </c>
      <c r="U4" s="31">
        <v>58566</v>
      </c>
    </row>
    <row r="5" spans="1:21">
      <c r="A5" s="11" t="s">
        <v>12</v>
      </c>
      <c r="B5" s="31">
        <v>5201</v>
      </c>
      <c r="C5" s="31">
        <v>5511</v>
      </c>
      <c r="D5" s="31">
        <v>6025</v>
      </c>
      <c r="E5" s="31">
        <v>7109</v>
      </c>
      <c r="F5" s="31">
        <v>8606</v>
      </c>
      <c r="G5" s="31">
        <v>9934</v>
      </c>
      <c r="H5" s="31">
        <v>10915</v>
      </c>
      <c r="I5" s="31">
        <v>12142</v>
      </c>
      <c r="J5" s="31">
        <v>13866</v>
      </c>
      <c r="K5" s="31">
        <v>15482</v>
      </c>
      <c r="L5" s="31">
        <v>17969</v>
      </c>
      <c r="M5" s="31">
        <v>20590</v>
      </c>
      <c r="N5" s="31">
        <v>22302</v>
      </c>
      <c r="O5" s="31">
        <v>24049</v>
      </c>
      <c r="P5" s="31">
        <v>28405</v>
      </c>
      <c r="Q5" s="31">
        <v>32386</v>
      </c>
      <c r="R5" s="31">
        <v>35993</v>
      </c>
      <c r="S5" s="31">
        <v>39653</v>
      </c>
      <c r="T5" s="31">
        <v>48349</v>
      </c>
      <c r="U5" s="31">
        <v>51145</v>
      </c>
    </row>
    <row r="6" spans="1:21">
      <c r="A6" s="11" t="s">
        <v>13</v>
      </c>
      <c r="B6" s="31">
        <v>6169</v>
      </c>
      <c r="C6" s="31">
        <v>6489</v>
      </c>
      <c r="D6" s="31">
        <v>7251</v>
      </c>
      <c r="E6" s="31">
        <v>8146</v>
      </c>
      <c r="F6" s="31">
        <v>9959</v>
      </c>
      <c r="G6" s="31">
        <v>11697</v>
      </c>
      <c r="H6" s="31">
        <v>13353</v>
      </c>
      <c r="I6" s="31">
        <v>15361</v>
      </c>
      <c r="J6" s="31">
        <v>17633</v>
      </c>
      <c r="K6" s="31">
        <v>20414</v>
      </c>
      <c r="L6" s="31">
        <v>24092</v>
      </c>
      <c r="M6" s="31">
        <v>28880</v>
      </c>
      <c r="N6" s="31">
        <v>33610</v>
      </c>
      <c r="O6" s="31">
        <v>38375</v>
      </c>
      <c r="P6" s="31">
        <v>44996</v>
      </c>
      <c r="Q6" s="31">
        <v>51009</v>
      </c>
      <c r="R6" s="31">
        <v>56148</v>
      </c>
      <c r="S6" s="31">
        <v>58738</v>
      </c>
      <c r="T6" s="31">
        <v>62665</v>
      </c>
      <c r="U6" s="31">
        <v>68009</v>
      </c>
    </row>
    <row r="7" spans="1:21">
      <c r="A7" s="11"/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</row>
    <row r="8" spans="1:21">
      <c r="A8" s="11" t="s">
        <v>14</v>
      </c>
      <c r="B8" s="31">
        <v>6760</v>
      </c>
      <c r="C8" s="31">
        <v>7852</v>
      </c>
      <c r="D8" s="31">
        <v>8826</v>
      </c>
      <c r="E8" s="31">
        <v>9561</v>
      </c>
      <c r="F8" s="31">
        <v>11308</v>
      </c>
      <c r="G8" s="31">
        <v>13068</v>
      </c>
      <c r="H8" s="31">
        <v>14073</v>
      </c>
      <c r="I8" s="31">
        <v>15584</v>
      </c>
      <c r="J8" s="31">
        <v>18097</v>
      </c>
      <c r="K8" s="31">
        <v>20355</v>
      </c>
      <c r="L8" s="31">
        <v>23512</v>
      </c>
      <c r="M8" s="31">
        <v>27657</v>
      </c>
      <c r="N8" s="31">
        <v>32341</v>
      </c>
      <c r="O8" s="31">
        <v>36638</v>
      </c>
      <c r="P8" s="31">
        <v>40713</v>
      </c>
      <c r="Q8" s="31">
        <v>44874</v>
      </c>
      <c r="R8" s="31">
        <v>48430</v>
      </c>
      <c r="S8" s="31">
        <v>50054</v>
      </c>
      <c r="T8" s="31">
        <v>56455</v>
      </c>
      <c r="U8" s="31">
        <v>62230</v>
      </c>
    </row>
    <row r="9" spans="1:21">
      <c r="A9" s="11" t="s">
        <v>15</v>
      </c>
      <c r="B9" s="31">
        <v>6628</v>
      </c>
      <c r="C9" s="31">
        <v>7139</v>
      </c>
      <c r="D9" s="31">
        <v>7735</v>
      </c>
      <c r="E9" s="31">
        <v>8516</v>
      </c>
      <c r="F9" s="31">
        <v>9717</v>
      </c>
      <c r="G9" s="31">
        <v>10903</v>
      </c>
      <c r="H9" s="31">
        <v>11771</v>
      </c>
      <c r="I9" s="31">
        <v>12958</v>
      </c>
      <c r="J9" s="31">
        <v>14109</v>
      </c>
      <c r="K9" s="31">
        <v>15412</v>
      </c>
      <c r="L9" s="31">
        <v>19908</v>
      </c>
      <c r="M9" s="31">
        <v>22555</v>
      </c>
      <c r="N9" s="31">
        <v>25948</v>
      </c>
      <c r="O9" s="31">
        <v>28476</v>
      </c>
      <c r="P9" s="31">
        <v>33065</v>
      </c>
      <c r="Q9" s="31">
        <v>41304</v>
      </c>
      <c r="R9" s="31">
        <v>44311</v>
      </c>
      <c r="S9" s="31">
        <v>46127</v>
      </c>
      <c r="T9" s="31">
        <v>53409</v>
      </c>
      <c r="U9" s="31">
        <v>63307</v>
      </c>
    </row>
    <row r="10" spans="1:21">
      <c r="A10" s="11" t="s">
        <v>16</v>
      </c>
      <c r="B10" s="31">
        <v>6219</v>
      </c>
      <c r="C10" s="31">
        <v>7328</v>
      </c>
      <c r="D10" s="31">
        <v>8342</v>
      </c>
      <c r="E10" s="31">
        <v>9138</v>
      </c>
      <c r="F10" s="31">
        <v>10407</v>
      </c>
      <c r="G10" s="31">
        <v>12179</v>
      </c>
      <c r="H10" s="31">
        <v>13066</v>
      </c>
      <c r="I10" s="31">
        <v>15169</v>
      </c>
      <c r="J10" s="31">
        <v>16568</v>
      </c>
      <c r="K10" s="31">
        <v>18262</v>
      </c>
      <c r="L10" s="31">
        <v>22336</v>
      </c>
      <c r="M10" s="31">
        <v>25782</v>
      </c>
      <c r="N10" s="31">
        <v>29432</v>
      </c>
      <c r="O10" s="31">
        <v>32095</v>
      </c>
      <c r="P10" s="31">
        <v>36158</v>
      </c>
      <c r="Q10" s="31">
        <v>39712</v>
      </c>
      <c r="R10" s="31">
        <v>43211</v>
      </c>
      <c r="S10" s="31">
        <v>47659</v>
      </c>
      <c r="T10" s="31">
        <v>55776</v>
      </c>
      <c r="U10" s="31">
        <v>62122</v>
      </c>
    </row>
    <row r="11" spans="1:21">
      <c r="A11" s="11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</row>
    <row r="12" spans="1:21">
      <c r="A12" s="11" t="s">
        <v>17</v>
      </c>
      <c r="B12" s="31">
        <v>12770</v>
      </c>
      <c r="C12" s="31">
        <v>15117</v>
      </c>
      <c r="D12" s="31">
        <v>18440</v>
      </c>
      <c r="E12" s="31">
        <v>20705</v>
      </c>
      <c r="F12" s="31">
        <v>23733</v>
      </c>
      <c r="G12" s="31">
        <v>26476</v>
      </c>
      <c r="H12" s="31">
        <v>28531</v>
      </c>
      <c r="I12" s="31">
        <v>31219</v>
      </c>
      <c r="J12" s="31">
        <v>35511</v>
      </c>
      <c r="K12" s="31">
        <v>41849</v>
      </c>
      <c r="L12" s="31">
        <v>51297</v>
      </c>
      <c r="M12" s="31">
        <v>62764</v>
      </c>
      <c r="N12" s="31">
        <v>66826</v>
      </c>
      <c r="O12" s="31">
        <v>73470</v>
      </c>
      <c r="P12" s="31">
        <v>92619</v>
      </c>
      <c r="Q12" s="31">
        <v>103905</v>
      </c>
      <c r="R12" s="31">
        <v>107891</v>
      </c>
      <c r="S12" s="31">
        <v>113142</v>
      </c>
      <c r="T12" s="31">
        <v>117092</v>
      </c>
      <c r="U12" s="31">
        <v>125181</v>
      </c>
    </row>
    <row r="13" spans="1:21">
      <c r="A13" s="11" t="s">
        <v>18</v>
      </c>
      <c r="B13" s="31">
        <v>8844</v>
      </c>
      <c r="C13" s="31">
        <v>10034</v>
      </c>
      <c r="D13" s="31">
        <v>11041</v>
      </c>
      <c r="E13" s="31">
        <v>12172</v>
      </c>
      <c r="F13" s="31">
        <v>14639</v>
      </c>
      <c r="G13" s="31">
        <v>16343</v>
      </c>
      <c r="H13" s="31">
        <v>18729</v>
      </c>
      <c r="I13" s="31">
        <v>21884</v>
      </c>
      <c r="J13" s="31">
        <v>24884</v>
      </c>
      <c r="K13" s="31">
        <v>28718</v>
      </c>
      <c r="L13" s="31">
        <v>32792</v>
      </c>
      <c r="M13" s="31">
        <v>37404</v>
      </c>
      <c r="N13" s="31">
        <v>41479</v>
      </c>
      <c r="O13" s="31">
        <v>46337</v>
      </c>
      <c r="P13" s="31">
        <v>53117</v>
      </c>
      <c r="Q13" s="31">
        <v>61735</v>
      </c>
      <c r="R13" s="31">
        <v>68571</v>
      </c>
      <c r="S13" s="31">
        <v>73779</v>
      </c>
      <c r="T13" s="31">
        <v>81693</v>
      </c>
      <c r="U13" s="31">
        <v>92202</v>
      </c>
    </row>
    <row r="14" spans="1:21">
      <c r="A14" s="11" t="s">
        <v>19</v>
      </c>
      <c r="B14" s="31">
        <v>11236</v>
      </c>
      <c r="C14" s="31">
        <v>12704</v>
      </c>
      <c r="D14" s="31">
        <v>14758</v>
      </c>
      <c r="E14" s="31">
        <v>17136</v>
      </c>
      <c r="F14" s="31">
        <v>21734</v>
      </c>
      <c r="G14" s="31">
        <v>25149</v>
      </c>
      <c r="H14" s="31">
        <v>29366</v>
      </c>
      <c r="I14" s="31">
        <v>35360</v>
      </c>
      <c r="J14" s="31">
        <v>39757</v>
      </c>
      <c r="K14" s="31">
        <v>41483</v>
      </c>
      <c r="L14" s="31">
        <v>46595</v>
      </c>
      <c r="M14" s="31">
        <v>50830</v>
      </c>
      <c r="N14" s="31">
        <v>56499</v>
      </c>
      <c r="O14" s="31">
        <v>62508</v>
      </c>
      <c r="P14" s="31">
        <v>70101</v>
      </c>
      <c r="Q14" s="31">
        <v>78385</v>
      </c>
      <c r="R14" s="31">
        <v>86220</v>
      </c>
      <c r="S14" s="31">
        <v>95067</v>
      </c>
      <c r="T14" s="31">
        <v>104369</v>
      </c>
      <c r="U14" s="31">
        <v>117116</v>
      </c>
    </row>
    <row r="15" spans="1:21">
      <c r="A15" s="11" t="s">
        <v>20</v>
      </c>
      <c r="B15" s="31">
        <v>6398</v>
      </c>
      <c r="C15" s="31">
        <v>7142</v>
      </c>
      <c r="D15" s="31">
        <v>7994</v>
      </c>
      <c r="E15" s="31">
        <v>8103</v>
      </c>
      <c r="F15" s="31">
        <v>9075</v>
      </c>
      <c r="G15" s="31">
        <v>10911</v>
      </c>
      <c r="H15" s="31">
        <v>11845</v>
      </c>
      <c r="I15" s="31">
        <v>13546</v>
      </c>
      <c r="J15" s="31">
        <v>15608</v>
      </c>
      <c r="K15" s="31">
        <v>17301</v>
      </c>
      <c r="L15" s="31">
        <v>21491</v>
      </c>
      <c r="M15" s="31">
        <v>25104</v>
      </c>
      <c r="N15" s="31">
        <v>27640</v>
      </c>
      <c r="O15" s="31">
        <v>31811</v>
      </c>
      <c r="P15" s="31">
        <v>38420</v>
      </c>
      <c r="Q15" s="31">
        <v>44178</v>
      </c>
      <c r="R15" s="31">
        <v>50908</v>
      </c>
      <c r="S15" s="31">
        <v>54468</v>
      </c>
      <c r="T15" s="31">
        <v>63695</v>
      </c>
      <c r="U15" s="31">
        <v>71104</v>
      </c>
    </row>
    <row r="16" spans="1:21">
      <c r="A16" s="11" t="s">
        <v>21</v>
      </c>
      <c r="B16" s="31">
        <v>8038</v>
      </c>
      <c r="C16" s="31">
        <v>8751</v>
      </c>
      <c r="D16" s="31">
        <v>10350</v>
      </c>
      <c r="E16" s="31">
        <v>12043</v>
      </c>
      <c r="F16" s="31">
        <v>14409</v>
      </c>
      <c r="G16" s="31">
        <v>16173</v>
      </c>
      <c r="H16" s="31">
        <v>16589</v>
      </c>
      <c r="I16" s="31">
        <v>19071</v>
      </c>
      <c r="J16" s="31">
        <v>21733</v>
      </c>
      <c r="K16" s="31">
        <v>23374</v>
      </c>
      <c r="L16" s="31">
        <v>28331</v>
      </c>
      <c r="M16" s="31">
        <v>32893</v>
      </c>
      <c r="N16" s="31">
        <v>36226</v>
      </c>
      <c r="O16" s="31">
        <v>40844</v>
      </c>
      <c r="P16" s="31">
        <v>50672</v>
      </c>
      <c r="Q16" s="31">
        <v>57525</v>
      </c>
      <c r="R16" s="31">
        <v>64544</v>
      </c>
      <c r="S16" s="31">
        <v>72183</v>
      </c>
      <c r="T16" s="31">
        <v>80314</v>
      </c>
      <c r="U16" s="31">
        <v>87997</v>
      </c>
    </row>
    <row r="17" spans="1:21">
      <c r="A17" s="11" t="s">
        <v>22</v>
      </c>
      <c r="B17" s="31">
        <v>6042</v>
      </c>
      <c r="C17" s="31">
        <v>6143</v>
      </c>
      <c r="D17" s="31">
        <v>7773</v>
      </c>
      <c r="E17" s="31">
        <v>8486</v>
      </c>
      <c r="F17" s="31">
        <v>10048</v>
      </c>
      <c r="G17" s="31">
        <v>11286</v>
      </c>
      <c r="H17" s="31">
        <v>12614</v>
      </c>
      <c r="I17" s="31">
        <v>13924</v>
      </c>
      <c r="J17" s="31">
        <v>16451</v>
      </c>
      <c r="K17" s="31">
        <v>18242</v>
      </c>
      <c r="L17" s="31">
        <v>22757</v>
      </c>
      <c r="M17" s="31">
        <v>24982</v>
      </c>
      <c r="N17" s="31">
        <v>25165</v>
      </c>
      <c r="O17" s="31">
        <v>31494</v>
      </c>
      <c r="P17" s="31">
        <v>37542</v>
      </c>
      <c r="Q17" s="31">
        <v>38962</v>
      </c>
      <c r="R17" s="31">
        <v>48823</v>
      </c>
      <c r="S17" s="31">
        <v>53384</v>
      </c>
      <c r="T17" s="31">
        <v>61728</v>
      </c>
      <c r="U17" s="31">
        <v>70701</v>
      </c>
    </row>
    <row r="18" spans="1:21">
      <c r="A18" s="11" t="s">
        <v>23</v>
      </c>
      <c r="B18" s="31">
        <v>7548</v>
      </c>
      <c r="C18" s="31">
        <v>8140</v>
      </c>
      <c r="D18" s="31">
        <v>9447</v>
      </c>
      <c r="E18" s="31">
        <v>11129</v>
      </c>
      <c r="F18" s="31">
        <v>12733</v>
      </c>
      <c r="G18" s="31">
        <v>14519</v>
      </c>
      <c r="H18" s="31">
        <v>15106</v>
      </c>
      <c r="I18" s="31">
        <v>17043</v>
      </c>
      <c r="J18" s="31">
        <v>20608</v>
      </c>
      <c r="K18" s="31">
        <v>22690</v>
      </c>
      <c r="L18" s="31">
        <v>26235</v>
      </c>
      <c r="M18" s="31">
        <v>30504</v>
      </c>
      <c r="N18" s="31">
        <v>33982</v>
      </c>
      <c r="O18" s="31">
        <v>38044</v>
      </c>
      <c r="P18" s="31">
        <v>43101</v>
      </c>
      <c r="Q18" s="31">
        <v>47768</v>
      </c>
      <c r="R18" s="31">
        <v>54919</v>
      </c>
      <c r="S18" s="31">
        <v>60460</v>
      </c>
      <c r="T18" s="31">
        <v>70385</v>
      </c>
      <c r="U18" s="31">
        <v>78411</v>
      </c>
    </row>
    <row r="19" spans="1:21">
      <c r="A19" s="1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</row>
    <row r="20" spans="1:21">
      <c r="A20" s="11" t="s">
        <v>24</v>
      </c>
      <c r="B20" s="31">
        <v>5886</v>
      </c>
      <c r="C20" s="31">
        <v>6526</v>
      </c>
      <c r="D20" s="31">
        <v>7108</v>
      </c>
      <c r="E20" s="31">
        <v>7838</v>
      </c>
      <c r="F20" s="31">
        <v>9290</v>
      </c>
      <c r="G20" s="31">
        <v>10210</v>
      </c>
      <c r="H20" s="31">
        <v>11474</v>
      </c>
      <c r="I20" s="31">
        <v>12529</v>
      </c>
      <c r="J20" s="31">
        <v>14259</v>
      </c>
      <c r="K20" s="31">
        <v>17094</v>
      </c>
      <c r="L20" s="31">
        <v>21064</v>
      </c>
      <c r="M20" s="31">
        <v>25438</v>
      </c>
      <c r="N20" s="31">
        <v>28008</v>
      </c>
      <c r="O20" s="31">
        <v>31177</v>
      </c>
      <c r="P20" s="31">
        <v>35216</v>
      </c>
      <c r="Q20" s="31">
        <v>38814</v>
      </c>
      <c r="R20" s="31">
        <v>43526</v>
      </c>
      <c r="S20" s="31">
        <v>49301</v>
      </c>
      <c r="T20" s="31">
        <v>53308</v>
      </c>
      <c r="U20" s="31">
        <v>61045</v>
      </c>
    </row>
    <row r="21" spans="1:21">
      <c r="A21" s="11" t="s">
        <v>25</v>
      </c>
      <c r="B21" s="31">
        <v>6443</v>
      </c>
      <c r="C21" s="31">
        <v>7228</v>
      </c>
      <c r="D21" s="31">
        <v>7961</v>
      </c>
      <c r="E21" s="31">
        <v>8270</v>
      </c>
      <c r="F21" s="31">
        <v>9406</v>
      </c>
      <c r="G21" s="31">
        <v>10557</v>
      </c>
      <c r="H21" s="31">
        <v>12121</v>
      </c>
      <c r="I21" s="31">
        <v>13460</v>
      </c>
      <c r="J21" s="31">
        <v>16026</v>
      </c>
      <c r="K21" s="31">
        <v>17493</v>
      </c>
      <c r="L21" s="31">
        <v>20357</v>
      </c>
      <c r="M21" s="31">
        <v>22787</v>
      </c>
      <c r="N21" s="31">
        <v>27507</v>
      </c>
      <c r="O21" s="31">
        <v>33751</v>
      </c>
      <c r="P21" s="31">
        <v>38436</v>
      </c>
      <c r="Q21" s="31">
        <v>42295</v>
      </c>
      <c r="R21" s="31">
        <v>48539</v>
      </c>
      <c r="S21" s="31">
        <v>55133</v>
      </c>
      <c r="T21" s="31">
        <v>62475</v>
      </c>
      <c r="U21" s="31">
        <v>69692</v>
      </c>
    </row>
    <row r="22" spans="1:21">
      <c r="A22" s="11" t="s">
        <v>26</v>
      </c>
      <c r="B22" s="31">
        <v>7085</v>
      </c>
      <c r="C22" s="31">
        <v>8221</v>
      </c>
      <c r="D22" s="31">
        <v>8915</v>
      </c>
      <c r="E22" s="31">
        <v>10176</v>
      </c>
      <c r="F22" s="31">
        <v>11705</v>
      </c>
      <c r="G22" s="31">
        <v>13446</v>
      </c>
      <c r="H22" s="31">
        <v>15122</v>
      </c>
      <c r="I22" s="31">
        <v>17281</v>
      </c>
      <c r="J22" s="31">
        <v>19125</v>
      </c>
      <c r="K22" s="31">
        <v>21846</v>
      </c>
      <c r="L22" s="31">
        <v>26557</v>
      </c>
      <c r="M22" s="31">
        <v>30647</v>
      </c>
      <c r="N22" s="31">
        <v>33461</v>
      </c>
      <c r="O22" s="31">
        <v>36476</v>
      </c>
      <c r="P22" s="31">
        <v>42073</v>
      </c>
      <c r="Q22" s="31">
        <v>50067</v>
      </c>
      <c r="R22" s="31">
        <v>54704</v>
      </c>
      <c r="S22" s="31">
        <v>60180</v>
      </c>
      <c r="T22" s="31">
        <v>69475</v>
      </c>
      <c r="U22" s="31">
        <v>77796</v>
      </c>
    </row>
    <row r="23" spans="1:21">
      <c r="A23" s="11" t="s">
        <v>27</v>
      </c>
      <c r="B23" s="31">
        <v>11148</v>
      </c>
      <c r="C23" s="31">
        <v>12079</v>
      </c>
      <c r="D23" s="31">
        <v>13481</v>
      </c>
      <c r="E23" s="31">
        <v>15607</v>
      </c>
      <c r="F23" s="31">
        <v>18556</v>
      </c>
      <c r="G23" s="31">
        <v>22032</v>
      </c>
      <c r="H23" s="31">
        <v>25157</v>
      </c>
      <c r="I23" s="31">
        <v>28248</v>
      </c>
      <c r="J23" s="31">
        <v>30689</v>
      </c>
      <c r="K23" s="31">
        <v>33188</v>
      </c>
      <c r="L23" s="31">
        <v>37788</v>
      </c>
      <c r="M23" s="31">
        <v>42314</v>
      </c>
      <c r="N23" s="31">
        <v>46609</v>
      </c>
      <c r="O23" s="31">
        <v>52308</v>
      </c>
      <c r="P23" s="31">
        <v>57684</v>
      </c>
      <c r="Q23" s="31">
        <v>65942</v>
      </c>
      <c r="R23" s="31">
        <v>69057</v>
      </c>
      <c r="S23" s="31">
        <v>74377</v>
      </c>
      <c r="T23" s="31">
        <v>80838</v>
      </c>
      <c r="U23" s="31">
        <v>94663</v>
      </c>
    </row>
    <row r="24" spans="1:21">
      <c r="A24" s="11" t="s">
        <v>28</v>
      </c>
      <c r="B24" s="31">
        <v>6172</v>
      </c>
      <c r="C24" s="31">
        <v>7482</v>
      </c>
      <c r="D24" s="31">
        <v>8159</v>
      </c>
      <c r="E24" s="31">
        <v>9255</v>
      </c>
      <c r="F24" s="31">
        <v>10818</v>
      </c>
      <c r="G24" s="31">
        <v>12571</v>
      </c>
      <c r="H24" s="31">
        <v>13800</v>
      </c>
      <c r="I24" s="31">
        <v>15535</v>
      </c>
      <c r="J24" s="31">
        <v>17785</v>
      </c>
      <c r="K24" s="31">
        <v>20318</v>
      </c>
      <c r="L24" s="31">
        <v>24254</v>
      </c>
      <c r="M24" s="31">
        <v>27399</v>
      </c>
      <c r="N24" s="31">
        <v>29678</v>
      </c>
      <c r="O24" s="31">
        <v>33100</v>
      </c>
      <c r="P24" s="31">
        <v>37358</v>
      </c>
      <c r="Q24" s="31">
        <v>42778</v>
      </c>
      <c r="R24" s="31">
        <v>47276</v>
      </c>
      <c r="S24" s="31">
        <v>53785</v>
      </c>
      <c r="T24" s="31">
        <v>64821</v>
      </c>
      <c r="U24" s="31">
        <v>71529</v>
      </c>
    </row>
    <row r="25" spans="1:21">
      <c r="A25" s="11" t="s">
        <v>29</v>
      </c>
      <c r="B25" s="31">
        <v>8737</v>
      </c>
      <c r="C25" s="31">
        <v>8929</v>
      </c>
      <c r="D25" s="31">
        <v>9694</v>
      </c>
      <c r="E25" s="31">
        <v>11421</v>
      </c>
      <c r="F25" s="31">
        <v>12344</v>
      </c>
      <c r="G25" s="31">
        <v>14621</v>
      </c>
      <c r="H25" s="31">
        <v>15329</v>
      </c>
      <c r="I25" s="31">
        <v>17712</v>
      </c>
      <c r="J25" s="31">
        <v>19642</v>
      </c>
      <c r="K25" s="31">
        <v>20305</v>
      </c>
      <c r="L25" s="31">
        <v>24116</v>
      </c>
      <c r="M25" s="31">
        <v>27172</v>
      </c>
      <c r="N25" s="31">
        <v>29251</v>
      </c>
      <c r="O25" s="31">
        <v>35308</v>
      </c>
      <c r="P25" s="31">
        <v>43210</v>
      </c>
      <c r="Q25" s="31">
        <v>50136</v>
      </c>
      <c r="R25" s="31">
        <v>53771</v>
      </c>
      <c r="S25" s="31">
        <v>59793</v>
      </c>
      <c r="T25" s="31">
        <v>70489</v>
      </c>
      <c r="U25" s="31">
        <v>74765</v>
      </c>
    </row>
    <row r="26" spans="1:21">
      <c r="A26" s="1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</row>
    <row r="27" spans="1:21">
      <c r="A27" s="11" t="s">
        <v>30</v>
      </c>
      <c r="B27" s="31">
        <v>6510</v>
      </c>
      <c r="C27" s="31">
        <v>7126</v>
      </c>
      <c r="D27" s="31">
        <v>8225</v>
      </c>
      <c r="E27" s="31">
        <v>9407</v>
      </c>
      <c r="F27" s="31">
        <v>10928</v>
      </c>
      <c r="G27" s="31">
        <v>12197</v>
      </c>
      <c r="H27" s="31">
        <v>13472</v>
      </c>
      <c r="I27" s="31">
        <v>15937</v>
      </c>
      <c r="J27" s="31">
        <v>19193</v>
      </c>
      <c r="K27" s="31">
        <v>21813</v>
      </c>
      <c r="L27" s="31">
        <v>26502</v>
      </c>
      <c r="M27" s="31">
        <v>32535</v>
      </c>
      <c r="N27" s="31">
        <v>37688</v>
      </c>
      <c r="O27" s="31">
        <v>44249</v>
      </c>
      <c r="P27" s="31">
        <v>51559</v>
      </c>
      <c r="Q27" s="31">
        <v>60072</v>
      </c>
      <c r="R27" s="31">
        <v>62470</v>
      </c>
      <c r="S27" s="31">
        <v>73471</v>
      </c>
      <c r="T27" s="31">
        <v>81600</v>
      </c>
      <c r="U27" s="31">
        <v>87162</v>
      </c>
    </row>
    <row r="28" spans="1:21">
      <c r="A28" s="11" t="s">
        <v>31</v>
      </c>
      <c r="B28" s="31">
        <v>6628</v>
      </c>
      <c r="C28" s="31">
        <v>7375</v>
      </c>
      <c r="D28" s="31">
        <v>8538</v>
      </c>
      <c r="E28" s="31">
        <v>9788</v>
      </c>
      <c r="F28" s="31">
        <v>11657</v>
      </c>
      <c r="G28" s="31">
        <v>13349</v>
      </c>
      <c r="H28" s="31">
        <v>14861</v>
      </c>
      <c r="I28" s="31">
        <v>16891</v>
      </c>
      <c r="J28" s="31">
        <v>18868</v>
      </c>
      <c r="K28" s="31">
        <v>21205</v>
      </c>
      <c r="L28" s="31">
        <v>25887</v>
      </c>
      <c r="M28" s="31">
        <v>30020</v>
      </c>
      <c r="N28" s="31">
        <v>33082</v>
      </c>
      <c r="O28" s="31">
        <v>39209</v>
      </c>
      <c r="P28" s="31">
        <v>45922</v>
      </c>
      <c r="Q28" s="31">
        <v>53451</v>
      </c>
      <c r="R28" s="31">
        <v>59159</v>
      </c>
      <c r="S28" s="31">
        <v>63188</v>
      </c>
      <c r="T28" s="31">
        <v>73704</v>
      </c>
      <c r="U28" s="31">
        <v>82150</v>
      </c>
    </row>
    <row r="29" spans="1:21">
      <c r="A29" s="11" t="s">
        <v>32</v>
      </c>
      <c r="B29" s="31">
        <v>5099</v>
      </c>
      <c r="C29" s="31">
        <v>5347</v>
      </c>
      <c r="D29" s="31">
        <v>6421</v>
      </c>
      <c r="E29" s="31">
        <v>7462</v>
      </c>
      <c r="F29" s="31">
        <v>9990</v>
      </c>
      <c r="G29" s="31">
        <v>10142</v>
      </c>
      <c r="H29" s="31">
        <v>12120</v>
      </c>
      <c r="I29" s="31">
        <v>13210</v>
      </c>
      <c r="J29" s="31">
        <v>14575</v>
      </c>
      <c r="K29" s="31">
        <v>18346</v>
      </c>
      <c r="L29" s="31">
        <v>22867</v>
      </c>
      <c r="M29" s="31">
        <v>25575</v>
      </c>
      <c r="N29" s="31">
        <v>27370</v>
      </c>
      <c r="O29" s="31">
        <v>29993</v>
      </c>
      <c r="P29" s="31">
        <v>33803</v>
      </c>
      <c r="Q29" s="31">
        <v>44289</v>
      </c>
      <c r="R29" s="31">
        <v>53103</v>
      </c>
      <c r="S29" s="31">
        <v>59142</v>
      </c>
      <c r="T29" s="31">
        <v>67511</v>
      </c>
      <c r="U29" s="31">
        <v>73553</v>
      </c>
    </row>
    <row r="30" spans="1:21">
      <c r="A30" s="11" t="s">
        <v>33</v>
      </c>
      <c r="B30" s="31">
        <v>7911</v>
      </c>
      <c r="C30" s="31">
        <v>8496</v>
      </c>
      <c r="D30" s="31">
        <v>9320</v>
      </c>
      <c r="E30" s="31">
        <v>10258</v>
      </c>
      <c r="F30" s="31">
        <v>11804</v>
      </c>
      <c r="G30" s="31">
        <v>14128</v>
      </c>
      <c r="H30" s="31">
        <v>15094</v>
      </c>
      <c r="I30" s="31">
        <v>16219</v>
      </c>
      <c r="J30" s="31">
        <v>16731</v>
      </c>
      <c r="K30" s="31">
        <v>19464</v>
      </c>
      <c r="L30" s="31">
        <v>21103</v>
      </c>
      <c r="M30" s="31">
        <v>23236</v>
      </c>
      <c r="N30" s="31">
        <v>24484</v>
      </c>
      <c r="O30" s="31">
        <v>28988</v>
      </c>
      <c r="P30" s="31">
        <v>35618</v>
      </c>
      <c r="Q30" s="31">
        <v>41801</v>
      </c>
      <c r="R30" s="31">
        <v>46400</v>
      </c>
      <c r="S30" s="31">
        <v>50784</v>
      </c>
      <c r="T30" s="31">
        <v>59543</v>
      </c>
      <c r="U30" s="31">
        <v>71550</v>
      </c>
    </row>
    <row r="31" spans="1:21">
      <c r="A31" s="11" t="s">
        <v>34</v>
      </c>
      <c r="B31" s="31">
        <v>12008</v>
      </c>
      <c r="C31" s="31">
        <v>12557</v>
      </c>
      <c r="D31" s="31">
        <v>14604</v>
      </c>
      <c r="E31" s="31">
        <v>16752</v>
      </c>
      <c r="F31" s="31">
        <v>22757</v>
      </c>
      <c r="G31" s="31">
        <v>29901</v>
      </c>
      <c r="H31" s="31">
        <v>29897</v>
      </c>
      <c r="I31" s="31">
        <v>32474</v>
      </c>
      <c r="J31" s="31">
        <v>28268</v>
      </c>
      <c r="K31" s="31">
        <v>27231</v>
      </c>
      <c r="L31" s="31">
        <v>39655</v>
      </c>
      <c r="M31" s="31">
        <v>42811</v>
      </c>
      <c r="N31" s="31">
        <v>43833</v>
      </c>
      <c r="O31" s="31">
        <v>48293</v>
      </c>
      <c r="P31" s="31">
        <v>46421</v>
      </c>
      <c r="Q31" s="31">
        <v>46879</v>
      </c>
      <c r="R31" s="31">
        <v>55017</v>
      </c>
      <c r="S31" s="31">
        <v>55825</v>
      </c>
      <c r="T31" s="31">
        <v>95996</v>
      </c>
      <c r="U31" s="31">
        <v>109091</v>
      </c>
    </row>
    <row r="32" spans="1:21">
      <c r="A32" s="1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</row>
    <row r="33" spans="1:21">
      <c r="A33" s="11" t="s">
        <v>35</v>
      </c>
      <c r="B33" s="31">
        <v>5521</v>
      </c>
      <c r="C33" s="31">
        <v>6074</v>
      </c>
      <c r="D33" s="31">
        <v>7153</v>
      </c>
      <c r="E33" s="31">
        <v>8081</v>
      </c>
      <c r="F33" s="31">
        <v>9573</v>
      </c>
      <c r="G33" s="31">
        <v>10270</v>
      </c>
      <c r="H33" s="31">
        <v>11129</v>
      </c>
      <c r="I33" s="31">
        <v>12259</v>
      </c>
      <c r="J33" s="31">
        <v>14495</v>
      </c>
      <c r="K33" s="31">
        <v>16187</v>
      </c>
      <c r="L33" s="31">
        <v>21119</v>
      </c>
      <c r="M33" s="31">
        <v>26016</v>
      </c>
      <c r="N33" s="31">
        <v>30961</v>
      </c>
      <c r="O33" s="31">
        <v>34809</v>
      </c>
      <c r="P33" s="31">
        <v>40075</v>
      </c>
      <c r="Q33" s="31">
        <v>46380</v>
      </c>
      <c r="R33" s="31">
        <v>50090</v>
      </c>
      <c r="S33" s="31">
        <v>49447</v>
      </c>
      <c r="T33" s="31">
        <v>55203</v>
      </c>
      <c r="U33" s="31">
        <v>61509</v>
      </c>
    </row>
    <row r="34" spans="1:21">
      <c r="A34" s="11" t="s">
        <v>36</v>
      </c>
      <c r="B34" s="31">
        <v>6010</v>
      </c>
      <c r="C34" s="31">
        <v>6716</v>
      </c>
      <c r="D34" s="31">
        <v>7832</v>
      </c>
      <c r="E34" s="31">
        <v>8953</v>
      </c>
      <c r="F34" s="31">
        <v>11335</v>
      </c>
      <c r="G34" s="31">
        <v>12881</v>
      </c>
      <c r="H34" s="31">
        <v>13859</v>
      </c>
      <c r="I34" s="31">
        <v>14517</v>
      </c>
      <c r="J34" s="31">
        <v>15496</v>
      </c>
      <c r="K34" s="31">
        <v>17322</v>
      </c>
      <c r="L34" s="31">
        <v>19983</v>
      </c>
      <c r="M34" s="31">
        <v>23022</v>
      </c>
      <c r="N34" s="31">
        <v>26931</v>
      </c>
      <c r="O34" s="31">
        <v>28881</v>
      </c>
      <c r="P34" s="31">
        <v>28579</v>
      </c>
      <c r="Q34" s="31">
        <v>35730</v>
      </c>
      <c r="R34" s="31">
        <v>43061</v>
      </c>
      <c r="S34" s="31">
        <v>45518</v>
      </c>
      <c r="T34" s="31">
        <v>56180</v>
      </c>
      <c r="U34" s="31">
        <v>61593</v>
      </c>
    </row>
    <row r="35" spans="1:21">
      <c r="A35" s="11" t="s">
        <v>37</v>
      </c>
      <c r="B35" s="31">
        <v>8535</v>
      </c>
      <c r="C35" s="31">
        <v>9204</v>
      </c>
      <c r="D35" s="31">
        <v>10115</v>
      </c>
      <c r="E35" s="31">
        <v>11303</v>
      </c>
      <c r="F35" s="31">
        <v>15066</v>
      </c>
      <c r="G35" s="31">
        <v>16329</v>
      </c>
      <c r="H35" s="31">
        <v>17172</v>
      </c>
      <c r="I35" s="31">
        <v>19013</v>
      </c>
      <c r="J35" s="31">
        <v>20660</v>
      </c>
      <c r="K35" s="31">
        <v>23810</v>
      </c>
      <c r="L35" s="31">
        <v>27329</v>
      </c>
      <c r="M35" s="31">
        <v>32695</v>
      </c>
      <c r="N35" s="31">
        <v>35089</v>
      </c>
      <c r="O35" s="31">
        <v>37126</v>
      </c>
      <c r="P35" s="31">
        <v>41696</v>
      </c>
      <c r="Q35" s="31">
        <v>43126</v>
      </c>
      <c r="R35" s="31">
        <v>48976</v>
      </c>
      <c r="S35" s="31">
        <v>55752</v>
      </c>
      <c r="T35" s="31">
        <v>58622</v>
      </c>
      <c r="U35" s="31">
        <v>65582</v>
      </c>
    </row>
    <row r="36" spans="1:21">
      <c r="A36" s="11" t="s">
        <v>38</v>
      </c>
      <c r="B36" s="31">
        <v>6270</v>
      </c>
      <c r="C36" s="31">
        <v>7127</v>
      </c>
      <c r="D36" s="31">
        <v>7897</v>
      </c>
      <c r="E36" s="31">
        <v>9318</v>
      </c>
      <c r="F36" s="31">
        <v>12097</v>
      </c>
      <c r="G36" s="31">
        <v>14216</v>
      </c>
      <c r="H36" s="31">
        <v>14119</v>
      </c>
      <c r="I36" s="31">
        <v>14537</v>
      </c>
      <c r="J36" s="31">
        <v>18081</v>
      </c>
      <c r="K36" s="31">
        <v>18295</v>
      </c>
      <c r="L36" s="31">
        <v>22549</v>
      </c>
      <c r="M36" s="31">
        <v>27099</v>
      </c>
      <c r="N36" s="31">
        <v>28514</v>
      </c>
      <c r="O36" s="31">
        <v>31896</v>
      </c>
      <c r="P36" s="31">
        <v>35707</v>
      </c>
      <c r="Q36" s="31">
        <v>43986</v>
      </c>
      <c r="R36" s="31">
        <v>44547</v>
      </c>
      <c r="S36" s="31">
        <v>50525</v>
      </c>
      <c r="T36" s="31">
        <v>60676</v>
      </c>
      <c r="U36" s="31">
        <v>71110</v>
      </c>
    </row>
    <row r="37" spans="1:21">
      <c r="A37" s="11" t="s">
        <v>39</v>
      </c>
      <c r="B37" s="31">
        <v>7427</v>
      </c>
      <c r="C37" s="31">
        <v>7834</v>
      </c>
      <c r="D37" s="31">
        <v>8808</v>
      </c>
      <c r="E37" s="31">
        <v>10114</v>
      </c>
      <c r="F37" s="31">
        <v>12789</v>
      </c>
      <c r="G37" s="31">
        <v>14007</v>
      </c>
      <c r="H37" s="31">
        <v>15327</v>
      </c>
      <c r="I37" s="31">
        <v>16537</v>
      </c>
      <c r="J37" s="31">
        <v>17297</v>
      </c>
      <c r="K37" s="31">
        <v>19852</v>
      </c>
      <c r="L37" s="31">
        <v>23265</v>
      </c>
      <c r="M37" s="31">
        <v>26166</v>
      </c>
      <c r="N37" s="31">
        <v>27471</v>
      </c>
      <c r="O37" s="31">
        <v>32323</v>
      </c>
      <c r="P37" s="31">
        <v>38552</v>
      </c>
      <c r="Q37" s="31">
        <v>44864</v>
      </c>
      <c r="R37" s="31">
        <v>49696</v>
      </c>
      <c r="S37" s="31">
        <v>53203</v>
      </c>
      <c r="T37" s="31">
        <v>65463</v>
      </c>
      <c r="U37" s="31">
        <v>70796</v>
      </c>
    </row>
    <row r="38" spans="1:21">
      <c r="A38" s="10"/>
    </row>
  </sheetData>
  <phoneticPr fontId="6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7D8DA-C89A-F044-B6A5-57506EE6177C}">
  <dimension ref="A1:V38"/>
  <sheetViews>
    <sheetView workbookViewId="0">
      <selection sqref="A1:A1048576"/>
    </sheetView>
  </sheetViews>
  <sheetFormatPr baseColWidth="10" defaultRowHeight="16"/>
  <cols>
    <col min="1" max="1" width="19" customWidth="1"/>
  </cols>
  <sheetData>
    <row r="1" spans="1:22" ht="17">
      <c r="A1" s="23" t="s">
        <v>1</v>
      </c>
      <c r="B1" s="8">
        <v>1997</v>
      </c>
      <c r="C1" s="8">
        <v>1998</v>
      </c>
      <c r="D1" s="8">
        <v>1999</v>
      </c>
      <c r="E1" s="8">
        <v>2000</v>
      </c>
      <c r="F1" s="8">
        <v>2001</v>
      </c>
      <c r="G1" s="8">
        <v>2002</v>
      </c>
      <c r="H1" s="8">
        <v>2003</v>
      </c>
      <c r="I1" s="8">
        <v>2004</v>
      </c>
      <c r="J1" s="8">
        <v>2005</v>
      </c>
      <c r="K1" s="8">
        <v>2006</v>
      </c>
      <c r="L1" s="8">
        <v>2007</v>
      </c>
      <c r="M1" s="8">
        <v>2008</v>
      </c>
      <c r="N1" s="8">
        <v>2009</v>
      </c>
      <c r="O1" s="8">
        <v>2010</v>
      </c>
      <c r="P1" s="8">
        <v>2011</v>
      </c>
      <c r="Q1" s="8">
        <v>2012</v>
      </c>
      <c r="R1" s="8">
        <v>2013</v>
      </c>
      <c r="S1" s="8">
        <v>2014</v>
      </c>
      <c r="T1" s="8">
        <v>2015</v>
      </c>
      <c r="U1" s="8">
        <v>2016</v>
      </c>
    </row>
    <row r="2" spans="1:22">
      <c r="A2" s="16" t="s">
        <v>9</v>
      </c>
      <c r="B2" s="11">
        <v>1001.73</v>
      </c>
      <c r="C2" s="11">
        <v>1171.9000000000001</v>
      </c>
      <c r="D2" s="11">
        <v>1233.46</v>
      </c>
      <c r="E2" s="11">
        <v>1376.98</v>
      </c>
      <c r="F2" s="11">
        <v>1631.83</v>
      </c>
      <c r="G2" s="11">
        <v>1913.12</v>
      </c>
      <c r="H2" s="11">
        <v>2211.56</v>
      </c>
      <c r="I2" s="11">
        <v>2600.8000000000002</v>
      </c>
      <c r="J2" s="11">
        <v>3204.65</v>
      </c>
      <c r="K2" s="11">
        <v>3551.17</v>
      </c>
      <c r="L2" s="11">
        <v>4082.56</v>
      </c>
      <c r="M2" s="11">
        <v>3754.49</v>
      </c>
      <c r="N2" s="11">
        <v>4435</v>
      </c>
      <c r="O2" s="11">
        <v>5342.4</v>
      </c>
      <c r="P2" s="11">
        <v>5953.9</v>
      </c>
      <c r="Q2" s="11">
        <v>7032.8</v>
      </c>
      <c r="R2" s="11">
        <v>7595.4</v>
      </c>
      <c r="S2" s="11">
        <v>7957.2</v>
      </c>
      <c r="T2" s="11">
        <v>8155.36</v>
      </c>
      <c r="U2" s="11">
        <v>9716.0499999999993</v>
      </c>
      <c r="V2" s="4"/>
    </row>
    <row r="3" spans="1:22">
      <c r="A3" s="11" t="s">
        <v>10</v>
      </c>
      <c r="B3" s="11">
        <v>582.42999999999995</v>
      </c>
      <c r="C3" s="11">
        <v>640.15</v>
      </c>
      <c r="D3" s="11">
        <v>631.91999999999996</v>
      </c>
      <c r="E3" s="11">
        <v>695.1</v>
      </c>
      <c r="F3" s="11">
        <v>805.34</v>
      </c>
      <c r="G3" s="11">
        <v>926.65</v>
      </c>
      <c r="H3" s="11">
        <v>1180.54</v>
      </c>
      <c r="I3" s="11">
        <v>1446.49</v>
      </c>
      <c r="J3" s="11">
        <v>1753.92</v>
      </c>
      <c r="K3" s="11">
        <v>2122.35</v>
      </c>
      <c r="L3" s="11">
        <v>2681.35</v>
      </c>
      <c r="M3" s="11">
        <v>3746.99</v>
      </c>
      <c r="N3" s="11">
        <v>5077.8999999999996</v>
      </c>
      <c r="O3" s="11">
        <v>6468.5</v>
      </c>
      <c r="P3" s="11">
        <v>8069.9</v>
      </c>
      <c r="Q3" s="11">
        <v>9314.7999999999993</v>
      </c>
      <c r="R3" s="11">
        <v>10438.799999999999</v>
      </c>
      <c r="S3" s="11">
        <v>11338</v>
      </c>
      <c r="T3" s="11">
        <v>10495.81</v>
      </c>
      <c r="U3" s="11">
        <v>10113.89</v>
      </c>
      <c r="V3" s="4"/>
    </row>
    <row r="4" spans="1:22">
      <c r="A4" s="11" t="s">
        <v>11</v>
      </c>
      <c r="B4" s="11">
        <v>1486.07</v>
      </c>
      <c r="C4" s="11">
        <v>1665.1</v>
      </c>
      <c r="D4" s="11">
        <v>1822.3</v>
      </c>
      <c r="E4" s="11">
        <v>1963.65</v>
      </c>
      <c r="F4" s="11">
        <v>2088.89</v>
      </c>
      <c r="G4" s="11">
        <v>2219.17</v>
      </c>
      <c r="H4" s="11">
        <v>2654.03</v>
      </c>
      <c r="I4" s="11">
        <v>3452.08</v>
      </c>
      <c r="J4" s="11">
        <v>4239.12</v>
      </c>
      <c r="K4" s="11">
        <v>5094.34</v>
      </c>
      <c r="L4" s="11">
        <v>6211.94</v>
      </c>
      <c r="M4" s="11">
        <v>8397.68</v>
      </c>
      <c r="N4" s="11">
        <v>9390.2000000000007</v>
      </c>
      <c r="O4" s="11">
        <v>10791.6</v>
      </c>
      <c r="P4" s="11">
        <v>13688.8</v>
      </c>
      <c r="Q4" s="11">
        <v>15087.9</v>
      </c>
      <c r="R4" s="11">
        <v>16167.1</v>
      </c>
      <c r="S4" s="11">
        <v>17064.7</v>
      </c>
      <c r="T4" s="11">
        <v>17298.830000000002</v>
      </c>
      <c r="U4" s="11">
        <v>18595.7</v>
      </c>
      <c r="V4" s="4"/>
    </row>
    <row r="5" spans="1:22">
      <c r="A5" s="11" t="s">
        <v>12</v>
      </c>
      <c r="B5" s="11">
        <v>434.11</v>
      </c>
      <c r="C5" s="11">
        <v>562</v>
      </c>
      <c r="D5" s="11">
        <v>605.35</v>
      </c>
      <c r="E5" s="11">
        <v>657.6</v>
      </c>
      <c r="F5" s="11">
        <v>723.04</v>
      </c>
      <c r="G5" s="11">
        <v>855.65</v>
      </c>
      <c r="H5" s="11">
        <v>1113.18</v>
      </c>
      <c r="I5" s="11">
        <v>1454.12</v>
      </c>
      <c r="J5" s="11">
        <v>1897.39</v>
      </c>
      <c r="K5" s="11">
        <v>2345.5700000000002</v>
      </c>
      <c r="L5" s="11">
        <v>2909.61</v>
      </c>
      <c r="M5" s="11">
        <v>3587.61</v>
      </c>
      <c r="N5" s="11">
        <v>4856.8</v>
      </c>
      <c r="O5" s="11">
        <v>5973.1</v>
      </c>
      <c r="P5" s="11">
        <v>7256.1</v>
      </c>
      <c r="Q5" s="11">
        <v>7663.4</v>
      </c>
      <c r="R5" s="11">
        <v>8693.5</v>
      </c>
      <c r="S5" s="11">
        <v>8818.5</v>
      </c>
      <c r="T5" s="11">
        <v>8821.58</v>
      </c>
      <c r="U5" s="11">
        <v>8369.36</v>
      </c>
      <c r="V5" s="4"/>
    </row>
    <row r="6" spans="1:22">
      <c r="A6" s="11" t="s">
        <v>13</v>
      </c>
      <c r="B6" s="11">
        <v>317.47000000000003</v>
      </c>
      <c r="C6" s="11">
        <v>350.2</v>
      </c>
      <c r="D6" s="11">
        <v>383.37</v>
      </c>
      <c r="E6" s="11">
        <v>430.41629999999998</v>
      </c>
      <c r="F6" s="11">
        <v>498.02</v>
      </c>
      <c r="G6" s="11">
        <v>715.06</v>
      </c>
      <c r="H6" s="11">
        <v>1209.46</v>
      </c>
      <c r="I6" s="11">
        <v>1809.26</v>
      </c>
      <c r="J6" s="11">
        <v>2685.22</v>
      </c>
      <c r="K6" s="11">
        <v>3353.88</v>
      </c>
      <c r="L6" s="11">
        <v>4356.3900000000003</v>
      </c>
      <c r="M6" s="11">
        <v>5596.45</v>
      </c>
      <c r="N6" s="11">
        <v>7425.2</v>
      </c>
      <c r="O6" s="11">
        <v>8938.7000000000007</v>
      </c>
      <c r="P6" s="11">
        <v>10837.1</v>
      </c>
      <c r="Q6" s="11">
        <v>12954.3</v>
      </c>
      <c r="R6" s="11">
        <v>15287.1</v>
      </c>
      <c r="S6" s="11">
        <v>13453.9</v>
      </c>
      <c r="T6" s="11">
        <v>13844.43</v>
      </c>
      <c r="U6" s="11">
        <v>12489.5</v>
      </c>
      <c r="V6" s="4"/>
    </row>
    <row r="7" spans="1:22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4"/>
    </row>
    <row r="8" spans="1:22">
      <c r="A8" s="11" t="s">
        <v>14</v>
      </c>
      <c r="B8" s="11">
        <v>976.45</v>
      </c>
      <c r="C8" s="11">
        <v>1069.57</v>
      </c>
      <c r="D8" s="11">
        <v>1115.82</v>
      </c>
      <c r="E8" s="11">
        <v>1293.92</v>
      </c>
      <c r="F8" s="11">
        <v>1444.15</v>
      </c>
      <c r="G8" s="11">
        <v>1627.56</v>
      </c>
      <c r="H8" s="11">
        <v>2102.1</v>
      </c>
      <c r="I8" s="11">
        <v>3025.13</v>
      </c>
      <c r="J8" s="11">
        <v>3705.99</v>
      </c>
      <c r="K8" s="11">
        <v>4755.78</v>
      </c>
      <c r="L8" s="11">
        <v>6031.3</v>
      </c>
      <c r="M8" s="11">
        <v>9981.43</v>
      </c>
      <c r="N8" s="11">
        <v>8906.4</v>
      </c>
      <c r="O8" s="11">
        <v>11024.6</v>
      </c>
      <c r="P8" s="11">
        <v>13474.6</v>
      </c>
      <c r="Q8" s="11">
        <v>15049.6</v>
      </c>
      <c r="R8" s="11">
        <v>16479.8</v>
      </c>
      <c r="S8" s="11">
        <v>16927.400000000001</v>
      </c>
      <c r="T8" s="11">
        <v>12098.9</v>
      </c>
      <c r="U8" s="11">
        <v>9171.69</v>
      </c>
      <c r="V8" s="4"/>
    </row>
    <row r="9" spans="1:22">
      <c r="A9" s="11" t="s">
        <v>15</v>
      </c>
      <c r="B9" s="11">
        <v>386.38</v>
      </c>
      <c r="C9" s="11">
        <v>442.28</v>
      </c>
      <c r="D9" s="11">
        <v>525.04</v>
      </c>
      <c r="E9" s="11">
        <v>627.74</v>
      </c>
      <c r="F9" s="11">
        <v>699.65</v>
      </c>
      <c r="G9" s="11">
        <v>824.2</v>
      </c>
      <c r="H9" s="11">
        <v>998.1</v>
      </c>
      <c r="I9" s="11">
        <v>1182.1500000000001</v>
      </c>
      <c r="J9" s="11">
        <v>1743.66</v>
      </c>
      <c r="K9" s="11">
        <v>2804.29</v>
      </c>
      <c r="L9" s="11">
        <v>4003.18</v>
      </c>
      <c r="M9" s="11">
        <v>5608.3</v>
      </c>
      <c r="N9" s="11">
        <v>6280.5</v>
      </c>
      <c r="O9" s="11">
        <v>7618.1</v>
      </c>
      <c r="P9" s="11">
        <v>8355.5</v>
      </c>
      <c r="Q9" s="11">
        <v>9235</v>
      </c>
      <c r="R9" s="11">
        <v>9751.5</v>
      </c>
      <c r="S9" s="11">
        <v>10372.700000000001</v>
      </c>
      <c r="T9" s="11">
        <v>11001.19</v>
      </c>
      <c r="U9" s="11">
        <v>10185.74</v>
      </c>
      <c r="V9" s="4"/>
    </row>
    <row r="10" spans="1:22">
      <c r="A10" s="11" t="s">
        <v>16</v>
      </c>
      <c r="B10" s="11">
        <v>724.42</v>
      </c>
      <c r="C10" s="11">
        <v>865.34</v>
      </c>
      <c r="D10" s="11">
        <v>859.11</v>
      </c>
      <c r="E10" s="11">
        <v>926.7</v>
      </c>
      <c r="F10" s="11">
        <v>1051.67</v>
      </c>
      <c r="G10" s="11">
        <v>1158.3399999999999</v>
      </c>
      <c r="H10" s="11">
        <v>1267.0999999999999</v>
      </c>
      <c r="I10" s="11">
        <v>1516.85</v>
      </c>
      <c r="J10" s="11">
        <v>1788.67</v>
      </c>
      <c r="K10" s="11">
        <v>2232.04</v>
      </c>
      <c r="L10" s="11">
        <v>2877.84</v>
      </c>
      <c r="M10" s="11">
        <v>3655.29</v>
      </c>
      <c r="N10" s="11">
        <v>4995</v>
      </c>
      <c r="O10" s="11">
        <v>5410.5</v>
      </c>
      <c r="P10" s="11">
        <v>6599.3</v>
      </c>
      <c r="Q10" s="11">
        <v>7824.1</v>
      </c>
      <c r="R10" s="11">
        <v>9153.5</v>
      </c>
      <c r="S10" s="11">
        <v>9288</v>
      </c>
      <c r="T10" s="11">
        <v>9664.1</v>
      </c>
      <c r="U10" s="11">
        <v>9151.41</v>
      </c>
      <c r="V10" s="4"/>
    </row>
    <row r="11" spans="1:22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4"/>
    </row>
    <row r="12" spans="1:22">
      <c r="A12" s="11" t="s">
        <v>17</v>
      </c>
      <c r="B12" s="11">
        <v>1795.83</v>
      </c>
      <c r="C12" s="11">
        <v>1804.81</v>
      </c>
      <c r="D12" s="11">
        <v>1801.59</v>
      </c>
      <c r="E12" s="11">
        <v>1933.01</v>
      </c>
      <c r="F12" s="11">
        <v>2099.9899999999998</v>
      </c>
      <c r="G12" s="11">
        <v>2354.1</v>
      </c>
      <c r="H12" s="11">
        <v>2648.4</v>
      </c>
      <c r="I12" s="11">
        <v>3246.16</v>
      </c>
      <c r="J12" s="11">
        <v>3743.42</v>
      </c>
      <c r="K12" s="11">
        <v>4272.8500000000004</v>
      </c>
      <c r="L12" s="11">
        <v>5041.3999999999996</v>
      </c>
      <c r="M12" s="11">
        <v>5419.43</v>
      </c>
      <c r="N12" s="11">
        <v>6447.5</v>
      </c>
      <c r="O12" s="11">
        <v>6380.3</v>
      </c>
      <c r="P12" s="11">
        <v>6801.8</v>
      </c>
      <c r="Q12" s="11">
        <v>7012.5</v>
      </c>
      <c r="R12" s="11">
        <v>7617.1</v>
      </c>
      <c r="S12" s="11">
        <v>8022.5</v>
      </c>
      <c r="T12" s="11">
        <v>8999.8700000000008</v>
      </c>
      <c r="U12" s="11">
        <v>10631.37</v>
      </c>
      <c r="V12" s="4"/>
    </row>
    <row r="13" spans="1:22">
      <c r="A13" s="11" t="s">
        <v>18</v>
      </c>
      <c r="B13" s="11">
        <v>2295.9699999999998</v>
      </c>
      <c r="C13" s="11">
        <v>2642.29</v>
      </c>
      <c r="D13" s="11">
        <v>2842.65</v>
      </c>
      <c r="E13" s="11">
        <v>3125.4185900000002</v>
      </c>
      <c r="F13" s="11">
        <v>3443.16</v>
      </c>
      <c r="G13" s="11">
        <v>3994.23</v>
      </c>
      <c r="H13" s="11">
        <v>5480.8</v>
      </c>
      <c r="I13" s="11">
        <v>6972.68</v>
      </c>
      <c r="J13" s="11">
        <v>8739.7099999999991</v>
      </c>
      <c r="K13" s="11">
        <v>10021.43</v>
      </c>
      <c r="L13" s="11">
        <v>11594.62</v>
      </c>
      <c r="M13" s="11">
        <v>14418.47</v>
      </c>
      <c r="N13" s="11">
        <v>17138</v>
      </c>
      <c r="O13" s="11">
        <v>20709.099999999999</v>
      </c>
      <c r="P13" s="11">
        <v>24522.2</v>
      </c>
      <c r="Q13" s="11">
        <v>26415.5</v>
      </c>
      <c r="R13" s="11">
        <v>27711.1</v>
      </c>
      <c r="S13" s="11">
        <v>28796.2</v>
      </c>
      <c r="T13" s="11">
        <v>29940.82</v>
      </c>
      <c r="U13" s="11">
        <v>32254.560000000001</v>
      </c>
      <c r="V13" s="4"/>
    </row>
    <row r="14" spans="1:22">
      <c r="A14" s="11" t="s">
        <v>19</v>
      </c>
      <c r="B14" s="11">
        <v>1694.57</v>
      </c>
      <c r="C14" s="11">
        <v>1848</v>
      </c>
      <c r="D14" s="11">
        <v>1970.59</v>
      </c>
      <c r="E14" s="11">
        <v>2267.1999999999998</v>
      </c>
      <c r="F14" s="11">
        <v>2645.4</v>
      </c>
      <c r="G14" s="11">
        <v>3255.13</v>
      </c>
      <c r="H14" s="11">
        <v>4455.21</v>
      </c>
      <c r="I14" s="11">
        <v>5563.87</v>
      </c>
      <c r="J14" s="11">
        <v>6269.16</v>
      </c>
      <c r="K14" s="11">
        <v>7065.65</v>
      </c>
      <c r="L14" s="11">
        <v>8201.2800000000007</v>
      </c>
      <c r="M14" s="11">
        <v>9369.14</v>
      </c>
      <c r="N14" s="11">
        <v>10220.1</v>
      </c>
      <c r="O14" s="11">
        <v>12101.3</v>
      </c>
      <c r="P14" s="11">
        <v>13822.9</v>
      </c>
      <c r="Q14" s="11">
        <v>14607.6</v>
      </c>
      <c r="R14" s="11">
        <v>16139.7</v>
      </c>
      <c r="S14" s="11">
        <v>17000.900000000001</v>
      </c>
      <c r="T14" s="11">
        <v>18213.27</v>
      </c>
      <c r="U14" s="11">
        <v>20677.810000000001</v>
      </c>
      <c r="V14" s="4"/>
    </row>
    <row r="15" spans="1:22">
      <c r="A15" s="11" t="s">
        <v>20</v>
      </c>
      <c r="B15" s="11">
        <v>779.21</v>
      </c>
      <c r="C15" s="11">
        <v>822.73</v>
      </c>
      <c r="D15" s="11">
        <v>839.29</v>
      </c>
      <c r="E15" s="11">
        <v>928.087582</v>
      </c>
      <c r="F15" s="11">
        <v>1012.31</v>
      </c>
      <c r="G15" s="11">
        <v>1133.42</v>
      </c>
      <c r="H15" s="11">
        <v>1362.18</v>
      </c>
      <c r="I15" s="11">
        <v>1877.75</v>
      </c>
      <c r="J15" s="11">
        <v>2224.31</v>
      </c>
      <c r="K15" s="11">
        <v>2682.62</v>
      </c>
      <c r="L15" s="11">
        <v>3346.26</v>
      </c>
      <c r="M15" s="11">
        <v>4290.1899999999996</v>
      </c>
      <c r="N15" s="11">
        <v>4820.5</v>
      </c>
      <c r="O15" s="11">
        <v>6061.1</v>
      </c>
      <c r="P15" s="11">
        <v>7594.4</v>
      </c>
      <c r="Q15" s="11">
        <v>8680.9</v>
      </c>
      <c r="R15" s="11">
        <v>9739.1</v>
      </c>
      <c r="S15" s="11">
        <v>10723.8</v>
      </c>
      <c r="T15" s="11">
        <v>11106.51</v>
      </c>
      <c r="U15" s="11">
        <v>12345.14</v>
      </c>
      <c r="V15" s="4"/>
    </row>
    <row r="16" spans="1:22">
      <c r="A16" s="11" t="s">
        <v>21</v>
      </c>
      <c r="B16" s="11">
        <v>981.45</v>
      </c>
      <c r="C16" s="11">
        <v>1145.3499999999999</v>
      </c>
      <c r="D16" s="11">
        <v>1184.8399999999999</v>
      </c>
      <c r="E16" s="11">
        <v>1258.8900000000001</v>
      </c>
      <c r="F16" s="11">
        <v>1319.32</v>
      </c>
      <c r="G16" s="11">
        <v>1443.46</v>
      </c>
      <c r="H16" s="11">
        <v>1752.48</v>
      </c>
      <c r="I16" s="11">
        <v>2210.11</v>
      </c>
      <c r="J16" s="11">
        <v>2654.95</v>
      </c>
      <c r="K16" s="11">
        <v>3310.15</v>
      </c>
      <c r="L16" s="11">
        <v>4344.88</v>
      </c>
      <c r="M16" s="11">
        <v>5601.36</v>
      </c>
      <c r="N16" s="11">
        <v>6438.3</v>
      </c>
      <c r="O16" s="11">
        <v>7341.6</v>
      </c>
      <c r="P16" s="11">
        <v>9060.5</v>
      </c>
      <c r="Q16" s="11">
        <v>10270.200000000001</v>
      </c>
      <c r="R16" s="11">
        <v>11678.6</v>
      </c>
      <c r="S16" s="11">
        <v>13038</v>
      </c>
      <c r="T16" s="11">
        <v>14140.3</v>
      </c>
      <c r="U16" s="11">
        <v>15576.09</v>
      </c>
      <c r="V16" s="4"/>
    </row>
    <row r="17" spans="1:22">
      <c r="A17" s="11" t="s">
        <v>22</v>
      </c>
      <c r="B17" s="11">
        <v>477.3</v>
      </c>
      <c r="C17" s="11">
        <v>520.82000000000005</v>
      </c>
      <c r="D17" s="11">
        <v>552.66999999999996</v>
      </c>
      <c r="E17" s="11">
        <v>605.54</v>
      </c>
      <c r="F17" s="11">
        <v>696.7</v>
      </c>
      <c r="G17" s="11">
        <v>931.8</v>
      </c>
      <c r="H17" s="11">
        <v>1303.23</v>
      </c>
      <c r="I17" s="11">
        <v>1673.31</v>
      </c>
      <c r="J17" s="11">
        <v>1922.1</v>
      </c>
      <c r="K17" s="11">
        <v>2282.41</v>
      </c>
      <c r="L17" s="11">
        <v>2688.33</v>
      </c>
      <c r="M17" s="11">
        <v>3203.51</v>
      </c>
      <c r="N17" s="11">
        <v>4082.6</v>
      </c>
      <c r="O17" s="11">
        <v>4740.3</v>
      </c>
      <c r="P17" s="11">
        <v>5785.8</v>
      </c>
      <c r="Q17" s="11">
        <v>6301.1</v>
      </c>
      <c r="R17" s="11">
        <v>6774.2</v>
      </c>
      <c r="S17" s="11">
        <v>6876.9</v>
      </c>
      <c r="T17" s="11">
        <v>7706</v>
      </c>
      <c r="U17" s="11">
        <v>9029.49</v>
      </c>
      <c r="V17" s="4"/>
    </row>
    <row r="18" spans="1:22">
      <c r="A18" s="11" t="s">
        <v>23</v>
      </c>
      <c r="B18" s="11">
        <v>2044.45</v>
      </c>
      <c r="C18" s="11">
        <v>2347.02</v>
      </c>
      <c r="D18" s="11">
        <v>2662.95</v>
      </c>
      <c r="E18" s="11">
        <v>3200.77</v>
      </c>
      <c r="F18" s="11">
        <v>3570.59</v>
      </c>
      <c r="G18" s="11">
        <v>4261.9399999999996</v>
      </c>
      <c r="H18" s="11">
        <v>5275.17</v>
      </c>
      <c r="I18" s="11">
        <v>7033.2</v>
      </c>
      <c r="J18" s="11">
        <v>8798.7900000000009</v>
      </c>
      <c r="K18" s="11">
        <v>10408.84</v>
      </c>
      <c r="L18" s="11">
        <v>11784.57</v>
      </c>
      <c r="M18" s="11">
        <v>14141.48</v>
      </c>
      <c r="N18" s="11">
        <v>17734.400000000001</v>
      </c>
      <c r="O18" s="11">
        <v>20800.599999999999</v>
      </c>
      <c r="P18" s="11">
        <v>24281.200000000001</v>
      </c>
      <c r="Q18" s="11">
        <v>26808.9</v>
      </c>
      <c r="R18" s="11">
        <v>29249.5</v>
      </c>
      <c r="S18" s="11">
        <v>31647.1</v>
      </c>
      <c r="T18" s="11">
        <v>33229.42</v>
      </c>
      <c r="U18" s="11">
        <v>33548.68</v>
      </c>
      <c r="V18" s="4"/>
    </row>
    <row r="19" spans="1:22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4"/>
    </row>
    <row r="20" spans="1:22">
      <c r="A20" s="11" t="s">
        <v>24</v>
      </c>
      <c r="B20" s="11">
        <v>1255.5899999999999</v>
      </c>
      <c r="C20" s="11">
        <v>1414.85</v>
      </c>
      <c r="D20" s="11">
        <v>1472.53</v>
      </c>
      <c r="E20" s="11">
        <v>1659.58</v>
      </c>
      <c r="F20" s="11">
        <v>1806.41</v>
      </c>
      <c r="G20" s="11">
        <v>2030.16</v>
      </c>
      <c r="H20" s="11">
        <v>2466.5100000000002</v>
      </c>
      <c r="I20" s="11">
        <v>3273.99</v>
      </c>
      <c r="J20" s="11">
        <v>4506.75</v>
      </c>
      <c r="K20" s="11">
        <v>6007.32</v>
      </c>
      <c r="L20" s="11">
        <v>8043.35</v>
      </c>
      <c r="M20" s="11">
        <v>10435.379999999999</v>
      </c>
      <c r="N20" s="11">
        <v>12996.1</v>
      </c>
      <c r="O20" s="11">
        <v>15704.1</v>
      </c>
      <c r="P20" s="11">
        <v>18819.2</v>
      </c>
      <c r="Q20" s="11">
        <v>21667.8</v>
      </c>
      <c r="R20" s="11">
        <v>24376</v>
      </c>
      <c r="S20" s="11">
        <v>26655.8</v>
      </c>
      <c r="T20" s="11">
        <v>27722.49</v>
      </c>
      <c r="U20" s="11">
        <v>29595.119999999999</v>
      </c>
      <c r="V20" s="4"/>
    </row>
    <row r="21" spans="1:22">
      <c r="A21" s="11" t="s">
        <v>25</v>
      </c>
      <c r="B21" s="11">
        <v>1102.0999999999999</v>
      </c>
      <c r="C21" s="11">
        <v>1238.9000000000001</v>
      </c>
      <c r="D21" s="11">
        <v>1320.1</v>
      </c>
      <c r="E21" s="11">
        <v>1451.85</v>
      </c>
      <c r="F21" s="11">
        <v>1610.93</v>
      </c>
      <c r="G21" s="11">
        <v>1699.78</v>
      </c>
      <c r="H21" s="11">
        <v>1875.78</v>
      </c>
      <c r="I21" s="11">
        <v>2316.48</v>
      </c>
      <c r="J21" s="11">
        <v>2804.01</v>
      </c>
      <c r="K21" s="11">
        <v>3542.47</v>
      </c>
      <c r="L21" s="11">
        <v>4371.1400000000003</v>
      </c>
      <c r="M21" s="11">
        <v>5368.99</v>
      </c>
      <c r="N21" s="11">
        <v>6612.9</v>
      </c>
      <c r="O21" s="11">
        <v>8200.4</v>
      </c>
      <c r="P21" s="11">
        <v>10597.8</v>
      </c>
      <c r="Q21" s="11">
        <v>12064.8</v>
      </c>
      <c r="R21" s="11">
        <v>13701.9</v>
      </c>
      <c r="S21" s="11">
        <v>15442.9</v>
      </c>
      <c r="T21" s="11">
        <v>16757.349999999999</v>
      </c>
      <c r="U21" s="11">
        <v>18515.84</v>
      </c>
      <c r="V21" s="4"/>
    </row>
    <row r="22" spans="1:22">
      <c r="A22" s="11" t="s">
        <v>26</v>
      </c>
      <c r="B22" s="11">
        <v>725.73</v>
      </c>
      <c r="C22" s="11">
        <v>846.37</v>
      </c>
      <c r="D22" s="11">
        <v>956.1</v>
      </c>
      <c r="E22" s="11">
        <v>1082</v>
      </c>
      <c r="F22" s="11">
        <v>1233.17</v>
      </c>
      <c r="G22" s="11">
        <v>1380.89</v>
      </c>
      <c r="H22" s="11">
        <v>1613.12</v>
      </c>
      <c r="I22" s="11">
        <v>1959.75</v>
      </c>
      <c r="J22" s="11">
        <v>2569.2399999999998</v>
      </c>
      <c r="K22" s="11">
        <v>3125.38</v>
      </c>
      <c r="L22" s="11">
        <v>3945.45</v>
      </c>
      <c r="M22" s="11">
        <v>5480.69</v>
      </c>
      <c r="N22" s="11">
        <v>6666.8</v>
      </c>
      <c r="O22" s="11">
        <v>8568.7999999999993</v>
      </c>
      <c r="P22" s="11">
        <v>10487.3</v>
      </c>
      <c r="Q22" s="11">
        <v>11990.7</v>
      </c>
      <c r="R22" s="11">
        <v>13573.9</v>
      </c>
      <c r="S22" s="11">
        <v>15139.7</v>
      </c>
      <c r="T22" s="11">
        <v>15085</v>
      </c>
      <c r="U22" s="11">
        <v>16477.36</v>
      </c>
      <c r="V22" s="4"/>
    </row>
    <row r="23" spans="1:22">
      <c r="A23" s="11" t="s">
        <v>27</v>
      </c>
      <c r="B23" s="11">
        <v>2288.69</v>
      </c>
      <c r="C23" s="11">
        <v>2651.24</v>
      </c>
      <c r="D23" s="11">
        <v>2974.32</v>
      </c>
      <c r="E23" s="11">
        <v>3175.93</v>
      </c>
      <c r="F23" s="11">
        <v>3492.18</v>
      </c>
      <c r="G23" s="11">
        <v>3892.49</v>
      </c>
      <c r="H23" s="11">
        <v>4934.87</v>
      </c>
      <c r="I23" s="11">
        <v>5939.32</v>
      </c>
      <c r="J23" s="11">
        <v>7407.54</v>
      </c>
      <c r="K23" s="11">
        <v>8465.26</v>
      </c>
      <c r="L23" s="11">
        <v>9920.99</v>
      </c>
      <c r="M23" s="11">
        <v>11405.38</v>
      </c>
      <c r="N23" s="11">
        <v>14025.1</v>
      </c>
      <c r="O23" s="11">
        <v>16812.7</v>
      </c>
      <c r="P23" s="11">
        <v>19432.8</v>
      </c>
      <c r="Q23" s="11">
        <v>22033.8</v>
      </c>
      <c r="R23" s="11">
        <v>24997.7</v>
      </c>
      <c r="S23" s="11">
        <v>27930.799999999999</v>
      </c>
      <c r="T23" s="11">
        <v>29250.44</v>
      </c>
      <c r="U23" s="11">
        <v>33279.65</v>
      </c>
      <c r="V23" s="4"/>
    </row>
    <row r="24" spans="1:22">
      <c r="A24" s="11" t="s">
        <v>28</v>
      </c>
      <c r="B24" s="11">
        <v>487.29</v>
      </c>
      <c r="C24" s="11">
        <v>573.1</v>
      </c>
      <c r="D24" s="11">
        <v>629.07000000000005</v>
      </c>
      <c r="E24" s="11">
        <v>670.65</v>
      </c>
      <c r="F24" s="11">
        <v>735.56</v>
      </c>
      <c r="G24" s="11">
        <v>842.72</v>
      </c>
      <c r="H24" s="11">
        <v>990.71</v>
      </c>
      <c r="I24" s="11">
        <v>1296.55</v>
      </c>
      <c r="J24" s="11">
        <v>1699.04</v>
      </c>
      <c r="K24" s="11">
        <v>2201.15</v>
      </c>
      <c r="L24" s="11">
        <v>2831.62</v>
      </c>
      <c r="M24" s="11">
        <v>3559.92</v>
      </c>
      <c r="N24" s="11">
        <v>5533.2</v>
      </c>
      <c r="O24" s="11">
        <v>7785.5</v>
      </c>
      <c r="P24" s="11">
        <v>9745.7000000000007</v>
      </c>
      <c r="Q24" s="11">
        <v>10547.4</v>
      </c>
      <c r="R24" s="11">
        <v>9725.6</v>
      </c>
      <c r="S24" s="11">
        <v>10463.1</v>
      </c>
      <c r="T24" s="11">
        <v>11264.65</v>
      </c>
      <c r="U24" s="11">
        <v>12114.06</v>
      </c>
      <c r="V24" s="4"/>
    </row>
    <row r="25" spans="1:22">
      <c r="A25" s="11" t="s">
        <v>29</v>
      </c>
      <c r="B25" s="11">
        <v>162.36000000000001</v>
      </c>
      <c r="C25" s="11">
        <v>173.48</v>
      </c>
      <c r="D25" s="11">
        <v>187.91</v>
      </c>
      <c r="E25" s="11">
        <v>196.4</v>
      </c>
      <c r="F25" s="11">
        <v>207.42</v>
      </c>
      <c r="G25" s="11">
        <v>223.68</v>
      </c>
      <c r="H25" s="11">
        <v>262.97000000000003</v>
      </c>
      <c r="I25" s="11">
        <v>307.85000000000002</v>
      </c>
      <c r="J25" s="11">
        <v>363.37</v>
      </c>
      <c r="K25" s="11">
        <v>423.88</v>
      </c>
      <c r="L25" s="11">
        <v>495.5</v>
      </c>
      <c r="M25" s="11">
        <v>741.07</v>
      </c>
      <c r="N25" s="11">
        <v>895.9</v>
      </c>
      <c r="O25" s="11">
        <v>1179.4000000000001</v>
      </c>
      <c r="P25" s="11">
        <v>1460.5</v>
      </c>
      <c r="Q25" s="11">
        <v>1947.9</v>
      </c>
      <c r="R25" s="11">
        <v>2233.5</v>
      </c>
      <c r="S25" s="11">
        <v>2549.3000000000002</v>
      </c>
      <c r="T25" s="11">
        <v>2325.12</v>
      </c>
      <c r="U25" s="11">
        <v>2519.06</v>
      </c>
      <c r="V25" s="4"/>
    </row>
    <row r="26" spans="1:22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4"/>
    </row>
    <row r="27" spans="1:22">
      <c r="A27" s="11" t="s">
        <v>30</v>
      </c>
      <c r="B27" s="11">
        <v>392.66</v>
      </c>
      <c r="C27" s="11">
        <v>516.30999999999995</v>
      </c>
      <c r="D27" s="11">
        <v>558.99</v>
      </c>
      <c r="E27" s="11">
        <v>633.42999999999995</v>
      </c>
      <c r="F27" s="11">
        <v>760.33</v>
      </c>
      <c r="G27" s="11">
        <v>931.53</v>
      </c>
      <c r="H27" s="11">
        <v>1244.83</v>
      </c>
      <c r="I27" s="11">
        <v>1552.99</v>
      </c>
      <c r="J27" s="11">
        <v>1862.65</v>
      </c>
      <c r="K27" s="11">
        <v>2138.1999999999998</v>
      </c>
      <c r="L27" s="11">
        <v>2587.86</v>
      </c>
      <c r="M27" s="11">
        <v>3615.03</v>
      </c>
      <c r="N27" s="11">
        <v>3633.2</v>
      </c>
      <c r="O27" s="11">
        <v>4379.3</v>
      </c>
      <c r="P27" s="11">
        <v>5511.2</v>
      </c>
      <c r="Q27" s="11">
        <v>6041.2</v>
      </c>
      <c r="R27" s="11">
        <v>6581</v>
      </c>
      <c r="S27" s="11">
        <v>7380.9</v>
      </c>
      <c r="T27" s="11">
        <v>8042.53</v>
      </c>
      <c r="U27" s="11">
        <v>9114.89</v>
      </c>
      <c r="V27" s="4"/>
    </row>
    <row r="28" spans="1:22">
      <c r="A28" s="11" t="s">
        <v>31</v>
      </c>
      <c r="B28" s="11">
        <v>977.28</v>
      </c>
      <c r="C28" s="11">
        <v>1185.21</v>
      </c>
      <c r="D28" s="11">
        <v>1229.81</v>
      </c>
      <c r="E28" s="11">
        <v>1349.69</v>
      </c>
      <c r="F28" s="11">
        <v>1576.25</v>
      </c>
      <c r="G28" s="11">
        <v>1819.27</v>
      </c>
      <c r="H28" s="11">
        <v>2174.7600000000002</v>
      </c>
      <c r="I28" s="11">
        <v>2587.14</v>
      </c>
      <c r="J28" s="11">
        <v>3179.92</v>
      </c>
      <c r="K28" s="11">
        <v>3989.63</v>
      </c>
      <c r="L28" s="11">
        <v>5005.45</v>
      </c>
      <c r="M28" s="11">
        <v>6579.56</v>
      </c>
      <c r="N28" s="11">
        <v>7464.2</v>
      </c>
      <c r="O28" s="11">
        <v>8911.1</v>
      </c>
      <c r="P28" s="11">
        <v>10691.3</v>
      </c>
      <c r="Q28" s="11">
        <v>12096.2</v>
      </c>
      <c r="R28" s="11">
        <v>13081.7</v>
      </c>
      <c r="S28" s="11">
        <v>13990.6</v>
      </c>
      <c r="T28" s="11">
        <v>14415.31</v>
      </c>
      <c r="U28" s="11">
        <v>15800.46</v>
      </c>
      <c r="V28" s="4"/>
    </row>
    <row r="29" spans="1:22">
      <c r="A29" s="11" t="s">
        <v>32</v>
      </c>
      <c r="B29" s="11">
        <v>278.67</v>
      </c>
      <c r="C29" s="11">
        <v>339.6</v>
      </c>
      <c r="D29" s="11">
        <v>398.46</v>
      </c>
      <c r="E29" s="11">
        <v>458.84</v>
      </c>
      <c r="F29" s="11">
        <v>579.54999999999995</v>
      </c>
      <c r="G29" s="11">
        <v>668.58</v>
      </c>
      <c r="H29" s="11">
        <v>774.73</v>
      </c>
      <c r="I29" s="11">
        <v>878.85</v>
      </c>
      <c r="J29" s="11">
        <v>996.24</v>
      </c>
      <c r="K29" s="11">
        <v>1152.95</v>
      </c>
      <c r="L29" s="11">
        <v>1361.79</v>
      </c>
      <c r="M29" s="11">
        <v>1689.06</v>
      </c>
      <c r="N29" s="11">
        <v>2046.8</v>
      </c>
      <c r="O29" s="11">
        <v>2510.4</v>
      </c>
      <c r="P29" s="11">
        <v>3147.5</v>
      </c>
      <c r="Q29" s="11">
        <v>4067.3</v>
      </c>
      <c r="R29" s="11">
        <v>5141.8</v>
      </c>
      <c r="S29" s="11">
        <v>5928.8</v>
      </c>
      <c r="T29" s="11">
        <v>6913.85</v>
      </c>
      <c r="U29" s="11">
        <v>7975.49</v>
      </c>
      <c r="V29" s="4"/>
    </row>
    <row r="30" spans="1:22">
      <c r="A30" s="11" t="s">
        <v>33</v>
      </c>
      <c r="B30" s="11">
        <v>549.41999999999996</v>
      </c>
      <c r="C30" s="11">
        <v>689.35</v>
      </c>
      <c r="D30" s="11">
        <v>720.87</v>
      </c>
      <c r="E30" s="11">
        <v>701.43</v>
      </c>
      <c r="F30" s="11">
        <v>747.86</v>
      </c>
      <c r="G30" s="11">
        <v>829.74</v>
      </c>
      <c r="H30" s="11">
        <v>1031.3900000000001</v>
      </c>
      <c r="I30" s="11">
        <v>1352.78</v>
      </c>
      <c r="J30" s="11">
        <v>1755.3</v>
      </c>
      <c r="K30" s="11">
        <v>2156.84</v>
      </c>
      <c r="L30" s="11">
        <v>2616.77</v>
      </c>
      <c r="M30" s="11">
        <v>2616.77</v>
      </c>
      <c r="N30" s="11">
        <v>3502.4</v>
      </c>
      <c r="O30" s="11">
        <v>5213.1000000000004</v>
      </c>
      <c r="P30" s="11">
        <v>6678.2</v>
      </c>
      <c r="Q30" s="11">
        <v>7949.5</v>
      </c>
      <c r="R30" s="11">
        <v>9311.1</v>
      </c>
      <c r="S30" s="11">
        <v>10918.8</v>
      </c>
      <c r="T30" s="11">
        <v>12080.1</v>
      </c>
      <c r="U30" s="11">
        <v>13321.13</v>
      </c>
      <c r="V30" s="4"/>
    </row>
    <row r="31" spans="1:22">
      <c r="A31" s="11" t="s">
        <v>34</v>
      </c>
      <c r="B31" s="11">
        <v>26.94</v>
      </c>
      <c r="C31" s="11">
        <v>30.46</v>
      </c>
      <c r="D31" s="11">
        <v>36.979999999999997</v>
      </c>
      <c r="E31" s="11">
        <v>38.26</v>
      </c>
      <c r="F31" s="11">
        <v>41.99</v>
      </c>
      <c r="G31" s="11">
        <v>68.63</v>
      </c>
      <c r="H31" s="11">
        <v>100.97</v>
      </c>
      <c r="I31" s="11">
        <v>168.45</v>
      </c>
      <c r="J31" s="11">
        <v>196.19</v>
      </c>
      <c r="K31" s="11">
        <v>232.35</v>
      </c>
      <c r="L31" s="11">
        <v>271.67</v>
      </c>
      <c r="M31" s="11">
        <v>312.86</v>
      </c>
      <c r="N31" s="11">
        <v>379.4</v>
      </c>
      <c r="O31" s="11">
        <v>561.4</v>
      </c>
      <c r="P31" s="11">
        <v>547.5</v>
      </c>
      <c r="Q31" s="11">
        <v>709.1</v>
      </c>
      <c r="R31" s="11">
        <v>898.4</v>
      </c>
      <c r="S31" s="11">
        <v>1050.9000000000001</v>
      </c>
      <c r="T31" s="11">
        <v>1027.02</v>
      </c>
      <c r="U31" s="11">
        <v>1151.9100000000001</v>
      </c>
      <c r="V31" s="4"/>
    </row>
    <row r="32" spans="1:2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4"/>
    </row>
    <row r="33" spans="1:22">
      <c r="A33" s="11" t="s">
        <v>35</v>
      </c>
      <c r="B33" s="11">
        <v>464.8</v>
      </c>
      <c r="C33" s="11">
        <v>573.49</v>
      </c>
      <c r="D33" s="11">
        <v>651.33000000000004</v>
      </c>
      <c r="E33" s="11">
        <v>796.21</v>
      </c>
      <c r="F33" s="11">
        <v>887.24</v>
      </c>
      <c r="G33" s="11">
        <v>1016.87</v>
      </c>
      <c r="H33" s="11">
        <v>1390.28</v>
      </c>
      <c r="I33" s="11">
        <v>1649.28</v>
      </c>
      <c r="J33" s="11">
        <v>2035.2</v>
      </c>
      <c r="K33" s="11">
        <v>2659.37</v>
      </c>
      <c r="L33" s="11">
        <v>3152.28</v>
      </c>
      <c r="M33" s="11">
        <v>4569.16</v>
      </c>
      <c r="N33" s="11">
        <v>5270.3</v>
      </c>
      <c r="O33" s="11">
        <v>6851.5</v>
      </c>
      <c r="P33" s="11">
        <v>8190.2</v>
      </c>
      <c r="Q33" s="11">
        <v>9700.1</v>
      </c>
      <c r="R33" s="11">
        <v>10779.5</v>
      </c>
      <c r="S33" s="11">
        <v>11783.7</v>
      </c>
      <c r="T33" s="11">
        <v>11662.79</v>
      </c>
      <c r="U33" s="11">
        <v>12584.82</v>
      </c>
      <c r="V33" s="4"/>
    </row>
    <row r="34" spans="1:22">
      <c r="A34" s="11" t="s">
        <v>36</v>
      </c>
      <c r="B34" s="11">
        <v>215.98</v>
      </c>
      <c r="C34" s="11">
        <v>239.25</v>
      </c>
      <c r="D34" s="11">
        <v>283.85000000000002</v>
      </c>
      <c r="E34" s="11">
        <v>336.23</v>
      </c>
      <c r="F34" s="11">
        <v>364.34</v>
      </c>
      <c r="G34" s="11">
        <v>466.5</v>
      </c>
      <c r="H34" s="11">
        <v>530.67999999999995</v>
      </c>
      <c r="I34" s="11">
        <v>639.82000000000005</v>
      </c>
      <c r="J34" s="11">
        <v>874.52</v>
      </c>
      <c r="K34" s="11">
        <v>1027.78</v>
      </c>
      <c r="L34" s="11">
        <v>1221.96</v>
      </c>
      <c r="M34" s="11">
        <v>1733.54</v>
      </c>
      <c r="N34" s="11">
        <v>1788.3</v>
      </c>
      <c r="O34" s="11">
        <v>2177.9</v>
      </c>
      <c r="P34" s="11">
        <v>2685.8</v>
      </c>
      <c r="Q34" s="11">
        <v>3128.7</v>
      </c>
      <c r="R34" s="11">
        <v>3649.1</v>
      </c>
      <c r="S34" s="11">
        <v>4116.7</v>
      </c>
      <c r="T34" s="11">
        <v>4412.26</v>
      </c>
      <c r="U34" s="11">
        <v>4894.0200000000004</v>
      </c>
      <c r="V34" s="4"/>
    </row>
    <row r="35" spans="1:22">
      <c r="A35" s="11" t="s">
        <v>37</v>
      </c>
      <c r="B35" s="11">
        <v>101.55</v>
      </c>
      <c r="C35" s="11">
        <v>116.38</v>
      </c>
      <c r="D35" s="11">
        <v>131.12</v>
      </c>
      <c r="E35" s="11">
        <v>156.97</v>
      </c>
      <c r="F35" s="11">
        <v>202.17</v>
      </c>
      <c r="G35" s="11">
        <v>244</v>
      </c>
      <c r="H35" s="11">
        <v>290.49</v>
      </c>
      <c r="I35" s="11">
        <v>319.02</v>
      </c>
      <c r="J35" s="11">
        <v>364.08</v>
      </c>
      <c r="K35" s="11">
        <v>411.68</v>
      </c>
      <c r="L35" s="11">
        <v>480.43</v>
      </c>
      <c r="M35" s="11">
        <v>583.20000000000005</v>
      </c>
      <c r="N35" s="11">
        <v>791.8</v>
      </c>
      <c r="O35" s="11">
        <v>1057.9000000000001</v>
      </c>
      <c r="P35" s="11">
        <v>1369.9</v>
      </c>
      <c r="Q35" s="11">
        <v>1895.7</v>
      </c>
      <c r="R35" s="11">
        <v>2418.3000000000002</v>
      </c>
      <c r="S35" s="11">
        <v>2953.5</v>
      </c>
      <c r="T35" s="11">
        <v>3303.61</v>
      </c>
      <c r="U35" s="11">
        <v>3551.9</v>
      </c>
      <c r="V35" s="4"/>
    </row>
    <row r="36" spans="1:22">
      <c r="A36" s="11" t="s">
        <v>38</v>
      </c>
      <c r="B36" s="11">
        <v>88.1</v>
      </c>
      <c r="C36" s="11">
        <v>108.65</v>
      </c>
      <c r="D36" s="11">
        <v>130.61000000000001</v>
      </c>
      <c r="E36" s="11">
        <v>160.82</v>
      </c>
      <c r="F36" s="11">
        <v>195.81</v>
      </c>
      <c r="G36" s="11">
        <v>230.83</v>
      </c>
      <c r="H36" s="11">
        <v>318.20999999999998</v>
      </c>
      <c r="I36" s="11">
        <v>379.72</v>
      </c>
      <c r="J36" s="11">
        <v>444.82</v>
      </c>
      <c r="K36" s="11">
        <v>515.26</v>
      </c>
      <c r="L36" s="11">
        <v>621.82000000000005</v>
      </c>
      <c r="M36" s="11">
        <v>858.64</v>
      </c>
      <c r="N36" s="11">
        <v>1185.4000000000001</v>
      </c>
      <c r="O36" s="11">
        <v>1490</v>
      </c>
      <c r="P36" s="11">
        <v>1653.2</v>
      </c>
      <c r="Q36" s="11">
        <v>1967.2</v>
      </c>
      <c r="R36" s="11">
        <v>2223</v>
      </c>
      <c r="S36" s="11">
        <v>2987.7</v>
      </c>
      <c r="T36" s="11">
        <v>3516.86</v>
      </c>
      <c r="U36" s="11">
        <v>3757.09</v>
      </c>
      <c r="V36" s="4"/>
    </row>
    <row r="37" spans="1:22">
      <c r="A37" s="11" t="s">
        <v>39</v>
      </c>
      <c r="B37" s="11">
        <v>461.41</v>
      </c>
      <c r="C37" s="11">
        <v>543.78</v>
      </c>
      <c r="D37" s="11">
        <v>551.72</v>
      </c>
      <c r="E37" s="11">
        <v>648.12</v>
      </c>
      <c r="F37" s="11">
        <v>720.12</v>
      </c>
      <c r="G37" s="11">
        <v>856.7</v>
      </c>
      <c r="H37" s="11">
        <v>1079.24</v>
      </c>
      <c r="I37" s="11">
        <v>1239.5</v>
      </c>
      <c r="J37" s="11">
        <v>1485.17</v>
      </c>
      <c r="K37" s="11">
        <v>1825.75</v>
      </c>
      <c r="L37" s="11">
        <v>2005</v>
      </c>
      <c r="M37" s="11">
        <v>2227.63</v>
      </c>
      <c r="N37" s="11">
        <v>2473.1999999999998</v>
      </c>
      <c r="O37" s="11">
        <v>3233</v>
      </c>
      <c r="P37" s="11">
        <v>3948.9</v>
      </c>
      <c r="Q37" s="11">
        <v>5477.6</v>
      </c>
      <c r="R37" s="11">
        <v>6943.7</v>
      </c>
      <c r="S37" s="11">
        <v>8301.4</v>
      </c>
      <c r="T37" s="11">
        <v>8755.7199999999993</v>
      </c>
      <c r="U37" s="11">
        <v>8655.1299999999992</v>
      </c>
      <c r="V37" s="4"/>
    </row>
    <row r="38" spans="1:22">
      <c r="A38" s="10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</row>
  </sheetData>
  <phoneticPr fontId="6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72DFF-6378-D242-B176-CC6B225C39DE}">
  <dimension ref="A1:AE38"/>
  <sheetViews>
    <sheetView workbookViewId="0">
      <selection sqref="A1:A1048576"/>
    </sheetView>
  </sheetViews>
  <sheetFormatPr baseColWidth="10" defaultRowHeight="16"/>
  <cols>
    <col min="1" max="1" width="19" customWidth="1"/>
  </cols>
  <sheetData>
    <row r="1" spans="1:31" ht="17">
      <c r="A1" s="23" t="s">
        <v>1</v>
      </c>
      <c r="B1" s="8">
        <v>1997</v>
      </c>
      <c r="C1" s="8">
        <v>1998</v>
      </c>
      <c r="D1" s="8">
        <v>1999</v>
      </c>
      <c r="E1" s="8">
        <v>2000</v>
      </c>
      <c r="F1" s="8">
        <v>2001</v>
      </c>
      <c r="G1" s="8">
        <v>2002</v>
      </c>
      <c r="H1" s="8">
        <v>2003</v>
      </c>
      <c r="I1" s="8">
        <v>2004</v>
      </c>
      <c r="J1" s="8">
        <v>2005</v>
      </c>
      <c r="K1" s="8">
        <v>2006</v>
      </c>
      <c r="L1" s="8">
        <v>2007</v>
      </c>
      <c r="M1" s="8">
        <v>2008</v>
      </c>
      <c r="N1" s="8">
        <v>2009</v>
      </c>
      <c r="O1" s="8">
        <v>2010</v>
      </c>
      <c r="P1" s="8">
        <v>2011</v>
      </c>
      <c r="Q1" s="8">
        <v>2012</v>
      </c>
      <c r="R1" s="8">
        <v>2013</v>
      </c>
      <c r="S1" s="8">
        <v>2014</v>
      </c>
      <c r="T1" s="8">
        <v>2015</v>
      </c>
      <c r="U1" s="8">
        <v>2016</v>
      </c>
    </row>
    <row r="2" spans="1:31">
      <c r="A2" s="16" t="s">
        <v>9</v>
      </c>
      <c r="B2" s="11">
        <v>35.97</v>
      </c>
      <c r="C2" s="11">
        <v>41.312199999999997</v>
      </c>
      <c r="D2" s="11">
        <v>49.223300000000002</v>
      </c>
      <c r="E2" s="11">
        <v>60.070900000000002</v>
      </c>
      <c r="F2" s="11">
        <v>72.255300000000005</v>
      </c>
      <c r="G2" s="11">
        <v>85.8185</v>
      </c>
      <c r="H2" s="11">
        <v>98.822199999999995</v>
      </c>
      <c r="I2" s="11">
        <v>121.38809999999999</v>
      </c>
      <c r="J2" s="11">
        <v>145.8723</v>
      </c>
      <c r="K2" s="11">
        <v>175.18</v>
      </c>
      <c r="L2" s="11">
        <v>263</v>
      </c>
      <c r="M2" s="11">
        <v>316.3</v>
      </c>
      <c r="N2" s="11">
        <v>365.67</v>
      </c>
      <c r="O2" s="11">
        <v>450.22</v>
      </c>
      <c r="P2" s="11">
        <v>520.08000000000004</v>
      </c>
      <c r="Q2" s="11">
        <v>628.65</v>
      </c>
      <c r="R2" s="11">
        <v>681.18</v>
      </c>
      <c r="S2" s="11">
        <v>742.05</v>
      </c>
      <c r="T2" s="11">
        <v>855.67</v>
      </c>
      <c r="U2" s="11">
        <v>887.37</v>
      </c>
      <c r="V2" s="2"/>
      <c r="W2" s="2"/>
      <c r="X2" s="2"/>
      <c r="Y2" s="2"/>
      <c r="Z2" s="2"/>
      <c r="AA2" s="2"/>
      <c r="AB2" s="2"/>
      <c r="AC2" s="2"/>
      <c r="AD2" s="2"/>
      <c r="AE2" s="2"/>
    </row>
    <row r="3" spans="1:31">
      <c r="A3" s="11" t="s">
        <v>10</v>
      </c>
      <c r="B3" s="11">
        <v>19.07</v>
      </c>
      <c r="C3" s="11">
        <v>21.741599999999998</v>
      </c>
      <c r="D3" s="11">
        <v>25.327300000000001</v>
      </c>
      <c r="E3" s="11">
        <v>30.872900000000001</v>
      </c>
      <c r="F3" s="11">
        <v>36.256500000000003</v>
      </c>
      <c r="G3" s="11">
        <v>41.573</v>
      </c>
      <c r="H3" s="11">
        <v>47.580399999999997</v>
      </c>
      <c r="I3" s="11">
        <v>55.399099999999997</v>
      </c>
      <c r="J3" s="11">
        <v>67.203400000000002</v>
      </c>
      <c r="K3" s="11">
        <v>81.582800000000006</v>
      </c>
      <c r="L3" s="11">
        <v>110.02</v>
      </c>
      <c r="M3" s="11">
        <v>141.69999999999999</v>
      </c>
      <c r="N3" s="11">
        <v>173.61</v>
      </c>
      <c r="O3" s="11">
        <v>229.56</v>
      </c>
      <c r="P3" s="11">
        <v>302.32</v>
      </c>
      <c r="Q3" s="11">
        <v>378.75</v>
      </c>
      <c r="R3" s="11">
        <v>461.36</v>
      </c>
      <c r="S3" s="11">
        <v>517.01</v>
      </c>
      <c r="T3" s="11">
        <v>507.44</v>
      </c>
      <c r="U3" s="11">
        <v>502.49</v>
      </c>
      <c r="V3" s="2"/>
      <c r="W3" s="2"/>
      <c r="X3" s="2"/>
      <c r="Y3" s="2"/>
      <c r="Z3" s="2"/>
      <c r="AA3" s="2"/>
      <c r="AB3" s="2"/>
      <c r="AC3" s="2"/>
      <c r="AD3" s="2"/>
      <c r="AE3" s="2"/>
    </row>
    <row r="4" spans="1:31">
      <c r="A4" s="11" t="s">
        <v>11</v>
      </c>
      <c r="B4" s="11">
        <v>57.793100000000003</v>
      </c>
      <c r="C4" s="11">
        <v>54.456400000000002</v>
      </c>
      <c r="D4" s="11">
        <v>62.814500000000002</v>
      </c>
      <c r="E4" s="11">
        <v>73.653000000000006</v>
      </c>
      <c r="F4" s="11">
        <v>89.5642</v>
      </c>
      <c r="G4" s="11">
        <v>110.02030000000001</v>
      </c>
      <c r="H4" s="11">
        <v>119.0712</v>
      </c>
      <c r="I4" s="11">
        <v>142.35230000000001</v>
      </c>
      <c r="J4" s="11">
        <v>170.53739999999999</v>
      </c>
      <c r="K4" s="11">
        <v>189.55260000000001</v>
      </c>
      <c r="L4" s="11">
        <v>283.39</v>
      </c>
      <c r="M4" s="11">
        <v>376.98</v>
      </c>
      <c r="N4" s="11">
        <v>439.33</v>
      </c>
      <c r="O4" s="11">
        <v>514.29999999999995</v>
      </c>
      <c r="P4" s="11">
        <v>652.11</v>
      </c>
      <c r="Q4" s="11">
        <v>865.54</v>
      </c>
      <c r="R4" s="11">
        <v>837.63</v>
      </c>
      <c r="S4" s="11">
        <v>868.87</v>
      </c>
      <c r="T4" s="11">
        <v>1041.1600000000001</v>
      </c>
      <c r="U4" s="11">
        <v>1134.9000000000001</v>
      </c>
      <c r="V4" s="2"/>
      <c r="W4" s="2"/>
      <c r="X4" s="2"/>
      <c r="Y4" s="2"/>
      <c r="Z4" s="2"/>
      <c r="AA4" s="2"/>
      <c r="AB4" s="2"/>
      <c r="AC4" s="2"/>
      <c r="AD4" s="2"/>
      <c r="AE4" s="2"/>
    </row>
    <row r="5" spans="1:31">
      <c r="A5" s="11" t="s">
        <v>12</v>
      </c>
      <c r="B5" s="11">
        <v>31.232700000000001</v>
      </c>
      <c r="C5" s="11">
        <v>28.697099999999999</v>
      </c>
      <c r="D5" s="11">
        <v>32.554000000000002</v>
      </c>
      <c r="E5" s="11">
        <v>38.162700000000001</v>
      </c>
      <c r="F5" s="11">
        <v>50.380099999999999</v>
      </c>
      <c r="G5" s="11">
        <v>58.676200000000001</v>
      </c>
      <c r="H5" s="11">
        <v>67.414000000000001</v>
      </c>
      <c r="I5" s="11">
        <v>80.2684</v>
      </c>
      <c r="J5" s="11">
        <v>102.09139999999999</v>
      </c>
      <c r="K5" s="11">
        <v>120.8708</v>
      </c>
      <c r="L5" s="11">
        <v>181.22</v>
      </c>
      <c r="M5" s="11">
        <v>234.99</v>
      </c>
      <c r="N5" s="11">
        <v>278.07</v>
      </c>
      <c r="O5" s="11">
        <v>328.58</v>
      </c>
      <c r="P5" s="11">
        <v>421.79</v>
      </c>
      <c r="Q5" s="11">
        <v>558.03</v>
      </c>
      <c r="R5" s="11">
        <v>542.44000000000005</v>
      </c>
      <c r="S5" s="11">
        <v>507.28</v>
      </c>
      <c r="T5" s="11">
        <v>602.85</v>
      </c>
      <c r="U5" s="11">
        <v>606.97</v>
      </c>
      <c r="V5" s="2"/>
      <c r="W5" s="2"/>
      <c r="X5" s="2"/>
      <c r="Y5" s="2"/>
      <c r="Z5" s="2"/>
      <c r="AA5" s="2"/>
      <c r="AB5" s="2"/>
      <c r="AC5" s="2"/>
      <c r="AD5" s="2"/>
      <c r="AE5" s="2"/>
    </row>
    <row r="6" spans="1:31">
      <c r="A6" s="11" t="s">
        <v>13</v>
      </c>
      <c r="B6" s="11">
        <v>25.683299999999999</v>
      </c>
      <c r="C6" s="11">
        <v>24.218900000000001</v>
      </c>
      <c r="D6" s="11">
        <v>27.515899999999998</v>
      </c>
      <c r="E6" s="11">
        <v>29.752099999999999</v>
      </c>
      <c r="F6" s="11">
        <v>39.738900000000001</v>
      </c>
      <c r="G6" s="11">
        <v>48.284700000000001</v>
      </c>
      <c r="H6" s="11">
        <v>54.352499999999999</v>
      </c>
      <c r="I6" s="11">
        <v>66.220600000000005</v>
      </c>
      <c r="J6" s="11">
        <v>78.664500000000004</v>
      </c>
      <c r="K6" s="11">
        <v>95.033199999999994</v>
      </c>
      <c r="L6" s="11">
        <v>153.57</v>
      </c>
      <c r="M6" s="11">
        <v>206.4</v>
      </c>
      <c r="N6" s="11">
        <v>243.48</v>
      </c>
      <c r="O6" s="11">
        <v>322.11</v>
      </c>
      <c r="P6" s="11">
        <v>390.69</v>
      </c>
      <c r="Q6" s="11">
        <v>439.97</v>
      </c>
      <c r="R6" s="11">
        <v>456.87</v>
      </c>
      <c r="S6" s="11">
        <v>477.77</v>
      </c>
      <c r="T6" s="11">
        <v>536.53</v>
      </c>
      <c r="U6" s="11">
        <v>554.97</v>
      </c>
      <c r="V6" s="2"/>
      <c r="W6" s="2"/>
      <c r="X6" s="2"/>
      <c r="Y6" s="2"/>
      <c r="Z6" s="2"/>
      <c r="AA6" s="2"/>
      <c r="AB6" s="2"/>
      <c r="AC6" s="2"/>
      <c r="AD6" s="2"/>
      <c r="AE6" s="2"/>
    </row>
    <row r="7" spans="1:3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2"/>
      <c r="W7" s="2"/>
      <c r="X7" s="2"/>
      <c r="Y7" s="2"/>
      <c r="Z7" s="2"/>
      <c r="AA7" s="2"/>
      <c r="AB7" s="2"/>
      <c r="AC7" s="2"/>
      <c r="AD7" s="2"/>
      <c r="AE7" s="2"/>
    </row>
    <row r="8" spans="1:31">
      <c r="A8" s="11" t="s">
        <v>14</v>
      </c>
      <c r="B8" s="11">
        <v>51.782699999999998</v>
      </c>
      <c r="C8" s="11">
        <v>48.936599999999999</v>
      </c>
      <c r="D8" s="11">
        <v>55.584699999999998</v>
      </c>
      <c r="E8" s="11">
        <v>65.909099999999995</v>
      </c>
      <c r="F8" s="11">
        <v>74.995599999999996</v>
      </c>
      <c r="G8" s="11">
        <v>87.429400000000001</v>
      </c>
      <c r="H8" s="11">
        <v>98.339699999999993</v>
      </c>
      <c r="I8" s="11">
        <v>121.00279999999999</v>
      </c>
      <c r="J8" s="11">
        <v>142.19540000000001</v>
      </c>
      <c r="K8" s="11">
        <v>166.8888</v>
      </c>
      <c r="L8" s="11">
        <v>252.13</v>
      </c>
      <c r="M8" s="11">
        <v>306.36</v>
      </c>
      <c r="N8" s="11">
        <v>346.73</v>
      </c>
      <c r="O8" s="11">
        <v>405.39</v>
      </c>
      <c r="P8" s="11">
        <v>544.09</v>
      </c>
      <c r="Q8" s="11">
        <v>728.79</v>
      </c>
      <c r="R8" s="11">
        <v>669.48</v>
      </c>
      <c r="S8" s="11">
        <v>604.49</v>
      </c>
      <c r="T8" s="11">
        <v>610.24</v>
      </c>
      <c r="U8" s="11">
        <v>633.96</v>
      </c>
      <c r="V8" s="2"/>
      <c r="W8" s="2"/>
      <c r="X8" s="2"/>
      <c r="Y8" s="2"/>
      <c r="Z8" s="2"/>
      <c r="AA8" s="2"/>
      <c r="AB8" s="2"/>
      <c r="AC8" s="2"/>
      <c r="AD8" s="2"/>
      <c r="AE8" s="2"/>
    </row>
    <row r="9" spans="1:31">
      <c r="A9" s="11" t="s">
        <v>15</v>
      </c>
      <c r="B9" s="11">
        <v>32.352899999999998</v>
      </c>
      <c r="C9" s="11">
        <v>27.819900000000001</v>
      </c>
      <c r="D9" s="11">
        <v>32.969799999999999</v>
      </c>
      <c r="E9" s="11">
        <v>35.810400000000001</v>
      </c>
      <c r="F9" s="11">
        <v>44.273200000000003</v>
      </c>
      <c r="G9" s="11">
        <v>50.005800000000001</v>
      </c>
      <c r="H9" s="11">
        <v>53.690800000000003</v>
      </c>
      <c r="I9" s="11">
        <v>60.740900000000003</v>
      </c>
      <c r="J9" s="11">
        <v>74.147199999999998</v>
      </c>
      <c r="K9" s="11">
        <v>91.275199999999998</v>
      </c>
      <c r="L9" s="11">
        <v>144.41999999999999</v>
      </c>
      <c r="M9" s="11">
        <v>188.03</v>
      </c>
      <c r="N9" s="11">
        <v>216.99</v>
      </c>
      <c r="O9" s="11">
        <v>250.2</v>
      </c>
      <c r="P9" s="11">
        <v>319.82</v>
      </c>
      <c r="Q9" s="11">
        <v>451.05</v>
      </c>
      <c r="R9" s="11">
        <v>422.09</v>
      </c>
      <c r="S9" s="11">
        <v>407.1</v>
      </c>
      <c r="T9" s="11">
        <v>477.57</v>
      </c>
      <c r="U9" s="11">
        <v>499.7</v>
      </c>
      <c r="V9" s="2"/>
      <c r="W9" s="2"/>
      <c r="X9" s="2"/>
      <c r="Y9" s="2"/>
      <c r="Z9" s="2"/>
      <c r="AA9" s="2"/>
      <c r="AB9" s="2"/>
      <c r="AC9" s="2"/>
      <c r="AD9" s="2"/>
      <c r="AE9" s="2"/>
    </row>
    <row r="10" spans="1:31">
      <c r="A10" s="11" t="s">
        <v>16</v>
      </c>
      <c r="B10" s="11">
        <v>38.4101</v>
      </c>
      <c r="C10" s="11">
        <v>36.386800000000001</v>
      </c>
      <c r="D10" s="11">
        <v>43.1967</v>
      </c>
      <c r="E10" s="11">
        <v>48.979500000000002</v>
      </c>
      <c r="F10" s="11">
        <v>64.965400000000002</v>
      </c>
      <c r="G10" s="11">
        <v>76.2239</v>
      </c>
      <c r="H10" s="11">
        <v>81.097899999999996</v>
      </c>
      <c r="I10" s="11">
        <v>91.802899999999994</v>
      </c>
      <c r="J10" s="11">
        <v>106.57210000000001</v>
      </c>
      <c r="K10" s="11">
        <v>133.7055</v>
      </c>
      <c r="L10" s="11">
        <v>199.75</v>
      </c>
      <c r="M10" s="11">
        <v>256.62</v>
      </c>
      <c r="N10" s="11">
        <v>266.61</v>
      </c>
      <c r="O10" s="11">
        <v>299.14</v>
      </c>
      <c r="P10" s="11">
        <v>373.83</v>
      </c>
      <c r="Q10" s="11">
        <v>544.79</v>
      </c>
      <c r="R10" s="11">
        <v>501.28</v>
      </c>
      <c r="S10" s="11">
        <v>505.94</v>
      </c>
      <c r="T10" s="11">
        <v>549.66</v>
      </c>
      <c r="U10" s="11">
        <v>558.87</v>
      </c>
      <c r="V10" s="2"/>
      <c r="W10" s="2"/>
      <c r="X10" s="2"/>
      <c r="Y10" s="2"/>
      <c r="Z10" s="2"/>
      <c r="AA10" s="2"/>
      <c r="AB10" s="2"/>
      <c r="AC10" s="2"/>
      <c r="AD10" s="2"/>
      <c r="AE10" s="2"/>
    </row>
    <row r="11" spans="1:3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2"/>
      <c r="W11" s="2"/>
      <c r="X11" s="2"/>
      <c r="Y11" s="2"/>
      <c r="Z11" s="2"/>
      <c r="AA11" s="2"/>
      <c r="AB11" s="2"/>
      <c r="AC11" s="2"/>
      <c r="AD11" s="2"/>
      <c r="AE11" s="2"/>
    </row>
    <row r="12" spans="1:31">
      <c r="A12" s="11" t="s">
        <v>17</v>
      </c>
      <c r="B12" s="11">
        <v>67.355400000000003</v>
      </c>
      <c r="C12" s="11">
        <v>67.460099999999997</v>
      </c>
      <c r="D12" s="11">
        <v>75.031899999999993</v>
      </c>
      <c r="E12" s="11">
        <v>84.103099999999998</v>
      </c>
      <c r="F12" s="11">
        <v>99.739199999999997</v>
      </c>
      <c r="G12" s="11">
        <v>116.0659</v>
      </c>
      <c r="H12" s="11">
        <v>131.3724</v>
      </c>
      <c r="I12" s="11">
        <v>155.35</v>
      </c>
      <c r="J12" s="11">
        <v>182.94149999999999</v>
      </c>
      <c r="K12" s="11">
        <v>205.46</v>
      </c>
      <c r="L12" s="11">
        <v>283.33</v>
      </c>
      <c r="M12" s="11">
        <v>326.06</v>
      </c>
      <c r="N12" s="11">
        <v>346.95</v>
      </c>
      <c r="O12" s="11">
        <v>417.28</v>
      </c>
      <c r="P12" s="11">
        <v>549.24</v>
      </c>
      <c r="Q12" s="11">
        <v>648.95000000000005</v>
      </c>
      <c r="R12" s="11">
        <v>679.54</v>
      </c>
      <c r="S12" s="11">
        <v>695.63</v>
      </c>
      <c r="T12" s="11">
        <v>767.32</v>
      </c>
      <c r="U12" s="11">
        <v>840.97</v>
      </c>
      <c r="V12" s="2"/>
      <c r="W12" s="2"/>
      <c r="X12" s="2"/>
      <c r="Y12" s="2"/>
      <c r="Z12" s="2"/>
      <c r="AA12" s="2"/>
      <c r="AB12" s="2"/>
      <c r="AC12" s="2"/>
      <c r="AD12" s="2"/>
      <c r="AE12" s="2"/>
    </row>
    <row r="13" spans="1:31">
      <c r="A13" s="11" t="s">
        <v>18</v>
      </c>
      <c r="B13" s="11">
        <v>88.552999999999997</v>
      </c>
      <c r="C13" s="11">
        <v>89.730900000000005</v>
      </c>
      <c r="D13" s="11">
        <v>102.4573</v>
      </c>
      <c r="E13" s="11">
        <v>117.4225</v>
      </c>
      <c r="F13" s="11">
        <v>144.60830000000001</v>
      </c>
      <c r="G13" s="11">
        <v>162.40700000000001</v>
      </c>
      <c r="H13" s="11">
        <v>179.07660000000001</v>
      </c>
      <c r="I13" s="11">
        <v>214.37049999999999</v>
      </c>
      <c r="J13" s="11">
        <v>258.23989999999998</v>
      </c>
      <c r="K13" s="11">
        <v>298.22519999999997</v>
      </c>
      <c r="L13" s="11">
        <v>492.9</v>
      </c>
      <c r="M13" s="11">
        <v>592.6</v>
      </c>
      <c r="N13" s="11">
        <v>680.63</v>
      </c>
      <c r="O13" s="11">
        <v>865.36</v>
      </c>
      <c r="P13" s="11">
        <v>1093.22</v>
      </c>
      <c r="Q13" s="11">
        <v>1350.61</v>
      </c>
      <c r="R13" s="11">
        <v>1434.99</v>
      </c>
      <c r="S13" s="11">
        <v>1504.86</v>
      </c>
      <c r="T13" s="11">
        <v>1746.22</v>
      </c>
      <c r="U13" s="11">
        <v>1842.94</v>
      </c>
      <c r="V13" s="2"/>
      <c r="W13" s="2"/>
      <c r="X13" s="2"/>
      <c r="Y13" s="2"/>
      <c r="Z13" s="2"/>
      <c r="AA13" s="2"/>
      <c r="AB13" s="2"/>
      <c r="AC13" s="2"/>
      <c r="AD13" s="2"/>
      <c r="AE13" s="2"/>
    </row>
    <row r="14" spans="1:31">
      <c r="A14" s="11" t="s">
        <v>19</v>
      </c>
      <c r="B14" s="11">
        <v>54.874099999999999</v>
      </c>
      <c r="C14" s="11">
        <v>53.789000000000001</v>
      </c>
      <c r="D14" s="11">
        <v>63.7956</v>
      </c>
      <c r="E14" s="11">
        <v>78.194299999999998</v>
      </c>
      <c r="F14" s="11">
        <v>108.29770000000001</v>
      </c>
      <c r="G14" s="11">
        <v>136.93860000000001</v>
      </c>
      <c r="H14" s="11">
        <v>164.20750000000001</v>
      </c>
      <c r="I14" s="11">
        <v>200.0797</v>
      </c>
      <c r="J14" s="11">
        <v>231.5489</v>
      </c>
      <c r="K14" s="11">
        <v>269.04180000000002</v>
      </c>
      <c r="L14" s="11">
        <v>383.89</v>
      </c>
      <c r="M14" s="11">
        <v>453.99</v>
      </c>
      <c r="N14" s="11">
        <v>519.33000000000004</v>
      </c>
      <c r="O14" s="11">
        <v>606.54</v>
      </c>
      <c r="P14" s="11">
        <v>751.42</v>
      </c>
      <c r="Q14" s="11">
        <v>877.86</v>
      </c>
      <c r="R14" s="11">
        <v>950.07</v>
      </c>
      <c r="S14" s="11">
        <v>1030.99</v>
      </c>
      <c r="T14" s="11">
        <v>1264.93</v>
      </c>
      <c r="U14" s="11">
        <v>1300.03</v>
      </c>
      <c r="V14" s="2"/>
      <c r="W14" s="2"/>
      <c r="X14" s="2"/>
      <c r="Y14" s="2"/>
      <c r="Z14" s="2"/>
      <c r="AA14" s="2"/>
      <c r="AB14" s="2"/>
      <c r="AC14" s="2"/>
      <c r="AD14" s="2"/>
      <c r="AE14" s="2"/>
    </row>
    <row r="15" spans="1:31">
      <c r="A15" s="11" t="s">
        <v>20</v>
      </c>
      <c r="B15" s="11">
        <v>43.3157</v>
      </c>
      <c r="C15" s="11">
        <v>39.230499999999999</v>
      </c>
      <c r="D15" s="11">
        <v>46.334899999999998</v>
      </c>
      <c r="E15" s="11">
        <v>53.991300000000003</v>
      </c>
      <c r="F15" s="11">
        <v>66.678299999999993</v>
      </c>
      <c r="G15" s="11">
        <v>76.911299999999997</v>
      </c>
      <c r="H15" s="11">
        <v>84.557500000000005</v>
      </c>
      <c r="I15" s="11">
        <v>105.5638</v>
      </c>
      <c r="J15" s="11">
        <v>117.4312</v>
      </c>
      <c r="K15" s="11">
        <v>152.08580000000001</v>
      </c>
      <c r="L15" s="11">
        <v>212.97</v>
      </c>
      <c r="M15" s="11">
        <v>286.26</v>
      </c>
      <c r="N15" s="11">
        <v>323.79000000000002</v>
      </c>
      <c r="O15" s="11">
        <v>386.31</v>
      </c>
      <c r="P15" s="11">
        <v>564.71</v>
      </c>
      <c r="Q15" s="11">
        <v>717.94</v>
      </c>
      <c r="R15" s="11">
        <v>736.59</v>
      </c>
      <c r="S15" s="11">
        <v>743.07</v>
      </c>
      <c r="T15" s="11">
        <v>856.73</v>
      </c>
      <c r="U15" s="11">
        <v>910.87</v>
      </c>
      <c r="V15" s="2"/>
      <c r="W15" s="2"/>
      <c r="X15" s="2"/>
      <c r="Y15" s="2"/>
      <c r="Z15" s="2"/>
      <c r="AA15" s="2"/>
      <c r="AB15" s="2"/>
      <c r="AC15" s="2"/>
      <c r="AD15" s="2"/>
      <c r="AE15" s="2"/>
    </row>
    <row r="16" spans="1:31">
      <c r="A16" s="11" t="s">
        <v>21</v>
      </c>
      <c r="B16" s="11">
        <v>48.083799999999997</v>
      </c>
      <c r="C16" s="11">
        <v>45.932600000000001</v>
      </c>
      <c r="D16" s="11">
        <v>52.716500000000003</v>
      </c>
      <c r="E16" s="11">
        <v>61.966999999999999</v>
      </c>
      <c r="F16" s="11">
        <v>72.440200000000004</v>
      </c>
      <c r="G16" s="11">
        <v>81.250399999999999</v>
      </c>
      <c r="H16" s="11">
        <v>92.966999999999999</v>
      </c>
      <c r="I16" s="11">
        <v>100.8963</v>
      </c>
      <c r="J16" s="11">
        <v>111.5121</v>
      </c>
      <c r="K16" s="11">
        <v>136.24440000000001</v>
      </c>
      <c r="L16" s="11">
        <v>183.66</v>
      </c>
      <c r="M16" s="11">
        <v>233.29</v>
      </c>
      <c r="N16" s="11">
        <v>277.55</v>
      </c>
      <c r="O16" s="11">
        <v>327.77</v>
      </c>
      <c r="P16" s="11">
        <v>406.73</v>
      </c>
      <c r="Q16" s="11">
        <v>562.29999999999995</v>
      </c>
      <c r="R16" s="11">
        <v>574.91</v>
      </c>
      <c r="S16" s="11">
        <v>634.6</v>
      </c>
      <c r="T16" s="11">
        <v>757.51</v>
      </c>
      <c r="U16" s="11">
        <v>789.11</v>
      </c>
      <c r="V16" s="2"/>
      <c r="W16" s="2"/>
      <c r="X16" s="2"/>
      <c r="Y16" s="2"/>
      <c r="Z16" s="2"/>
      <c r="AA16" s="2"/>
      <c r="AB16" s="2"/>
      <c r="AC16" s="2"/>
      <c r="AD16" s="2"/>
      <c r="AE16" s="2"/>
    </row>
    <row r="17" spans="1:31">
      <c r="A17" s="11" t="s">
        <v>22</v>
      </c>
      <c r="B17" s="11">
        <v>29.736999999999998</v>
      </c>
      <c r="C17" s="11">
        <v>27.850999999999999</v>
      </c>
      <c r="D17" s="11">
        <v>32.097700000000003</v>
      </c>
      <c r="E17" s="11">
        <v>38.143599999999999</v>
      </c>
      <c r="F17" s="11">
        <v>48.432899999999997</v>
      </c>
      <c r="G17" s="11">
        <v>59.215299999999999</v>
      </c>
      <c r="H17" s="11">
        <v>64.466499999999996</v>
      </c>
      <c r="I17" s="11">
        <v>73.712699999999998</v>
      </c>
      <c r="J17" s="11">
        <v>87.925299999999993</v>
      </c>
      <c r="K17" s="11">
        <v>103.75960000000001</v>
      </c>
      <c r="L17" s="11">
        <v>173.81</v>
      </c>
      <c r="M17" s="11">
        <v>206.86</v>
      </c>
      <c r="N17" s="11">
        <v>251.93</v>
      </c>
      <c r="O17" s="11">
        <v>297.5</v>
      </c>
      <c r="P17" s="11">
        <v>474.43</v>
      </c>
      <c r="Q17" s="11">
        <v>622.05999999999995</v>
      </c>
      <c r="R17" s="11">
        <v>664.53</v>
      </c>
      <c r="S17" s="11">
        <v>711.72</v>
      </c>
      <c r="T17" s="11">
        <v>793.27</v>
      </c>
      <c r="U17" s="11">
        <v>848.88</v>
      </c>
      <c r="V17" s="2"/>
      <c r="W17" s="2"/>
      <c r="X17" s="2"/>
      <c r="Y17" s="2"/>
      <c r="Z17" s="2"/>
      <c r="AA17" s="2"/>
      <c r="AB17" s="2"/>
      <c r="AC17" s="2"/>
      <c r="AD17" s="2"/>
      <c r="AE17" s="2"/>
    </row>
    <row r="18" spans="1:31">
      <c r="A18" s="11" t="s">
        <v>23</v>
      </c>
      <c r="B18" s="11">
        <v>90.779200000000003</v>
      </c>
      <c r="C18" s="11">
        <v>88.620800000000003</v>
      </c>
      <c r="D18" s="11">
        <v>99.990200000000002</v>
      </c>
      <c r="E18" s="11">
        <v>118.10420000000001</v>
      </c>
      <c r="F18" s="11">
        <v>137.75290000000001</v>
      </c>
      <c r="G18" s="11">
        <v>162.77610000000001</v>
      </c>
      <c r="H18" s="11">
        <v>179.14840000000001</v>
      </c>
      <c r="I18" s="11">
        <v>204.82839999999999</v>
      </c>
      <c r="J18" s="11">
        <v>248.7484</v>
      </c>
      <c r="K18" s="11">
        <v>292.28390000000002</v>
      </c>
      <c r="L18" s="11">
        <v>453.36</v>
      </c>
      <c r="M18" s="11">
        <v>550.99</v>
      </c>
      <c r="N18" s="11">
        <v>613.49</v>
      </c>
      <c r="O18" s="11">
        <v>770.45</v>
      </c>
      <c r="P18" s="11">
        <v>1047.9000000000001</v>
      </c>
      <c r="Q18" s="11">
        <v>1311.8</v>
      </c>
      <c r="R18" s="11">
        <v>1399.67</v>
      </c>
      <c r="S18" s="11">
        <v>1461.05</v>
      </c>
      <c r="T18" s="11">
        <v>1690.62</v>
      </c>
      <c r="U18" s="11">
        <v>1825.99</v>
      </c>
      <c r="V18" s="2"/>
      <c r="W18" s="2"/>
      <c r="X18" s="2"/>
      <c r="Y18" s="2"/>
      <c r="Z18" s="2"/>
      <c r="AA18" s="2"/>
      <c r="AB18" s="2"/>
      <c r="AC18" s="2"/>
      <c r="AD18" s="2"/>
      <c r="AE18" s="2"/>
    </row>
    <row r="19" spans="1:3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2"/>
      <c r="W19" s="2"/>
      <c r="X19" s="2"/>
      <c r="Y19" s="2"/>
      <c r="Z19" s="2"/>
      <c r="AA19" s="2"/>
      <c r="AB19" s="2"/>
      <c r="AC19" s="2"/>
      <c r="AD19" s="2"/>
      <c r="AE19" s="2"/>
    </row>
    <row r="20" spans="1:31">
      <c r="A20" s="11" t="s">
        <v>24</v>
      </c>
      <c r="B20" s="11">
        <v>60.080100000000002</v>
      </c>
      <c r="C20" s="11">
        <v>57.887300000000003</v>
      </c>
      <c r="D20" s="11">
        <v>67.628900000000002</v>
      </c>
      <c r="E20" s="11">
        <v>77.333399999999997</v>
      </c>
      <c r="F20" s="11">
        <v>96.004300000000001</v>
      </c>
      <c r="G20" s="11">
        <v>123.32170000000001</v>
      </c>
      <c r="H20" s="11">
        <v>131.15819999999999</v>
      </c>
      <c r="I20" s="11">
        <v>153.28980000000001</v>
      </c>
      <c r="J20" s="11">
        <v>187.32079999999999</v>
      </c>
      <c r="K20" s="11">
        <v>233.14850000000001</v>
      </c>
      <c r="L20" s="11">
        <v>366.12</v>
      </c>
      <c r="M20" s="11">
        <v>444.03</v>
      </c>
      <c r="N20" s="11">
        <v>526.14</v>
      </c>
      <c r="O20" s="11">
        <v>609.37</v>
      </c>
      <c r="P20" s="11">
        <v>857.14</v>
      </c>
      <c r="Q20" s="11">
        <v>1106.51</v>
      </c>
      <c r="R20" s="11">
        <v>1171.52</v>
      </c>
      <c r="S20" s="11">
        <v>1201.3800000000001</v>
      </c>
      <c r="T20" s="11">
        <v>1271</v>
      </c>
      <c r="U20" s="11">
        <v>1343.76</v>
      </c>
      <c r="V20" s="2"/>
      <c r="W20" s="2"/>
      <c r="X20" s="2"/>
      <c r="Y20" s="2"/>
      <c r="Z20" s="2"/>
      <c r="AA20" s="2"/>
      <c r="AB20" s="2"/>
      <c r="AC20" s="2"/>
      <c r="AD20" s="2"/>
      <c r="AE20" s="2"/>
    </row>
    <row r="21" spans="1:31">
      <c r="A21" s="11" t="s">
        <v>25</v>
      </c>
      <c r="B21" s="11">
        <v>44.432000000000002</v>
      </c>
      <c r="C21" s="11">
        <v>43.286999999999999</v>
      </c>
      <c r="D21" s="11">
        <v>50.4208</v>
      </c>
      <c r="E21" s="11">
        <v>57.658000000000001</v>
      </c>
      <c r="F21" s="11">
        <v>70.457700000000003</v>
      </c>
      <c r="G21" s="11">
        <v>83.320899999999995</v>
      </c>
      <c r="H21" s="11">
        <v>89.068700000000007</v>
      </c>
      <c r="I21" s="11">
        <v>104.508</v>
      </c>
      <c r="J21" s="11">
        <v>118.84610000000001</v>
      </c>
      <c r="K21" s="11">
        <v>145.47229999999999</v>
      </c>
      <c r="L21" s="11">
        <v>217.2</v>
      </c>
      <c r="M21" s="11">
        <v>284.19</v>
      </c>
      <c r="N21" s="11">
        <v>317.29000000000002</v>
      </c>
      <c r="O21" s="11">
        <v>366.57</v>
      </c>
      <c r="P21" s="11">
        <v>488.16</v>
      </c>
      <c r="Q21" s="11">
        <v>732.37</v>
      </c>
      <c r="R21" s="11">
        <v>690.63</v>
      </c>
      <c r="S21" s="11">
        <v>773.35</v>
      </c>
      <c r="T21" s="11">
        <v>913.05</v>
      </c>
      <c r="U21" s="11">
        <v>1047.3699999999999</v>
      </c>
      <c r="V21" s="2"/>
      <c r="W21" s="2"/>
      <c r="X21" s="2"/>
      <c r="Y21" s="2"/>
      <c r="Z21" s="2"/>
      <c r="AA21" s="2"/>
      <c r="AB21" s="2"/>
      <c r="AC21" s="2"/>
      <c r="AD21" s="2"/>
      <c r="AE21" s="2"/>
    </row>
    <row r="22" spans="1:31">
      <c r="A22" s="11" t="s">
        <v>26</v>
      </c>
      <c r="B22" s="11">
        <v>46.007899999999999</v>
      </c>
      <c r="C22" s="11">
        <v>39.326999999999998</v>
      </c>
      <c r="D22" s="11">
        <v>44.540799999999997</v>
      </c>
      <c r="E22" s="11">
        <v>50.883000000000003</v>
      </c>
      <c r="F22" s="11">
        <v>65.094899999999996</v>
      </c>
      <c r="G22" s="11">
        <v>82.980099999999993</v>
      </c>
      <c r="H22" s="11">
        <v>90.057000000000002</v>
      </c>
      <c r="I22" s="11">
        <v>104.32850000000001</v>
      </c>
      <c r="J22" s="11">
        <v>123.001</v>
      </c>
      <c r="K22" s="11">
        <v>142.2621</v>
      </c>
      <c r="L22" s="11">
        <v>228.52</v>
      </c>
      <c r="M22" s="11">
        <v>311.26</v>
      </c>
      <c r="N22" s="11">
        <v>357.58</v>
      </c>
      <c r="O22" s="11">
        <v>403.1</v>
      </c>
      <c r="P22" s="11">
        <v>540.83000000000004</v>
      </c>
      <c r="Q22" s="11">
        <v>807.58</v>
      </c>
      <c r="R22" s="11">
        <v>809.45</v>
      </c>
      <c r="S22" s="11">
        <v>833.27</v>
      </c>
      <c r="T22" s="11">
        <v>928.54</v>
      </c>
      <c r="U22" s="11">
        <v>1032.3699999999999</v>
      </c>
      <c r="V22" s="2"/>
      <c r="W22" s="2"/>
      <c r="X22" s="2"/>
      <c r="Y22" s="2"/>
      <c r="Z22" s="2"/>
      <c r="AA22" s="2"/>
      <c r="AB22" s="2"/>
      <c r="AC22" s="2"/>
      <c r="AD22" s="2"/>
      <c r="AE22" s="2"/>
    </row>
    <row r="23" spans="1:31">
      <c r="A23" s="11" t="s">
        <v>27</v>
      </c>
      <c r="B23" s="11">
        <v>116.724</v>
      </c>
      <c r="C23" s="11">
        <v>109.10890000000001</v>
      </c>
      <c r="D23" s="11">
        <v>121.023</v>
      </c>
      <c r="E23" s="11">
        <v>144.7466</v>
      </c>
      <c r="F23" s="11">
        <v>180.2758</v>
      </c>
      <c r="G23" s="11">
        <v>233.12049999999999</v>
      </c>
      <c r="H23" s="11">
        <v>265.24740000000003</v>
      </c>
      <c r="I23" s="11">
        <v>287.9522</v>
      </c>
      <c r="J23" s="11">
        <v>329.2088</v>
      </c>
      <c r="K23" s="11">
        <v>392.62349999999998</v>
      </c>
      <c r="L23" s="11">
        <v>575.9</v>
      </c>
      <c r="M23" s="11">
        <v>703.33</v>
      </c>
      <c r="N23" s="11">
        <v>803.2</v>
      </c>
      <c r="O23" s="11">
        <v>921.48</v>
      </c>
      <c r="P23" s="11">
        <v>1227.8699999999999</v>
      </c>
      <c r="Q23" s="11">
        <v>1501.22</v>
      </c>
      <c r="R23" s="11">
        <v>1744.59</v>
      </c>
      <c r="S23" s="11">
        <v>1808.97</v>
      </c>
      <c r="T23" s="11">
        <v>2040.65</v>
      </c>
      <c r="U23" s="11">
        <v>2318.4699999999998</v>
      </c>
      <c r="V23" s="2"/>
      <c r="W23" s="2"/>
      <c r="X23" s="2"/>
      <c r="Y23" s="2"/>
      <c r="Z23" s="2"/>
      <c r="AA23" s="2"/>
      <c r="AB23" s="2"/>
      <c r="AC23" s="2"/>
      <c r="AD23" s="2"/>
      <c r="AE23" s="2"/>
    </row>
    <row r="24" spans="1:31">
      <c r="A24" s="11" t="s">
        <v>28</v>
      </c>
      <c r="B24" s="11">
        <v>33.988399999999999</v>
      </c>
      <c r="C24" s="11">
        <v>34.638500000000001</v>
      </c>
      <c r="D24" s="11">
        <v>39.267200000000003</v>
      </c>
      <c r="E24" s="11">
        <v>44.712699999999998</v>
      </c>
      <c r="F24" s="11">
        <v>62.010300000000001</v>
      </c>
      <c r="G24" s="11">
        <v>72.166899999999998</v>
      </c>
      <c r="H24" s="11">
        <v>79.097700000000003</v>
      </c>
      <c r="I24" s="11">
        <v>90.537899999999993</v>
      </c>
      <c r="J24" s="11">
        <v>105.2608</v>
      </c>
      <c r="K24" s="11">
        <v>135.46379999999999</v>
      </c>
      <c r="L24" s="11">
        <v>189.38</v>
      </c>
      <c r="M24" s="11">
        <v>251.22</v>
      </c>
      <c r="N24" s="11">
        <v>296.60000000000002</v>
      </c>
      <c r="O24" s="11">
        <v>366.84</v>
      </c>
      <c r="P24" s="11">
        <v>456.89</v>
      </c>
      <c r="Q24" s="11">
        <v>589.24</v>
      </c>
      <c r="R24" s="11">
        <v>609.92999999999995</v>
      </c>
      <c r="S24" s="11">
        <v>660.53</v>
      </c>
      <c r="T24" s="11">
        <v>789.69</v>
      </c>
      <c r="U24" s="11">
        <v>854.55</v>
      </c>
      <c r="V24" s="2"/>
      <c r="W24" s="2"/>
      <c r="X24" s="2"/>
      <c r="Y24" s="2"/>
      <c r="Z24" s="2"/>
      <c r="AA24" s="2"/>
      <c r="AB24" s="2"/>
      <c r="AC24" s="2"/>
      <c r="AD24" s="2"/>
      <c r="AE24" s="2"/>
    </row>
    <row r="25" spans="1:31">
      <c r="A25" s="11" t="s">
        <v>29</v>
      </c>
      <c r="B25" s="11">
        <v>8.4784000000000006</v>
      </c>
      <c r="C25" s="11">
        <v>7.7748999999999997</v>
      </c>
      <c r="D25" s="11">
        <v>8.4937000000000005</v>
      </c>
      <c r="E25" s="11">
        <v>9.6278000000000006</v>
      </c>
      <c r="F25" s="11">
        <v>11.1541</v>
      </c>
      <c r="G25" s="11">
        <v>14.1259</v>
      </c>
      <c r="H25" s="11">
        <v>14.7959</v>
      </c>
      <c r="I25" s="11">
        <v>17.924900000000001</v>
      </c>
      <c r="J25" s="11">
        <v>24.2088</v>
      </c>
      <c r="K25" s="11">
        <v>27.847899999999999</v>
      </c>
      <c r="L25" s="11">
        <v>40.33</v>
      </c>
      <c r="M25" s="11">
        <v>55.63</v>
      </c>
      <c r="N25" s="11">
        <v>74.5</v>
      </c>
      <c r="O25" s="11">
        <v>98.33</v>
      </c>
      <c r="P25" s="11">
        <v>127.27</v>
      </c>
      <c r="Q25" s="11">
        <v>158.79</v>
      </c>
      <c r="R25" s="11">
        <v>174.57</v>
      </c>
      <c r="S25" s="11">
        <v>175.95</v>
      </c>
      <c r="T25" s="11">
        <v>206.84</v>
      </c>
      <c r="U25" s="11">
        <v>214.24</v>
      </c>
      <c r="V25" s="2"/>
      <c r="W25" s="2"/>
      <c r="X25" s="2"/>
      <c r="Y25" s="2"/>
      <c r="Z25" s="2"/>
      <c r="AA25" s="2"/>
      <c r="AB25" s="2"/>
      <c r="AC25" s="2"/>
      <c r="AD25" s="2"/>
      <c r="AE25" s="2"/>
    </row>
    <row r="26" spans="1:3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2"/>
      <c r="W26" s="2"/>
      <c r="X26" s="2"/>
      <c r="Y26" s="2"/>
      <c r="Z26" s="2"/>
      <c r="AA26" s="2"/>
      <c r="AB26" s="2"/>
      <c r="AC26" s="2"/>
      <c r="AD26" s="2"/>
      <c r="AE26" s="2"/>
    </row>
    <row r="27" spans="1:31">
      <c r="A27" s="11" t="s">
        <v>30</v>
      </c>
      <c r="B27" s="11">
        <v>20.135899999999999</v>
      </c>
      <c r="C27" s="11">
        <v>17.780899999999999</v>
      </c>
      <c r="D27" s="11">
        <v>20.374099999999999</v>
      </c>
      <c r="E27" s="11">
        <v>64.8048</v>
      </c>
      <c r="F27" s="11">
        <v>33.206499999999998</v>
      </c>
      <c r="G27" s="11">
        <v>39.394100000000002</v>
      </c>
      <c r="H27" s="11">
        <v>42.946199999999997</v>
      </c>
      <c r="I27" s="11">
        <v>49.784700000000001</v>
      </c>
      <c r="J27" s="11">
        <v>60.659799999999997</v>
      </c>
      <c r="K27" s="11">
        <v>78.638000000000005</v>
      </c>
      <c r="L27" s="11">
        <v>121.55</v>
      </c>
      <c r="M27" s="11">
        <v>153.5</v>
      </c>
      <c r="N27" s="11">
        <v>190.28</v>
      </c>
      <c r="O27" s="11">
        <v>240.46</v>
      </c>
      <c r="P27" s="11">
        <v>318.7</v>
      </c>
      <c r="Q27" s="11">
        <v>471.49</v>
      </c>
      <c r="R27" s="11">
        <v>437.28</v>
      </c>
      <c r="S27" s="11">
        <v>469.98</v>
      </c>
      <c r="T27" s="11">
        <v>536.24</v>
      </c>
      <c r="U27" s="11">
        <v>575.17999999999995</v>
      </c>
      <c r="V27" s="2"/>
      <c r="W27" s="2"/>
      <c r="X27" s="2"/>
      <c r="Y27" s="2"/>
      <c r="Z27" s="2"/>
      <c r="AA27" s="2"/>
      <c r="AB27" s="2"/>
      <c r="AC27" s="2"/>
      <c r="AD27" s="2"/>
      <c r="AE27" s="2"/>
    </row>
    <row r="28" spans="1:31">
      <c r="A28" s="11" t="s">
        <v>31</v>
      </c>
      <c r="B28" s="11">
        <v>50.055700000000002</v>
      </c>
      <c r="C28" s="11">
        <v>48.305599999999998</v>
      </c>
      <c r="D28" s="11">
        <v>54.886600000000001</v>
      </c>
      <c r="E28" s="11">
        <v>25.453199999999999</v>
      </c>
      <c r="F28" s="11">
        <v>85.236699999999999</v>
      </c>
      <c r="G28" s="11">
        <v>102.25879999999999</v>
      </c>
      <c r="H28" s="11">
        <v>108.9036</v>
      </c>
      <c r="I28" s="11">
        <v>122.5217</v>
      </c>
      <c r="J28" s="11">
        <v>140.52600000000001</v>
      </c>
      <c r="K28" s="11">
        <v>181.8699</v>
      </c>
      <c r="L28" s="11">
        <v>292.86</v>
      </c>
      <c r="M28" s="11">
        <v>369.28</v>
      </c>
      <c r="N28" s="11">
        <v>451.44</v>
      </c>
      <c r="O28" s="11">
        <v>540.65</v>
      </c>
      <c r="P28" s="11">
        <v>684.66</v>
      </c>
      <c r="Q28" s="11">
        <v>993.2</v>
      </c>
      <c r="R28" s="11">
        <v>1036.4100000000001</v>
      </c>
      <c r="S28" s="11">
        <v>1056.9100000000001</v>
      </c>
      <c r="T28" s="11">
        <v>1252.33</v>
      </c>
      <c r="U28" s="11">
        <v>1301.8499999999999</v>
      </c>
      <c r="V28" s="2"/>
      <c r="W28" s="2"/>
      <c r="X28" s="2"/>
      <c r="Y28" s="2"/>
      <c r="Z28" s="2"/>
      <c r="AA28" s="2"/>
      <c r="AB28" s="2"/>
      <c r="AC28" s="2"/>
      <c r="AD28" s="2"/>
      <c r="AE28" s="2"/>
    </row>
    <row r="29" spans="1:31">
      <c r="A29" s="11" t="s">
        <v>32</v>
      </c>
      <c r="B29" s="11">
        <v>21.664400000000001</v>
      </c>
      <c r="C29" s="11">
        <v>22.895499999999998</v>
      </c>
      <c r="D29" s="11">
        <v>27.3017</v>
      </c>
      <c r="E29" s="11">
        <v>31.780899999999999</v>
      </c>
      <c r="F29" s="11">
        <v>44.417200000000001</v>
      </c>
      <c r="G29" s="11">
        <v>54.508000000000003</v>
      </c>
      <c r="H29" s="11">
        <v>60.125799999999998</v>
      </c>
      <c r="I29" s="11">
        <v>73.767899999999997</v>
      </c>
      <c r="J29" s="11">
        <v>93.370699999999999</v>
      </c>
      <c r="K29" s="11">
        <v>111.9194</v>
      </c>
      <c r="L29" s="11">
        <v>166.27</v>
      </c>
      <c r="M29" s="11">
        <v>229.77</v>
      </c>
      <c r="N29" s="11">
        <v>256.72000000000003</v>
      </c>
      <c r="O29" s="11">
        <v>292.06</v>
      </c>
      <c r="P29" s="11">
        <v>376.86</v>
      </c>
      <c r="Q29" s="11">
        <v>500.51</v>
      </c>
      <c r="R29" s="11">
        <v>560.66999999999996</v>
      </c>
      <c r="S29" s="11">
        <v>637.03</v>
      </c>
      <c r="T29" s="11">
        <v>772.91</v>
      </c>
      <c r="U29" s="11">
        <v>843.54</v>
      </c>
      <c r="V29" s="2"/>
      <c r="W29" s="2"/>
      <c r="X29" s="2"/>
      <c r="Y29" s="2"/>
      <c r="Z29" s="2"/>
      <c r="AA29" s="2"/>
      <c r="AB29" s="2"/>
      <c r="AC29" s="2"/>
      <c r="AD29" s="2"/>
      <c r="AE29" s="2"/>
    </row>
    <row r="30" spans="1:31">
      <c r="A30" s="11" t="s">
        <v>33</v>
      </c>
      <c r="B30" s="11">
        <v>53.613199999999999</v>
      </c>
      <c r="C30" s="11">
        <v>49.931699999999999</v>
      </c>
      <c r="D30" s="11">
        <v>55.991100000000003</v>
      </c>
      <c r="E30" s="11">
        <v>62.310899999999997</v>
      </c>
      <c r="F30" s="11">
        <v>76.279700000000005</v>
      </c>
      <c r="G30" s="11">
        <v>86.048000000000002</v>
      </c>
      <c r="H30" s="11">
        <v>93.173299999999998</v>
      </c>
      <c r="I30" s="11">
        <v>111.8233</v>
      </c>
      <c r="J30" s="11">
        <v>122.28100000000001</v>
      </c>
      <c r="K30" s="11">
        <v>150.3948</v>
      </c>
      <c r="L30" s="11">
        <v>190.54</v>
      </c>
      <c r="M30" s="11">
        <v>241.95</v>
      </c>
      <c r="N30" s="11">
        <v>308.18</v>
      </c>
      <c r="O30" s="11">
        <v>374.79</v>
      </c>
      <c r="P30" s="11">
        <v>483</v>
      </c>
      <c r="Q30" s="11">
        <v>674.82</v>
      </c>
      <c r="R30" s="11">
        <v>685.97</v>
      </c>
      <c r="S30" s="11">
        <v>674.94</v>
      </c>
      <c r="T30" s="11">
        <v>767.46</v>
      </c>
      <c r="U30" s="11">
        <v>871.14</v>
      </c>
      <c r="V30" s="2"/>
      <c r="W30" s="2"/>
      <c r="X30" s="2"/>
      <c r="Y30" s="2"/>
      <c r="Z30" s="2"/>
      <c r="AA30" s="2"/>
      <c r="AB30" s="2"/>
      <c r="AC30" s="2"/>
      <c r="AD30" s="2"/>
      <c r="AE30" s="2"/>
    </row>
    <row r="31" spans="1:31">
      <c r="A31" s="11" t="s">
        <v>34</v>
      </c>
      <c r="B31" s="11">
        <v>5.7050999999999998</v>
      </c>
      <c r="C31" s="11">
        <v>5.1881000000000004</v>
      </c>
      <c r="D31" s="11">
        <v>6.2252000000000001</v>
      </c>
      <c r="E31" s="11">
        <v>6.9787999999999997</v>
      </c>
      <c r="F31" s="11">
        <v>8.9460999999999995</v>
      </c>
      <c r="G31" s="11">
        <v>12.020200000000001</v>
      </c>
      <c r="H31" s="11">
        <v>13.0664</v>
      </c>
      <c r="I31" s="11">
        <v>15.113200000000001</v>
      </c>
      <c r="J31" s="11">
        <v>20.3794</v>
      </c>
      <c r="K31" s="11">
        <v>20.596399999999999</v>
      </c>
      <c r="L31" s="11">
        <v>33.57</v>
      </c>
      <c r="M31" s="11">
        <v>47.08</v>
      </c>
      <c r="N31" s="11">
        <v>61.04</v>
      </c>
      <c r="O31" s="11">
        <v>60.8</v>
      </c>
      <c r="P31" s="11">
        <v>77.81</v>
      </c>
      <c r="Q31" s="11">
        <v>94.48</v>
      </c>
      <c r="R31" s="11">
        <v>107.18</v>
      </c>
      <c r="S31" s="11">
        <v>142.08000000000001</v>
      </c>
      <c r="T31" s="11">
        <v>167.27</v>
      </c>
      <c r="U31" s="11">
        <v>169.64</v>
      </c>
      <c r="V31" s="2"/>
      <c r="W31" s="2"/>
      <c r="X31" s="2"/>
      <c r="Y31" s="2"/>
      <c r="Z31" s="2"/>
      <c r="AA31" s="2"/>
      <c r="AB31" s="2"/>
      <c r="AC31" s="2"/>
      <c r="AD31" s="2"/>
      <c r="AE31" s="2"/>
    </row>
    <row r="32" spans="1:3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2"/>
      <c r="W32" s="2"/>
      <c r="X32" s="2"/>
      <c r="Y32" s="2"/>
      <c r="Z32" s="2"/>
      <c r="AA32" s="2"/>
      <c r="AB32" s="2"/>
      <c r="AC32" s="2"/>
      <c r="AD32" s="2"/>
      <c r="AE32" s="2"/>
    </row>
    <row r="33" spans="1:31">
      <c r="A33" s="11" t="s">
        <v>35</v>
      </c>
      <c r="B33" s="11">
        <v>30.559899999999999</v>
      </c>
      <c r="C33" s="11">
        <v>26.161000000000001</v>
      </c>
      <c r="D33" s="11">
        <v>32.806800000000003</v>
      </c>
      <c r="E33" s="11">
        <v>38.456000000000003</v>
      </c>
      <c r="F33" s="11">
        <v>52.357900000000001</v>
      </c>
      <c r="G33" s="11">
        <v>60.997999999999998</v>
      </c>
      <c r="H33" s="11">
        <v>66.330399999999997</v>
      </c>
      <c r="I33" s="11">
        <v>74.349699999999999</v>
      </c>
      <c r="J33" s="11">
        <v>99.313400000000001</v>
      </c>
      <c r="K33" s="11">
        <v>128.00800000000001</v>
      </c>
      <c r="L33" s="11">
        <v>184.52</v>
      </c>
      <c r="M33" s="11">
        <v>264.91000000000003</v>
      </c>
      <c r="N33" s="11">
        <v>310.95999999999998</v>
      </c>
      <c r="O33" s="11">
        <v>377.79</v>
      </c>
      <c r="P33" s="11">
        <v>529.46</v>
      </c>
      <c r="Q33" s="11">
        <v>703.34</v>
      </c>
      <c r="R33" s="11">
        <v>710.11</v>
      </c>
      <c r="S33" s="11">
        <v>693.83</v>
      </c>
      <c r="T33" s="11">
        <v>758.07</v>
      </c>
      <c r="U33" s="11">
        <v>777.53</v>
      </c>
      <c r="V33" s="2"/>
      <c r="W33" s="2"/>
      <c r="X33" s="2"/>
      <c r="Y33" s="2"/>
      <c r="Z33" s="2"/>
      <c r="AA33" s="2"/>
      <c r="AB33" s="2"/>
      <c r="AC33" s="2"/>
      <c r="AD33" s="2"/>
      <c r="AE33" s="2"/>
    </row>
    <row r="34" spans="1:31">
      <c r="A34" s="11" t="s">
        <v>36</v>
      </c>
      <c r="B34" s="11">
        <v>20.108599999999999</v>
      </c>
      <c r="C34" s="11">
        <v>19.369599999999998</v>
      </c>
      <c r="D34" s="11">
        <v>23.604600000000001</v>
      </c>
      <c r="E34" s="11">
        <v>27.547699999999999</v>
      </c>
      <c r="F34" s="11">
        <v>35.981099999999998</v>
      </c>
      <c r="G34" s="11">
        <v>42.233199999999997</v>
      </c>
      <c r="H34" s="11">
        <v>47.567300000000003</v>
      </c>
      <c r="I34" s="11">
        <v>53.657899999999998</v>
      </c>
      <c r="J34" s="11">
        <v>67.483099999999993</v>
      </c>
      <c r="K34" s="11">
        <v>87.481999999999999</v>
      </c>
      <c r="L34" s="11">
        <v>123.97</v>
      </c>
      <c r="M34" s="11">
        <v>182.93</v>
      </c>
      <c r="N34" s="11">
        <v>206.36</v>
      </c>
      <c r="O34" s="11">
        <v>228.23</v>
      </c>
      <c r="P34" s="11">
        <v>284.33</v>
      </c>
      <c r="Q34" s="11">
        <v>367.92</v>
      </c>
      <c r="R34" s="11">
        <v>377.06</v>
      </c>
      <c r="S34" s="11">
        <v>401.26</v>
      </c>
      <c r="T34" s="11">
        <v>498.33</v>
      </c>
      <c r="U34" s="11">
        <v>548.95000000000005</v>
      </c>
      <c r="V34" s="2"/>
      <c r="W34" s="2"/>
      <c r="X34" s="2"/>
      <c r="Y34" s="2"/>
      <c r="Z34" s="2"/>
      <c r="AA34" s="2"/>
      <c r="AB34" s="2"/>
      <c r="AC34" s="2"/>
      <c r="AD34" s="2"/>
      <c r="AE34" s="2"/>
    </row>
    <row r="35" spans="1:31">
      <c r="A35" s="11" t="s">
        <v>37</v>
      </c>
      <c r="B35" s="11">
        <v>6.1603000000000003</v>
      </c>
      <c r="C35" s="11">
        <v>5.9214000000000002</v>
      </c>
      <c r="D35" s="11">
        <v>6.6497000000000002</v>
      </c>
      <c r="E35" s="11">
        <v>7.2712000000000003</v>
      </c>
      <c r="F35" s="11">
        <v>10.1814</v>
      </c>
      <c r="G35" s="11">
        <v>11.512600000000001</v>
      </c>
      <c r="H35" s="11">
        <v>12.6319</v>
      </c>
      <c r="I35" s="11">
        <v>15.2629</v>
      </c>
      <c r="J35" s="11">
        <v>20.313199999999998</v>
      </c>
      <c r="K35" s="11">
        <v>24.375499999999999</v>
      </c>
      <c r="L35" s="11">
        <v>34.85</v>
      </c>
      <c r="M35" s="11">
        <v>48.81</v>
      </c>
      <c r="N35" s="11">
        <v>61.82</v>
      </c>
      <c r="O35" s="11">
        <v>82.47</v>
      </c>
      <c r="P35" s="11">
        <v>130.11000000000001</v>
      </c>
      <c r="Q35" s="11">
        <v>171.81</v>
      </c>
      <c r="R35" s="11">
        <v>121.51</v>
      </c>
      <c r="S35" s="11">
        <v>156.31</v>
      </c>
      <c r="T35" s="11">
        <v>163.19</v>
      </c>
      <c r="U35" s="11">
        <v>171.36</v>
      </c>
      <c r="V35" s="2"/>
      <c r="W35" s="2"/>
      <c r="X35" s="2"/>
      <c r="Y35" s="2"/>
      <c r="Z35" s="2"/>
      <c r="AA35" s="2"/>
      <c r="AB35" s="2"/>
      <c r="AC35" s="2"/>
      <c r="AD35" s="2"/>
      <c r="AE35" s="2"/>
    </row>
    <row r="36" spans="1:31">
      <c r="A36" s="11" t="s">
        <v>38</v>
      </c>
      <c r="B36" s="11">
        <v>5.8259999999999996</v>
      </c>
      <c r="C36" s="11">
        <v>5.8971</v>
      </c>
      <c r="D36" s="11">
        <v>6.9766000000000004</v>
      </c>
      <c r="E36" s="11">
        <v>8.0830000000000002</v>
      </c>
      <c r="F36" s="11">
        <v>10.8879</v>
      </c>
      <c r="G36" s="11">
        <v>12.988899999999999</v>
      </c>
      <c r="H36" s="11">
        <v>13.782999999999999</v>
      </c>
      <c r="I36" s="11">
        <v>16.104399999999998</v>
      </c>
      <c r="J36" s="11">
        <v>19.5197</v>
      </c>
      <c r="K36" s="11">
        <v>24.617899999999999</v>
      </c>
      <c r="L36" s="11">
        <v>47.31</v>
      </c>
      <c r="M36" s="11">
        <v>54.06</v>
      </c>
      <c r="N36" s="11">
        <v>63.5</v>
      </c>
      <c r="O36" s="11">
        <v>81.59</v>
      </c>
      <c r="P36" s="11">
        <v>103.02</v>
      </c>
      <c r="Q36" s="11">
        <v>106.45</v>
      </c>
      <c r="R36" s="11">
        <v>112.95</v>
      </c>
      <c r="S36" s="11">
        <v>122.68</v>
      </c>
      <c r="T36" s="11">
        <v>142.51</v>
      </c>
      <c r="U36" s="11">
        <v>152.57</v>
      </c>
      <c r="V36" s="2"/>
      <c r="W36" s="2"/>
      <c r="X36" s="2"/>
      <c r="Y36" s="2"/>
      <c r="Z36" s="2"/>
      <c r="AA36" s="2"/>
      <c r="AB36" s="2"/>
      <c r="AC36" s="2"/>
      <c r="AD36" s="2"/>
      <c r="AE36" s="2"/>
    </row>
    <row r="37" spans="1:31">
      <c r="A37" s="11" t="s">
        <v>39</v>
      </c>
      <c r="B37" s="11">
        <v>25.2958</v>
      </c>
      <c r="C37" s="11">
        <v>25.1205</v>
      </c>
      <c r="D37" s="11">
        <v>27.646699999999999</v>
      </c>
      <c r="E37" s="11">
        <v>31.3538</v>
      </c>
      <c r="F37" s="11">
        <v>42.848500000000001</v>
      </c>
      <c r="G37" s="11">
        <v>50.133699999999997</v>
      </c>
      <c r="H37" s="11">
        <v>53.0261</v>
      </c>
      <c r="I37" s="11">
        <v>61.394300000000001</v>
      </c>
      <c r="J37" s="11">
        <v>72.651700000000005</v>
      </c>
      <c r="K37" s="11">
        <v>89.278599999999997</v>
      </c>
      <c r="L37" s="11">
        <v>142.77000000000001</v>
      </c>
      <c r="M37" s="11">
        <v>199.21</v>
      </c>
      <c r="N37" s="11">
        <v>240.15</v>
      </c>
      <c r="O37" s="11">
        <v>313.83999999999997</v>
      </c>
      <c r="P37" s="11">
        <v>399.8</v>
      </c>
      <c r="Q37" s="11">
        <v>473.86</v>
      </c>
      <c r="R37" s="11">
        <v>532.66999999999996</v>
      </c>
      <c r="S37" s="11">
        <v>567.20000000000005</v>
      </c>
      <c r="T37" s="11">
        <v>647.92999999999995</v>
      </c>
      <c r="U37" s="11">
        <v>664.52</v>
      </c>
      <c r="V37" s="2"/>
      <c r="W37" s="2"/>
      <c r="X37" s="2"/>
      <c r="Y37" s="2"/>
      <c r="Z37" s="2"/>
      <c r="AA37" s="2"/>
      <c r="AB37" s="2"/>
      <c r="AC37" s="2"/>
      <c r="AD37" s="2"/>
      <c r="AE37" s="2"/>
    </row>
    <row r="38" spans="1:31">
      <c r="A38" s="10"/>
    </row>
  </sheetData>
  <phoneticPr fontId="6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0A12A-A30C-6241-B82A-A633CE24DFCC}">
  <dimension ref="A1:U38"/>
  <sheetViews>
    <sheetView workbookViewId="0">
      <selection sqref="A1:A1048576"/>
    </sheetView>
  </sheetViews>
  <sheetFormatPr baseColWidth="10" defaultRowHeight="16"/>
  <cols>
    <col min="1" max="1" width="19" customWidth="1"/>
  </cols>
  <sheetData>
    <row r="1" spans="1:21" ht="17">
      <c r="A1" s="23" t="s">
        <v>1</v>
      </c>
      <c r="B1" s="8">
        <v>1997</v>
      </c>
      <c r="C1" s="8">
        <v>1998</v>
      </c>
      <c r="D1" s="8">
        <v>1999</v>
      </c>
      <c r="E1" s="8">
        <v>2000</v>
      </c>
      <c r="F1" s="8">
        <v>2001</v>
      </c>
      <c r="G1" s="8">
        <v>2002</v>
      </c>
      <c r="H1" s="8">
        <v>2003</v>
      </c>
      <c r="I1" s="8">
        <v>2004</v>
      </c>
      <c r="J1" s="8">
        <v>2005</v>
      </c>
      <c r="K1" s="8">
        <v>2006</v>
      </c>
      <c r="L1" s="8">
        <v>2007</v>
      </c>
      <c r="M1" s="8">
        <v>2008</v>
      </c>
      <c r="N1" s="8">
        <v>2009</v>
      </c>
      <c r="O1" s="8">
        <v>2010</v>
      </c>
      <c r="P1" s="8">
        <v>2011</v>
      </c>
      <c r="Q1" s="8">
        <v>2012</v>
      </c>
      <c r="R1" s="8">
        <v>2013</v>
      </c>
      <c r="S1" s="8">
        <v>2014</v>
      </c>
      <c r="T1" s="8">
        <v>2015</v>
      </c>
      <c r="U1" s="8">
        <v>2016</v>
      </c>
    </row>
    <row r="2" spans="1:21">
      <c r="A2" s="16" t="s">
        <v>9</v>
      </c>
      <c r="B2" s="11">
        <v>17.2012</v>
      </c>
      <c r="C2" s="11">
        <v>20.386299999999999</v>
      </c>
      <c r="D2" s="11">
        <v>22.7743</v>
      </c>
      <c r="E2" s="11">
        <v>28.5305</v>
      </c>
      <c r="F2" s="11">
        <v>33.0792</v>
      </c>
      <c r="G2" s="11">
        <v>37.928100000000001</v>
      </c>
      <c r="H2" s="11">
        <v>49.635800000000003</v>
      </c>
      <c r="I2" s="11">
        <v>54.066200000000002</v>
      </c>
      <c r="J2" s="11">
        <v>65.622900000000001</v>
      </c>
      <c r="K2" s="11">
        <v>87.057500000000005</v>
      </c>
      <c r="L2" s="11">
        <v>118.95</v>
      </c>
      <c r="M2" s="11">
        <v>145.05000000000001</v>
      </c>
      <c r="N2" s="11">
        <v>166.63</v>
      </c>
      <c r="O2" s="11">
        <v>186.82</v>
      </c>
      <c r="P2" s="11">
        <v>225.49</v>
      </c>
      <c r="Q2" s="11">
        <v>256.06</v>
      </c>
      <c r="R2" s="11">
        <v>276.13</v>
      </c>
      <c r="S2" s="11">
        <v>322.29000000000002</v>
      </c>
      <c r="T2" s="11">
        <v>370.52</v>
      </c>
      <c r="U2" s="11">
        <v>397.95</v>
      </c>
    </row>
    <row r="3" spans="1:21">
      <c r="A3" s="11" t="s">
        <v>10</v>
      </c>
      <c r="B3" s="11">
        <v>7.7382</v>
      </c>
      <c r="C3" s="11">
        <v>7.9824000000000002</v>
      </c>
      <c r="D3" s="11">
        <v>8.2186000000000003</v>
      </c>
      <c r="E3" s="11">
        <v>8.6868999999999996</v>
      </c>
      <c r="F3" s="11">
        <v>10.005000000000001</v>
      </c>
      <c r="G3" s="11">
        <v>11.7052</v>
      </c>
      <c r="H3" s="11">
        <v>15.313499999999999</v>
      </c>
      <c r="I3" s="11">
        <v>18.337800000000001</v>
      </c>
      <c r="J3" s="11">
        <v>18.9803</v>
      </c>
      <c r="K3" s="11">
        <v>23.778400000000001</v>
      </c>
      <c r="L3" s="11">
        <v>33.1</v>
      </c>
      <c r="M3" s="11">
        <v>41.92</v>
      </c>
      <c r="N3" s="11">
        <v>54.22</v>
      </c>
      <c r="O3" s="11">
        <v>70.069999999999993</v>
      </c>
      <c r="P3" s="11">
        <v>90.53</v>
      </c>
      <c r="Q3" s="11">
        <v>105.91</v>
      </c>
      <c r="R3" s="11">
        <v>128.94</v>
      </c>
      <c r="S3" s="11">
        <v>161.33000000000001</v>
      </c>
      <c r="T3" s="11">
        <v>195.02</v>
      </c>
      <c r="U3" s="11">
        <v>203.23</v>
      </c>
    </row>
    <row r="4" spans="1:21">
      <c r="A4" s="11" t="s">
        <v>11</v>
      </c>
      <c r="B4" s="11">
        <v>15.8773</v>
      </c>
      <c r="C4" s="11">
        <v>15.486499999999999</v>
      </c>
      <c r="D4" s="11">
        <v>16.741099999999999</v>
      </c>
      <c r="E4" s="11">
        <v>17.462900000000001</v>
      </c>
      <c r="F4" s="11">
        <v>21.663499999999999</v>
      </c>
      <c r="G4" s="11">
        <v>24.6358</v>
      </c>
      <c r="H4" s="11">
        <v>34.827500000000001</v>
      </c>
      <c r="I4" s="11">
        <v>35.142200000000003</v>
      </c>
      <c r="J4" s="11">
        <v>45.087000000000003</v>
      </c>
      <c r="K4" s="11">
        <v>50.203099999999999</v>
      </c>
      <c r="L4" s="11">
        <v>78.11</v>
      </c>
      <c r="M4" s="11">
        <v>120.24</v>
      </c>
      <c r="N4" s="11">
        <v>174.68</v>
      </c>
      <c r="O4" s="11">
        <v>235.48</v>
      </c>
      <c r="P4" s="11">
        <v>302.75</v>
      </c>
      <c r="Q4" s="11">
        <v>323.17</v>
      </c>
      <c r="R4" s="11">
        <v>380.75</v>
      </c>
      <c r="S4" s="11">
        <v>446.79</v>
      </c>
      <c r="T4" s="11">
        <v>535.09</v>
      </c>
      <c r="U4" s="11">
        <v>547.86</v>
      </c>
    </row>
    <row r="5" spans="1:21">
      <c r="A5" s="11" t="s">
        <v>12</v>
      </c>
      <c r="B5" s="11">
        <v>8.8453999999999997</v>
      </c>
      <c r="C5" s="11">
        <v>9.1866000000000003</v>
      </c>
      <c r="D5" s="11">
        <v>9.9247999999999994</v>
      </c>
      <c r="E5" s="11">
        <v>10.450699999999999</v>
      </c>
      <c r="F5" s="11">
        <v>13.406700000000001</v>
      </c>
      <c r="G5" s="11">
        <v>15.078200000000001</v>
      </c>
      <c r="H5" s="11">
        <v>20.327200000000001</v>
      </c>
      <c r="I5" s="11">
        <v>22.389800000000001</v>
      </c>
      <c r="J5" s="11">
        <v>28.173500000000001</v>
      </c>
      <c r="K5" s="11">
        <v>35.462200000000003</v>
      </c>
      <c r="L5" s="11">
        <v>52.1</v>
      </c>
      <c r="M5" s="11">
        <v>71.5</v>
      </c>
      <c r="N5" s="11">
        <v>101.73</v>
      </c>
      <c r="O5" s="11">
        <v>113.86</v>
      </c>
      <c r="P5" s="11">
        <v>159.62</v>
      </c>
      <c r="Q5" s="11">
        <v>180.34</v>
      </c>
      <c r="R5" s="11">
        <v>201.63</v>
      </c>
      <c r="S5" s="11">
        <v>243.94</v>
      </c>
      <c r="T5" s="11">
        <v>290.70999999999998</v>
      </c>
      <c r="U5" s="11">
        <v>300.86</v>
      </c>
    </row>
    <row r="6" spans="1:21">
      <c r="A6" s="11" t="s">
        <v>13</v>
      </c>
      <c r="B6" s="11">
        <v>7.4629000000000003</v>
      </c>
      <c r="C6" s="11">
        <v>7.7091000000000003</v>
      </c>
      <c r="D6" s="11">
        <v>8.3322000000000003</v>
      </c>
      <c r="E6" s="11">
        <v>9.1072000000000006</v>
      </c>
      <c r="F6" s="11">
        <v>11.220700000000001</v>
      </c>
      <c r="G6" s="11">
        <v>12.4154</v>
      </c>
      <c r="H6" s="11">
        <v>17.087800000000001</v>
      </c>
      <c r="I6" s="11">
        <v>17.474699999999999</v>
      </c>
      <c r="J6" s="11">
        <v>20.876799999999999</v>
      </c>
      <c r="K6" s="11">
        <v>28.246200000000002</v>
      </c>
      <c r="L6" s="11">
        <v>43.87</v>
      </c>
      <c r="M6" s="11">
        <v>59.82</v>
      </c>
      <c r="N6" s="11">
        <v>102.94</v>
      </c>
      <c r="O6" s="11">
        <v>120.72</v>
      </c>
      <c r="P6" s="11">
        <v>164.59</v>
      </c>
      <c r="Q6" s="11">
        <v>177.91</v>
      </c>
      <c r="R6" s="11">
        <v>196.03</v>
      </c>
      <c r="S6" s="11">
        <v>227.78</v>
      </c>
      <c r="T6" s="11">
        <v>257.14999999999998</v>
      </c>
      <c r="U6" s="11">
        <v>284.63</v>
      </c>
    </row>
    <row r="7" spans="1:2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1:21">
      <c r="A8" s="11" t="s">
        <v>14</v>
      </c>
      <c r="B8" s="11">
        <v>15.0047</v>
      </c>
      <c r="C8" s="11">
        <v>15.370799999999999</v>
      </c>
      <c r="D8" s="11">
        <v>15.1578</v>
      </c>
      <c r="E8" s="11">
        <v>17.132300000000001</v>
      </c>
      <c r="F8" s="11">
        <v>17.589700000000001</v>
      </c>
      <c r="G8" s="11">
        <v>19.716999999999999</v>
      </c>
      <c r="H8" s="11">
        <v>25.162400000000002</v>
      </c>
      <c r="I8" s="11">
        <v>25.493400000000001</v>
      </c>
      <c r="J8" s="11">
        <v>34.352600000000002</v>
      </c>
      <c r="K8" s="11">
        <v>43.729599999999998</v>
      </c>
      <c r="L8" s="11">
        <v>66.599999999999994</v>
      </c>
      <c r="M8" s="11">
        <v>83.9</v>
      </c>
      <c r="N8" s="11">
        <v>163.32</v>
      </c>
      <c r="O8" s="11">
        <v>151.36000000000001</v>
      </c>
      <c r="P8" s="11">
        <v>182.07</v>
      </c>
      <c r="Q8" s="11">
        <v>200.19</v>
      </c>
      <c r="R8" s="11">
        <v>229.5</v>
      </c>
      <c r="S8" s="11">
        <v>273.61</v>
      </c>
      <c r="T8" s="11">
        <v>281.95999999999998</v>
      </c>
      <c r="U8" s="11">
        <v>307.31</v>
      </c>
    </row>
    <row r="9" spans="1:21">
      <c r="A9" s="11" t="s">
        <v>15</v>
      </c>
      <c r="B9" s="11">
        <v>8.9895999999999994</v>
      </c>
      <c r="C9" s="11">
        <v>8.3946000000000005</v>
      </c>
      <c r="D9" s="11">
        <v>9.0967000000000002</v>
      </c>
      <c r="E9" s="11">
        <v>9.3788</v>
      </c>
      <c r="F9" s="11">
        <v>11.066000000000001</v>
      </c>
      <c r="G9" s="11">
        <v>12.742900000000001</v>
      </c>
      <c r="H9" s="11">
        <v>16.138200000000001</v>
      </c>
      <c r="I9" s="11">
        <v>17.0197</v>
      </c>
      <c r="J9" s="11">
        <v>20.702200000000001</v>
      </c>
      <c r="K9" s="11">
        <v>26.918900000000001</v>
      </c>
      <c r="L9" s="11">
        <v>42.31</v>
      </c>
      <c r="M9" s="11">
        <v>59.52</v>
      </c>
      <c r="N9" s="11">
        <v>107.34</v>
      </c>
      <c r="O9" s="11">
        <v>110.91</v>
      </c>
      <c r="P9" s="11">
        <v>143.87</v>
      </c>
      <c r="Q9" s="11">
        <v>160.36000000000001</v>
      </c>
      <c r="R9" s="11">
        <v>181.51</v>
      </c>
      <c r="S9" s="11">
        <v>206.44</v>
      </c>
      <c r="T9" s="11">
        <v>245.81</v>
      </c>
      <c r="U9" s="11">
        <v>273.62</v>
      </c>
    </row>
    <row r="10" spans="1:21">
      <c r="A10" s="11" t="s">
        <v>16</v>
      </c>
      <c r="B10" s="11">
        <v>11.178599999999999</v>
      </c>
      <c r="C10" s="11">
        <v>11.8832</v>
      </c>
      <c r="D10" s="11">
        <v>13.3317</v>
      </c>
      <c r="E10" s="11">
        <v>13.6114</v>
      </c>
      <c r="F10" s="11">
        <v>16.2514</v>
      </c>
      <c r="G10" s="11">
        <v>17.350200000000001</v>
      </c>
      <c r="H10" s="11">
        <v>23.0611</v>
      </c>
      <c r="I10" s="11">
        <v>23.580500000000001</v>
      </c>
      <c r="J10" s="11">
        <v>28.0124</v>
      </c>
      <c r="K10" s="11">
        <v>36.378</v>
      </c>
      <c r="L10" s="11">
        <v>57.54</v>
      </c>
      <c r="M10" s="11">
        <v>71.7</v>
      </c>
      <c r="N10" s="11">
        <v>135.5</v>
      </c>
      <c r="O10" s="11">
        <v>135.18</v>
      </c>
      <c r="P10" s="11">
        <v>170.78</v>
      </c>
      <c r="Q10" s="11">
        <v>173.33</v>
      </c>
      <c r="R10" s="11">
        <v>190.5</v>
      </c>
      <c r="S10" s="11">
        <v>235.31</v>
      </c>
      <c r="T10" s="11">
        <v>273.95999999999998</v>
      </c>
      <c r="U10" s="11">
        <v>280.56</v>
      </c>
    </row>
    <row r="11" spans="1:2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</row>
    <row r="12" spans="1:21">
      <c r="A12" s="11" t="s">
        <v>17</v>
      </c>
      <c r="B12" s="11">
        <v>22.947199999999999</v>
      </c>
      <c r="C12" s="11">
        <v>25.626799999999999</v>
      </c>
      <c r="D12" s="11">
        <v>29.6128</v>
      </c>
      <c r="E12" s="11">
        <v>32.581099999999999</v>
      </c>
      <c r="F12" s="11">
        <v>34.567700000000002</v>
      </c>
      <c r="G12" s="11">
        <v>30.453099999999999</v>
      </c>
      <c r="H12" s="11">
        <v>36.442</v>
      </c>
      <c r="I12" s="11">
        <v>45.015000000000001</v>
      </c>
      <c r="J12" s="11">
        <v>52.1464</v>
      </c>
      <c r="K12" s="11">
        <v>61.497199999999999</v>
      </c>
      <c r="L12" s="11">
        <v>88.83</v>
      </c>
      <c r="M12" s="11">
        <v>122.28</v>
      </c>
      <c r="N12" s="11">
        <v>132.85</v>
      </c>
      <c r="O12" s="11">
        <v>160.07</v>
      </c>
      <c r="P12" s="11">
        <v>190.03</v>
      </c>
      <c r="Q12" s="11">
        <v>197.34</v>
      </c>
      <c r="R12" s="11">
        <v>214.92</v>
      </c>
      <c r="S12" s="11">
        <v>264.75</v>
      </c>
      <c r="T12" s="11">
        <v>303.45999999999998</v>
      </c>
      <c r="U12" s="11">
        <v>383.1</v>
      </c>
    </row>
    <row r="13" spans="1:21">
      <c r="A13" s="11" t="s">
        <v>18</v>
      </c>
      <c r="B13" s="11">
        <v>26.878499999999999</v>
      </c>
      <c r="C13" s="11">
        <v>28.6312</v>
      </c>
      <c r="D13" s="11">
        <v>31.060700000000001</v>
      </c>
      <c r="E13" s="11">
        <v>32.566699999999997</v>
      </c>
      <c r="F13" s="11">
        <v>37.402099999999997</v>
      </c>
      <c r="G13" s="11">
        <v>41.892299999999999</v>
      </c>
      <c r="H13" s="11">
        <v>55.568399999999997</v>
      </c>
      <c r="I13" s="11">
        <v>62.392099999999999</v>
      </c>
      <c r="J13" s="11">
        <v>75.056299999999993</v>
      </c>
      <c r="K13" s="11">
        <v>89.524900000000002</v>
      </c>
      <c r="L13" s="11">
        <v>115.29</v>
      </c>
      <c r="M13" s="11">
        <v>148.61000000000001</v>
      </c>
      <c r="N13" s="11">
        <v>198.21</v>
      </c>
      <c r="O13" s="11">
        <v>249.69</v>
      </c>
      <c r="P13" s="11">
        <v>349.86</v>
      </c>
      <c r="Q13" s="11">
        <v>418.14</v>
      </c>
      <c r="R13" s="11">
        <v>475.86</v>
      </c>
      <c r="S13" s="11">
        <v>560.92999999999995</v>
      </c>
      <c r="T13" s="11">
        <v>649.30999999999995</v>
      </c>
      <c r="U13" s="11">
        <v>712.77</v>
      </c>
    </row>
    <row r="14" spans="1:21">
      <c r="A14" s="11" t="s">
        <v>19</v>
      </c>
      <c r="B14" s="11">
        <v>18.943999999999999</v>
      </c>
      <c r="C14" s="11">
        <v>21.2943</v>
      </c>
      <c r="D14" s="11">
        <v>23.7895</v>
      </c>
      <c r="E14" s="11">
        <v>27.2422</v>
      </c>
      <c r="F14" s="11">
        <v>32.756300000000003</v>
      </c>
      <c r="G14" s="11">
        <v>37.229599999999998</v>
      </c>
      <c r="H14" s="11">
        <v>45.3797</v>
      </c>
      <c r="I14" s="11">
        <v>52.770899999999997</v>
      </c>
      <c r="J14" s="11">
        <v>64.8767</v>
      </c>
      <c r="K14" s="11">
        <v>83.532200000000003</v>
      </c>
      <c r="L14" s="11">
        <v>112.28</v>
      </c>
      <c r="M14" s="11">
        <v>142.87</v>
      </c>
      <c r="N14" s="11">
        <v>177.05</v>
      </c>
      <c r="O14" s="11">
        <v>224.53</v>
      </c>
      <c r="P14" s="11">
        <v>278.98</v>
      </c>
      <c r="Q14" s="11">
        <v>305.91000000000003</v>
      </c>
      <c r="R14" s="11">
        <v>350.73</v>
      </c>
      <c r="S14" s="11">
        <v>433.8</v>
      </c>
      <c r="T14" s="11">
        <v>485.5</v>
      </c>
      <c r="U14" s="11">
        <v>542.44000000000005</v>
      </c>
    </row>
    <row r="15" spans="1:21">
      <c r="A15" s="11" t="s">
        <v>20</v>
      </c>
      <c r="B15" s="11">
        <v>10.1035</v>
      </c>
      <c r="C15" s="11">
        <v>10.4229</v>
      </c>
      <c r="D15" s="11">
        <v>11.4139</v>
      </c>
      <c r="E15" s="11">
        <v>11.712400000000001</v>
      </c>
      <c r="F15" s="11">
        <v>12.777100000000001</v>
      </c>
      <c r="G15" s="11">
        <v>14.3009</v>
      </c>
      <c r="H15" s="11">
        <v>17.081499999999998</v>
      </c>
      <c r="I15" s="11">
        <v>22.117100000000001</v>
      </c>
      <c r="J15" s="11">
        <v>25.022300000000001</v>
      </c>
      <c r="K15" s="11">
        <v>34.764899999999997</v>
      </c>
      <c r="L15" s="11">
        <v>65.41</v>
      </c>
      <c r="M15" s="11">
        <v>103.84</v>
      </c>
      <c r="N15" s="11">
        <v>165.74</v>
      </c>
      <c r="O15" s="11">
        <v>184.22</v>
      </c>
      <c r="P15" s="11">
        <v>277.23</v>
      </c>
      <c r="Q15" s="11">
        <v>319.39</v>
      </c>
      <c r="R15" s="11">
        <v>361.8</v>
      </c>
      <c r="S15" s="11">
        <v>425</v>
      </c>
      <c r="T15" s="11">
        <v>485.6</v>
      </c>
      <c r="U15" s="11">
        <v>480.12</v>
      </c>
    </row>
    <row r="16" spans="1:21">
      <c r="A16" s="11" t="s">
        <v>21</v>
      </c>
      <c r="B16" s="11">
        <v>12.5817</v>
      </c>
      <c r="C16" s="11">
        <v>13.823600000000001</v>
      </c>
      <c r="D16" s="11">
        <v>14.5686</v>
      </c>
      <c r="E16" s="11">
        <v>16.141100000000002</v>
      </c>
      <c r="F16" s="11">
        <v>16.9361</v>
      </c>
      <c r="G16" s="11">
        <v>18.398599999999998</v>
      </c>
      <c r="H16" s="11">
        <v>20.7211</v>
      </c>
      <c r="I16" s="11">
        <v>23.325199999999999</v>
      </c>
      <c r="J16" s="11">
        <v>25.930499999999999</v>
      </c>
      <c r="K16" s="11">
        <v>34.069200000000002</v>
      </c>
      <c r="L16" s="11">
        <v>51.99</v>
      </c>
      <c r="M16" s="11">
        <v>74.27</v>
      </c>
      <c r="N16" s="11">
        <v>93.39</v>
      </c>
      <c r="O16" s="11">
        <v>117.58</v>
      </c>
      <c r="P16" s="11">
        <v>159.30000000000001</v>
      </c>
      <c r="Q16" s="11">
        <v>185.99</v>
      </c>
      <c r="R16" s="11">
        <v>224.23</v>
      </c>
      <c r="S16" s="11">
        <v>292.14</v>
      </c>
      <c r="T16" s="11">
        <v>351.19</v>
      </c>
      <c r="U16" s="11">
        <v>377.58</v>
      </c>
    </row>
    <row r="17" spans="1:21">
      <c r="A17" s="11" t="s">
        <v>22</v>
      </c>
      <c r="B17" s="11">
        <v>8.6737000000000002</v>
      </c>
      <c r="C17" s="11">
        <v>9.1530000000000005</v>
      </c>
      <c r="D17" s="11">
        <v>9.6567000000000007</v>
      </c>
      <c r="E17" s="11">
        <v>10.3154</v>
      </c>
      <c r="F17" s="11">
        <v>11.764200000000001</v>
      </c>
      <c r="G17" s="11">
        <v>12.811299999999999</v>
      </c>
      <c r="H17" s="11">
        <v>15.061299999999999</v>
      </c>
      <c r="I17" s="11">
        <v>17.587900000000001</v>
      </c>
      <c r="J17" s="11">
        <v>21.838100000000001</v>
      </c>
      <c r="K17" s="11">
        <v>28.8172</v>
      </c>
      <c r="L17" s="11">
        <v>58.07</v>
      </c>
      <c r="M17" s="11">
        <v>76.92</v>
      </c>
      <c r="N17" s="11">
        <v>120.55</v>
      </c>
      <c r="O17" s="11">
        <v>150.02000000000001</v>
      </c>
      <c r="P17" s="11">
        <v>196.32</v>
      </c>
      <c r="Q17" s="11">
        <v>219.15</v>
      </c>
      <c r="R17" s="11">
        <v>262.14</v>
      </c>
      <c r="S17" s="11">
        <v>338.45</v>
      </c>
      <c r="T17" s="11">
        <v>398.79</v>
      </c>
      <c r="U17" s="11">
        <v>438.72</v>
      </c>
    </row>
    <row r="18" spans="1:21">
      <c r="A18" s="11" t="s">
        <v>23</v>
      </c>
      <c r="B18" s="11">
        <v>24.012599999999999</v>
      </c>
      <c r="C18" s="11">
        <v>25.296500000000002</v>
      </c>
      <c r="D18" s="11">
        <v>25.857199999999999</v>
      </c>
      <c r="E18" s="11">
        <v>28.259799999999998</v>
      </c>
      <c r="F18" s="11">
        <v>30.6587</v>
      </c>
      <c r="G18" s="11">
        <v>33.571199999999997</v>
      </c>
      <c r="H18" s="11">
        <v>39.610700000000001</v>
      </c>
      <c r="I18" s="11">
        <v>45.219900000000003</v>
      </c>
      <c r="J18" s="11">
        <v>54.408499999999997</v>
      </c>
      <c r="K18" s="11">
        <v>73.320599999999999</v>
      </c>
      <c r="L18" s="11">
        <v>99.65</v>
      </c>
      <c r="M18" s="11">
        <v>140.41999999999999</v>
      </c>
      <c r="N18" s="11">
        <v>189.24</v>
      </c>
      <c r="O18" s="11">
        <v>250.77</v>
      </c>
      <c r="P18" s="11">
        <v>360.36</v>
      </c>
      <c r="Q18" s="11">
        <v>422.91</v>
      </c>
      <c r="R18" s="11">
        <v>485.86</v>
      </c>
      <c r="S18" s="11">
        <v>605.66999999999996</v>
      </c>
      <c r="T18" s="11">
        <v>701.43</v>
      </c>
      <c r="U18" s="11">
        <v>790.19</v>
      </c>
    </row>
    <row r="19" spans="1:2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</row>
    <row r="20" spans="1:21">
      <c r="A20" s="11" t="s">
        <v>24</v>
      </c>
      <c r="B20" s="11">
        <v>13.924099999999999</v>
      </c>
      <c r="C20" s="11">
        <v>14.4678</v>
      </c>
      <c r="D20" s="11">
        <v>15.5451</v>
      </c>
      <c r="E20" s="11">
        <v>17.298999999999999</v>
      </c>
      <c r="F20" s="11">
        <v>19.429600000000001</v>
      </c>
      <c r="G20" s="11">
        <v>21.9236</v>
      </c>
      <c r="H20" s="11">
        <v>30.189299999999999</v>
      </c>
      <c r="I20" s="11">
        <v>33.740400000000001</v>
      </c>
      <c r="J20" s="11">
        <v>41.805700000000002</v>
      </c>
      <c r="K20" s="11">
        <v>61.416200000000003</v>
      </c>
      <c r="L20" s="11">
        <v>98.78</v>
      </c>
      <c r="M20" s="11">
        <v>145.47</v>
      </c>
      <c r="N20" s="11">
        <v>223.15</v>
      </c>
      <c r="O20" s="11">
        <v>270.20999999999998</v>
      </c>
      <c r="P20" s="11">
        <v>361.48</v>
      </c>
      <c r="Q20" s="11">
        <v>425.99</v>
      </c>
      <c r="R20" s="11">
        <v>492.48</v>
      </c>
      <c r="S20" s="11">
        <v>602.95000000000005</v>
      </c>
      <c r="T20" s="11">
        <v>717.74</v>
      </c>
      <c r="U20" s="11">
        <v>778.01</v>
      </c>
    </row>
    <row r="21" spans="1:21">
      <c r="A21" s="11" t="s">
        <v>25</v>
      </c>
      <c r="B21" s="11">
        <v>15.3482</v>
      </c>
      <c r="C21" s="11">
        <v>15.857699999999999</v>
      </c>
      <c r="D21" s="11">
        <v>17.726800000000001</v>
      </c>
      <c r="E21" s="11">
        <v>19.088100000000001</v>
      </c>
      <c r="F21" s="11">
        <v>21.502800000000001</v>
      </c>
      <c r="G21" s="11">
        <v>22.359000000000002</v>
      </c>
      <c r="H21" s="11">
        <v>24.247399999999999</v>
      </c>
      <c r="I21" s="11">
        <v>26.374300000000002</v>
      </c>
      <c r="J21" s="11">
        <v>31.159700000000001</v>
      </c>
      <c r="K21" s="11">
        <v>44.9741</v>
      </c>
      <c r="L21" s="11">
        <v>66.11</v>
      </c>
      <c r="M21" s="11">
        <v>95.08</v>
      </c>
      <c r="N21" s="11">
        <v>139.24</v>
      </c>
      <c r="O21" s="11">
        <v>179.13</v>
      </c>
      <c r="P21" s="11">
        <v>247.3</v>
      </c>
      <c r="Q21" s="11">
        <v>267.99</v>
      </c>
      <c r="R21" s="11">
        <v>322.08</v>
      </c>
      <c r="S21" s="11">
        <v>401.32</v>
      </c>
      <c r="T21" s="11">
        <v>515.25</v>
      </c>
      <c r="U21" s="11">
        <v>588.9</v>
      </c>
    </row>
    <row r="22" spans="1:21">
      <c r="A22" s="11" t="s">
        <v>26</v>
      </c>
      <c r="B22" s="11">
        <v>11.2</v>
      </c>
      <c r="C22" s="11">
        <v>10.816700000000001</v>
      </c>
      <c r="D22" s="11">
        <v>11.691599999999999</v>
      </c>
      <c r="E22" s="11">
        <v>11.879</v>
      </c>
      <c r="F22" s="11">
        <v>13.5138</v>
      </c>
      <c r="G22" s="11">
        <v>14.706799999999999</v>
      </c>
      <c r="H22" s="11">
        <v>16.830300000000001</v>
      </c>
      <c r="I22" s="11">
        <v>19.738299999999999</v>
      </c>
      <c r="J22" s="11">
        <v>24.452000000000002</v>
      </c>
      <c r="K22" s="11">
        <v>34.615200000000002</v>
      </c>
      <c r="L22" s="11">
        <v>59.2</v>
      </c>
      <c r="M22" s="11">
        <v>87.6</v>
      </c>
      <c r="N22" s="11">
        <v>159.19999999999999</v>
      </c>
      <c r="O22" s="11">
        <v>180.44</v>
      </c>
      <c r="P22" s="11">
        <v>256.76</v>
      </c>
      <c r="Q22" s="11">
        <v>294.17</v>
      </c>
      <c r="R22" s="11">
        <v>342.47</v>
      </c>
      <c r="S22" s="11">
        <v>422.4</v>
      </c>
      <c r="T22" s="11">
        <v>493.74</v>
      </c>
      <c r="U22" s="11">
        <v>546.27</v>
      </c>
    </row>
    <row r="23" spans="1:21">
      <c r="A23" s="11" t="s">
        <v>27</v>
      </c>
      <c r="B23" s="11">
        <v>36.9985</v>
      </c>
      <c r="C23" s="11">
        <v>39.287199999999999</v>
      </c>
      <c r="D23" s="11">
        <v>40.965499999999999</v>
      </c>
      <c r="E23" s="11">
        <v>47.731299999999997</v>
      </c>
      <c r="F23" s="11">
        <v>53.993200000000002</v>
      </c>
      <c r="G23" s="11">
        <v>64.419200000000004</v>
      </c>
      <c r="H23" s="11">
        <v>73.544200000000004</v>
      </c>
      <c r="I23" s="11">
        <v>72.909899999999993</v>
      </c>
      <c r="J23" s="11">
        <v>82.363299999999995</v>
      </c>
      <c r="K23" s="11">
        <v>103.5579</v>
      </c>
      <c r="L23" s="11">
        <v>140.77000000000001</v>
      </c>
      <c r="M23" s="11">
        <v>201.15</v>
      </c>
      <c r="N23" s="11">
        <v>252.85</v>
      </c>
      <c r="O23" s="11">
        <v>304.04000000000002</v>
      </c>
      <c r="P23" s="11">
        <v>433.75</v>
      </c>
      <c r="Q23" s="11">
        <v>505.14</v>
      </c>
      <c r="R23" s="11">
        <v>569.32000000000005</v>
      </c>
      <c r="S23" s="11">
        <v>777.55</v>
      </c>
      <c r="T23" s="11">
        <v>918.36</v>
      </c>
      <c r="U23" s="11">
        <v>1121.83</v>
      </c>
    </row>
    <row r="24" spans="1:21">
      <c r="A24" s="11" t="s">
        <v>28</v>
      </c>
      <c r="B24" s="11">
        <v>9.2010000000000005</v>
      </c>
      <c r="C24" s="11">
        <v>10.0306</v>
      </c>
      <c r="D24" s="11">
        <v>10.682399999999999</v>
      </c>
      <c r="E24" s="11">
        <v>11.6401</v>
      </c>
      <c r="F24" s="11">
        <v>15.625400000000001</v>
      </c>
      <c r="G24" s="11">
        <v>17.860399999999998</v>
      </c>
      <c r="H24" s="11">
        <v>21.015499999999999</v>
      </c>
      <c r="I24" s="11">
        <v>22.0169</v>
      </c>
      <c r="J24" s="11">
        <v>25.993099999999998</v>
      </c>
      <c r="K24" s="11">
        <v>33.4041</v>
      </c>
      <c r="L24" s="11">
        <v>50.75</v>
      </c>
      <c r="M24" s="11">
        <v>78.77</v>
      </c>
      <c r="N24" s="11">
        <v>116.15</v>
      </c>
      <c r="O24" s="11">
        <v>165.49</v>
      </c>
      <c r="P24" s="11">
        <v>232.88</v>
      </c>
      <c r="Q24" s="11">
        <v>253.17</v>
      </c>
      <c r="R24" s="11">
        <v>285.61</v>
      </c>
      <c r="S24" s="11">
        <v>355.33</v>
      </c>
      <c r="T24" s="11">
        <v>413.87</v>
      </c>
      <c r="U24" s="11">
        <v>468.18</v>
      </c>
    </row>
    <row r="25" spans="1:21">
      <c r="A25" s="11" t="s">
        <v>29</v>
      </c>
      <c r="B25" s="11">
        <v>2.4956999999999998</v>
      </c>
      <c r="C25" s="11">
        <v>2.5579000000000001</v>
      </c>
      <c r="D25" s="11">
        <v>2.6459999999999999</v>
      </c>
      <c r="E25" s="11">
        <v>2.8020999999999998</v>
      </c>
      <c r="F25" s="11">
        <v>2.9413999999999998</v>
      </c>
      <c r="G25" s="11">
        <v>3.3925000000000001</v>
      </c>
      <c r="H25" s="11">
        <v>4.6470000000000002</v>
      </c>
      <c r="I25" s="11">
        <v>5.4269999999999996</v>
      </c>
      <c r="J25" s="11">
        <v>6.5190999999999999</v>
      </c>
      <c r="K25" s="11">
        <v>7.6109</v>
      </c>
      <c r="L25" s="11">
        <v>12.46</v>
      </c>
      <c r="M25" s="11">
        <v>18.64</v>
      </c>
      <c r="N25" s="11">
        <v>30.13</v>
      </c>
      <c r="O25" s="11">
        <v>34.82</v>
      </c>
      <c r="P25" s="11">
        <v>50.3</v>
      </c>
      <c r="Q25" s="11">
        <v>59.86</v>
      </c>
      <c r="R25" s="11">
        <v>69.59</v>
      </c>
      <c r="S25" s="11">
        <v>88.46</v>
      </c>
      <c r="T25" s="11">
        <v>100.54</v>
      </c>
      <c r="U25" s="11">
        <v>114.17</v>
      </c>
    </row>
    <row r="26" spans="1:2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</row>
    <row r="27" spans="1:21">
      <c r="A27" s="11" t="s">
        <v>30</v>
      </c>
      <c r="B27" s="11">
        <v>6.2507999999999999</v>
      </c>
      <c r="C27" s="11">
        <v>6.9508999999999999</v>
      </c>
      <c r="D27" s="11">
        <v>7.1848999999999998</v>
      </c>
      <c r="E27" s="11">
        <v>21.895199999999999</v>
      </c>
      <c r="F27" s="11">
        <v>8.7254000000000005</v>
      </c>
      <c r="G27" s="11">
        <v>9.4430999999999994</v>
      </c>
      <c r="H27" s="11">
        <v>10.8218</v>
      </c>
      <c r="I27" s="11">
        <v>12.0564</v>
      </c>
      <c r="J27" s="11">
        <v>15.175700000000001</v>
      </c>
      <c r="K27" s="11">
        <v>19.786999999999999</v>
      </c>
      <c r="L27" s="11">
        <v>33.97</v>
      </c>
      <c r="M27" s="11">
        <v>51.64</v>
      </c>
      <c r="N27" s="11">
        <v>76.73</v>
      </c>
      <c r="O27" s="11">
        <v>94.87</v>
      </c>
      <c r="P27" s="11">
        <v>143.69999999999999</v>
      </c>
      <c r="Q27" s="11">
        <v>167.43</v>
      </c>
      <c r="R27" s="11">
        <v>198.05</v>
      </c>
      <c r="S27" s="11">
        <v>246.34</v>
      </c>
      <c r="T27" s="11">
        <v>313.98</v>
      </c>
      <c r="U27" s="11">
        <v>331.18</v>
      </c>
    </row>
    <row r="28" spans="1:21">
      <c r="A28" s="11" t="s">
        <v>31</v>
      </c>
      <c r="B28" s="11">
        <v>16.973700000000001</v>
      </c>
      <c r="C28" s="11">
        <v>18.466000000000001</v>
      </c>
      <c r="D28" s="11">
        <v>20.1083</v>
      </c>
      <c r="E28" s="11">
        <v>8.0399999999999991</v>
      </c>
      <c r="F28" s="11">
        <v>24.8216</v>
      </c>
      <c r="G28" s="11">
        <v>25.4283</v>
      </c>
      <c r="H28" s="11">
        <v>31.423500000000001</v>
      </c>
      <c r="I28" s="11">
        <v>34.254199999999997</v>
      </c>
      <c r="J28" s="11">
        <v>49.564100000000003</v>
      </c>
      <c r="K28" s="11">
        <v>57.494900000000001</v>
      </c>
      <c r="L28" s="11">
        <v>98.87</v>
      </c>
      <c r="M28" s="11">
        <v>143.56</v>
      </c>
      <c r="N28" s="11">
        <v>219.1</v>
      </c>
      <c r="O28" s="11">
        <v>263.33999999999997</v>
      </c>
      <c r="P28" s="11">
        <v>372.96</v>
      </c>
      <c r="Q28" s="11">
        <v>424.26</v>
      </c>
      <c r="R28" s="11">
        <v>487.2</v>
      </c>
      <c r="S28" s="11">
        <v>584.1</v>
      </c>
      <c r="T28" s="11">
        <v>686.42</v>
      </c>
      <c r="U28" s="11">
        <v>772.24</v>
      </c>
    </row>
    <row r="29" spans="1:21">
      <c r="A29" s="11" t="s">
        <v>32</v>
      </c>
      <c r="B29" s="11">
        <v>7.6657000000000002</v>
      </c>
      <c r="C29" s="11">
        <v>8.4862000000000002</v>
      </c>
      <c r="D29" s="11">
        <v>9.5221</v>
      </c>
      <c r="E29" s="11">
        <v>11.0566</v>
      </c>
      <c r="F29" s="11">
        <v>13.5517</v>
      </c>
      <c r="G29" s="11">
        <v>15.4055</v>
      </c>
      <c r="H29" s="11">
        <v>17.299399999999999</v>
      </c>
      <c r="I29" s="11">
        <v>19.5474</v>
      </c>
      <c r="J29" s="11">
        <v>25.815999999999999</v>
      </c>
      <c r="K29" s="11">
        <v>30.037500000000001</v>
      </c>
      <c r="L29" s="11">
        <v>48.79</v>
      </c>
      <c r="M29" s="11">
        <v>67.44</v>
      </c>
      <c r="N29" s="11">
        <v>102.84</v>
      </c>
      <c r="O29" s="11">
        <v>127.68</v>
      </c>
      <c r="P29" s="11">
        <v>173.26</v>
      </c>
      <c r="Q29" s="11">
        <v>201.05</v>
      </c>
      <c r="R29" s="11">
        <v>228.71</v>
      </c>
      <c r="S29" s="11">
        <v>303.25</v>
      </c>
      <c r="T29" s="11">
        <v>360.8</v>
      </c>
      <c r="U29" s="11">
        <v>392.51</v>
      </c>
    </row>
    <row r="30" spans="1:21">
      <c r="A30" s="11" t="s">
        <v>33</v>
      </c>
      <c r="B30" s="11">
        <v>18.0824</v>
      </c>
      <c r="C30" s="11">
        <v>18.136500000000002</v>
      </c>
      <c r="D30" s="11">
        <v>20.2653</v>
      </c>
      <c r="E30" s="11">
        <v>22.378900000000002</v>
      </c>
      <c r="F30" s="11">
        <v>25.148299999999999</v>
      </c>
      <c r="G30" s="11">
        <v>28.7744</v>
      </c>
      <c r="H30" s="11">
        <v>32.746299999999998</v>
      </c>
      <c r="I30" s="11">
        <v>36.194600000000001</v>
      </c>
      <c r="J30" s="11">
        <v>44.807299999999998</v>
      </c>
      <c r="K30" s="11">
        <v>57.120399999999997</v>
      </c>
      <c r="L30" s="11">
        <v>77.11</v>
      </c>
      <c r="M30" s="11">
        <v>104.59</v>
      </c>
      <c r="N30" s="11">
        <v>151.29</v>
      </c>
      <c r="O30" s="11">
        <v>183.7</v>
      </c>
      <c r="P30" s="11">
        <v>236.98</v>
      </c>
      <c r="Q30" s="11">
        <v>266.94</v>
      </c>
      <c r="R30" s="11">
        <v>300.57</v>
      </c>
      <c r="S30" s="11">
        <v>352.41</v>
      </c>
      <c r="T30" s="11">
        <v>422.66</v>
      </c>
      <c r="U30" s="11">
        <v>466.98</v>
      </c>
    </row>
    <row r="31" spans="1:21">
      <c r="A31" s="11" t="s">
        <v>34</v>
      </c>
      <c r="B31" s="11">
        <v>2.1785999999999999</v>
      </c>
      <c r="C31" s="11">
        <v>2.4373999999999998</v>
      </c>
      <c r="D31" s="11">
        <v>2.9056000000000002</v>
      </c>
      <c r="E31" s="11">
        <v>3.2364999999999999</v>
      </c>
      <c r="F31" s="11">
        <v>3.9037000000000002</v>
      </c>
      <c r="G31" s="11">
        <v>4.8621999999999996</v>
      </c>
      <c r="H31" s="11">
        <v>5.2805</v>
      </c>
      <c r="I31" s="11">
        <v>6.3727</v>
      </c>
      <c r="J31" s="11">
        <v>7.109</v>
      </c>
      <c r="K31" s="11">
        <v>8.0940999999999992</v>
      </c>
      <c r="L31" s="11">
        <v>17.16</v>
      </c>
      <c r="M31" s="11">
        <v>16.350000000000001</v>
      </c>
      <c r="N31" s="11">
        <v>22.09</v>
      </c>
      <c r="O31" s="11">
        <v>32.04</v>
      </c>
      <c r="P31" s="11">
        <v>35.299999999999997</v>
      </c>
      <c r="Q31" s="11">
        <v>36.119999999999997</v>
      </c>
      <c r="R31" s="11">
        <v>40.29</v>
      </c>
      <c r="S31" s="11">
        <v>48.86</v>
      </c>
      <c r="T31" s="11">
        <v>62.8</v>
      </c>
      <c r="U31" s="11">
        <v>69.97</v>
      </c>
    </row>
    <row r="32" spans="1:2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</row>
    <row r="33" spans="1:21">
      <c r="A33" s="11" t="s">
        <v>35</v>
      </c>
      <c r="B33" s="11">
        <v>7.6962999999999999</v>
      </c>
      <c r="C33" s="11">
        <v>8.3963999999999999</v>
      </c>
      <c r="D33" s="11">
        <v>8.6143000000000001</v>
      </c>
      <c r="E33" s="11">
        <v>8.2889999999999997</v>
      </c>
      <c r="F33" s="11">
        <v>11.4542</v>
      </c>
      <c r="G33" s="11">
        <v>14.476000000000001</v>
      </c>
      <c r="H33" s="11">
        <v>16.720600000000001</v>
      </c>
      <c r="I33" s="11">
        <v>18.090800000000002</v>
      </c>
      <c r="J33" s="11">
        <v>21.703800000000001</v>
      </c>
      <c r="K33" s="11">
        <v>28.835699999999999</v>
      </c>
      <c r="L33" s="11">
        <v>49.91</v>
      </c>
      <c r="M33" s="11">
        <v>78.39</v>
      </c>
      <c r="N33" s="11">
        <v>125.83</v>
      </c>
      <c r="O33" s="11">
        <v>156.66</v>
      </c>
      <c r="P33" s="11">
        <v>197.61</v>
      </c>
      <c r="Q33" s="11">
        <v>222.3</v>
      </c>
      <c r="R33" s="11">
        <v>257.14</v>
      </c>
      <c r="S33" s="11">
        <v>313.45</v>
      </c>
      <c r="T33" s="11">
        <v>369.38</v>
      </c>
      <c r="U33" s="11">
        <v>381.66</v>
      </c>
    </row>
    <row r="34" spans="1:21">
      <c r="A34" s="11" t="s">
        <v>36</v>
      </c>
      <c r="B34" s="11">
        <v>5.9634999999999998</v>
      </c>
      <c r="C34" s="11">
        <v>6.4048999999999996</v>
      </c>
      <c r="D34" s="11">
        <v>6.9901999999999997</v>
      </c>
      <c r="E34" s="11">
        <v>8.0568000000000008</v>
      </c>
      <c r="F34" s="11">
        <v>9.8829999999999991</v>
      </c>
      <c r="G34" s="11">
        <v>10.633900000000001</v>
      </c>
      <c r="H34" s="11">
        <v>11.8002</v>
      </c>
      <c r="I34" s="11">
        <v>13.4101</v>
      </c>
      <c r="J34" s="11">
        <v>17.8431</v>
      </c>
      <c r="K34" s="11">
        <v>23.215900000000001</v>
      </c>
      <c r="L34" s="11">
        <v>41.03</v>
      </c>
      <c r="M34" s="11">
        <v>58.32</v>
      </c>
      <c r="N34" s="11">
        <v>88.37</v>
      </c>
      <c r="O34" s="11">
        <v>100.4</v>
      </c>
      <c r="P34" s="11">
        <v>143.18</v>
      </c>
      <c r="Q34" s="11">
        <v>148.21</v>
      </c>
      <c r="R34" s="11">
        <v>165.86</v>
      </c>
      <c r="S34" s="11">
        <v>204.19</v>
      </c>
      <c r="T34" s="11">
        <v>250.1</v>
      </c>
      <c r="U34" s="11">
        <v>273.25</v>
      </c>
    </row>
    <row r="35" spans="1:21">
      <c r="A35" s="11" t="s">
        <v>37</v>
      </c>
      <c r="B35" s="11">
        <v>2.3818999999999999</v>
      </c>
      <c r="C35" s="11">
        <v>2.4704999999999999</v>
      </c>
      <c r="D35" s="11">
        <v>2.4805999999999999</v>
      </c>
      <c r="E35" s="11">
        <v>2.8220000000000001</v>
      </c>
      <c r="F35" s="11">
        <v>4.1538000000000004</v>
      </c>
      <c r="G35" s="11">
        <v>4.4221000000000004</v>
      </c>
      <c r="H35" s="11">
        <v>5.2972000000000001</v>
      </c>
      <c r="I35" s="11">
        <v>6.3398000000000003</v>
      </c>
      <c r="J35" s="11">
        <v>8.8611000000000004</v>
      </c>
      <c r="K35" s="11">
        <v>11.5786</v>
      </c>
      <c r="L35" s="11">
        <v>19.5</v>
      </c>
      <c r="M35" s="11">
        <v>24.66</v>
      </c>
      <c r="N35" s="11">
        <v>32.479999999999997</v>
      </c>
      <c r="O35" s="11">
        <v>38.94</v>
      </c>
      <c r="P35" s="11">
        <v>47.44</v>
      </c>
      <c r="Q35" s="11">
        <v>60.11</v>
      </c>
      <c r="R35" s="11">
        <v>68.64</v>
      </c>
      <c r="S35" s="11">
        <v>80.13</v>
      </c>
      <c r="T35" s="11">
        <v>99.43</v>
      </c>
      <c r="U35" s="11">
        <v>103.06</v>
      </c>
    </row>
    <row r="36" spans="1:21">
      <c r="A36" s="11" t="s">
        <v>38</v>
      </c>
      <c r="B36" s="11">
        <v>1.7099</v>
      </c>
      <c r="C36" s="11">
        <v>1.9234</v>
      </c>
      <c r="D36" s="11">
        <v>1.9922</v>
      </c>
      <c r="E36" s="11">
        <v>2.3519000000000001</v>
      </c>
      <c r="F36" s="11">
        <v>3.9445000000000001</v>
      </c>
      <c r="G36" s="11">
        <v>3.7244000000000002</v>
      </c>
      <c r="H36" s="11">
        <v>4.4812000000000003</v>
      </c>
      <c r="I36" s="11">
        <v>4.3539000000000003</v>
      </c>
      <c r="J36" s="11">
        <v>5.4008000000000003</v>
      </c>
      <c r="K36" s="11">
        <v>7.0084999999999997</v>
      </c>
      <c r="L36" s="11">
        <v>11.42</v>
      </c>
      <c r="M36" s="11">
        <v>17.11</v>
      </c>
      <c r="N36" s="11">
        <v>22.92</v>
      </c>
      <c r="O36" s="11">
        <v>34.020000000000003</v>
      </c>
      <c r="P36" s="11">
        <v>41.09</v>
      </c>
      <c r="Q36" s="11">
        <v>46.09</v>
      </c>
      <c r="R36" s="11">
        <v>53.77</v>
      </c>
      <c r="S36" s="11">
        <v>65.27</v>
      </c>
      <c r="T36" s="11">
        <v>74.11</v>
      </c>
      <c r="U36" s="11">
        <v>82.03</v>
      </c>
    </row>
    <row r="37" spans="1:21">
      <c r="A37" s="11" t="s">
        <v>39</v>
      </c>
      <c r="B37" s="11">
        <v>8.3755000000000006</v>
      </c>
      <c r="C37" s="11">
        <v>8.8902999999999999</v>
      </c>
      <c r="D37" s="11">
        <v>9.6367999999999991</v>
      </c>
      <c r="E37" s="11">
        <v>10.6485</v>
      </c>
      <c r="F37" s="11">
        <v>13.799300000000001</v>
      </c>
      <c r="G37" s="11">
        <v>15.7256</v>
      </c>
      <c r="H37" s="11">
        <v>18.220800000000001</v>
      </c>
      <c r="I37" s="11">
        <v>19.491900000000001</v>
      </c>
      <c r="J37" s="11">
        <v>25.8917</v>
      </c>
      <c r="K37" s="11">
        <v>29.945799999999998</v>
      </c>
      <c r="L37" s="11">
        <v>45.82</v>
      </c>
      <c r="M37" s="11">
        <v>58.64</v>
      </c>
      <c r="N37" s="11">
        <v>84.94</v>
      </c>
      <c r="O37" s="11">
        <v>103.56</v>
      </c>
      <c r="P37" s="11">
        <v>132.43</v>
      </c>
      <c r="Q37" s="11">
        <v>145.88</v>
      </c>
      <c r="R37" s="11">
        <v>160.91</v>
      </c>
      <c r="S37" s="11">
        <v>202.32</v>
      </c>
      <c r="T37" s="11">
        <v>244.01</v>
      </c>
      <c r="U37" s="11">
        <v>256.43</v>
      </c>
    </row>
    <row r="38" spans="1:21">
      <c r="A38" s="10"/>
    </row>
  </sheetData>
  <phoneticPr fontId="6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3DAEE-E7DF-BD41-8CBE-CF4A01A1CC93}">
  <dimension ref="A1:U38"/>
  <sheetViews>
    <sheetView workbookViewId="0">
      <selection sqref="A1:A1048576"/>
    </sheetView>
  </sheetViews>
  <sheetFormatPr baseColWidth="10" defaultRowHeight="16"/>
  <cols>
    <col min="1" max="1" width="19" customWidth="1"/>
  </cols>
  <sheetData>
    <row r="1" spans="1:21" ht="17">
      <c r="A1" s="23" t="s">
        <v>1</v>
      </c>
      <c r="B1" s="23">
        <v>1997</v>
      </c>
      <c r="C1" s="23">
        <v>1998</v>
      </c>
      <c r="D1" s="23">
        <v>1999</v>
      </c>
      <c r="E1" s="23">
        <v>2000</v>
      </c>
      <c r="F1" s="23">
        <v>2001</v>
      </c>
      <c r="G1" s="23">
        <v>2002</v>
      </c>
      <c r="H1" s="23">
        <v>2003</v>
      </c>
      <c r="I1" s="23">
        <v>2004</v>
      </c>
      <c r="J1" s="23">
        <v>2005</v>
      </c>
      <c r="K1" s="23">
        <v>2006</v>
      </c>
      <c r="L1" s="23">
        <v>2007</v>
      </c>
      <c r="M1" s="23">
        <v>2008</v>
      </c>
      <c r="N1" s="23">
        <v>2009</v>
      </c>
      <c r="O1" s="23">
        <v>2010</v>
      </c>
      <c r="P1" s="23">
        <v>2011</v>
      </c>
      <c r="Q1" s="23">
        <v>2012</v>
      </c>
      <c r="R1" s="23">
        <v>2013</v>
      </c>
      <c r="S1" s="23">
        <v>2014</v>
      </c>
      <c r="T1" s="23">
        <v>2015</v>
      </c>
      <c r="U1" s="23">
        <v>2016</v>
      </c>
    </row>
    <row r="2" spans="1:21">
      <c r="A2" s="16" t="s">
        <v>9</v>
      </c>
      <c r="B2" s="16">
        <v>3.2262</v>
      </c>
      <c r="C2" s="16">
        <v>1.2141</v>
      </c>
      <c r="D2" s="16">
        <v>1.4423999999999999</v>
      </c>
      <c r="E2" s="16">
        <v>2.0127000000000002</v>
      </c>
      <c r="F2" s="16">
        <v>2.8369</v>
      </c>
      <c r="G2" s="16">
        <v>2.9165999999999999</v>
      </c>
      <c r="H2" s="16">
        <v>4.1308999999999996</v>
      </c>
      <c r="I2" s="16">
        <v>6.1856</v>
      </c>
      <c r="J2" s="16">
        <v>7.3253000000000004</v>
      </c>
      <c r="K2" s="16">
        <v>9.4306999999999999</v>
      </c>
      <c r="L2" s="16">
        <v>33.090000000000003</v>
      </c>
      <c r="M2" s="16">
        <v>80.349999999999994</v>
      </c>
      <c r="N2" s="16">
        <v>147.07</v>
      </c>
      <c r="O2" s="16">
        <v>154.99</v>
      </c>
      <c r="P2" s="16">
        <v>199.12</v>
      </c>
      <c r="Q2" s="16">
        <v>243.76</v>
      </c>
      <c r="R2" s="16">
        <v>231.79</v>
      </c>
      <c r="S2" s="16">
        <v>214.55</v>
      </c>
      <c r="T2" s="16">
        <v>295.63</v>
      </c>
      <c r="U2" s="16">
        <v>353.48</v>
      </c>
    </row>
    <row r="3" spans="1:21">
      <c r="A3" s="11" t="s">
        <v>10</v>
      </c>
      <c r="B3" s="16">
        <v>1.0926</v>
      </c>
      <c r="C3" s="16">
        <v>0.53200000000000003</v>
      </c>
      <c r="D3" s="16">
        <v>0.55010000000000003</v>
      </c>
      <c r="E3" s="16">
        <v>0.69750000000000001</v>
      </c>
      <c r="F3" s="16">
        <v>1.2909999999999999</v>
      </c>
      <c r="G3" s="16">
        <v>1.1603000000000001</v>
      </c>
      <c r="H3" s="16">
        <v>1.6272</v>
      </c>
      <c r="I3" s="16">
        <v>1.8401000000000001</v>
      </c>
      <c r="J3" s="16">
        <v>1.9119999999999999</v>
      </c>
      <c r="K3" s="16">
        <v>2.5362</v>
      </c>
      <c r="L3" s="16">
        <v>8.49</v>
      </c>
      <c r="M3" s="16">
        <v>14.16</v>
      </c>
      <c r="N3" s="16">
        <v>49.44</v>
      </c>
      <c r="O3" s="16">
        <v>46.95</v>
      </c>
      <c r="P3" s="16">
        <v>97.37</v>
      </c>
      <c r="Q3" s="16">
        <v>87.21</v>
      </c>
      <c r="R3" s="16">
        <v>90.02</v>
      </c>
      <c r="S3" s="16">
        <v>94.95</v>
      </c>
      <c r="T3" s="16">
        <v>98.88</v>
      </c>
      <c r="U3" s="16">
        <v>111.52</v>
      </c>
    </row>
    <row r="4" spans="1:21">
      <c r="A4" s="11" t="s">
        <v>11</v>
      </c>
      <c r="B4" s="16">
        <v>3.2107999999999999</v>
      </c>
      <c r="C4" s="16">
        <v>3.3492000000000002</v>
      </c>
      <c r="D4" s="16">
        <v>3.843</v>
      </c>
      <c r="E4" s="16">
        <v>6.2907999999999999</v>
      </c>
      <c r="F4" s="16">
        <v>7.2971000000000004</v>
      </c>
      <c r="G4" s="16">
        <v>8.8213000000000008</v>
      </c>
      <c r="H4" s="16">
        <v>10.677899999999999</v>
      </c>
      <c r="I4" s="16">
        <v>13.1799</v>
      </c>
      <c r="J4" s="16">
        <v>15.645099999999999</v>
      </c>
      <c r="K4" s="16">
        <v>17.810500000000001</v>
      </c>
      <c r="L4" s="16">
        <v>32.99</v>
      </c>
      <c r="M4" s="16">
        <v>28.92</v>
      </c>
      <c r="N4" s="16">
        <v>161.06</v>
      </c>
      <c r="O4" s="16">
        <v>155.72</v>
      </c>
      <c r="P4" s="16">
        <v>261.36</v>
      </c>
      <c r="Q4" s="16">
        <v>287.04000000000002</v>
      </c>
      <c r="R4" s="16">
        <v>286.57</v>
      </c>
      <c r="S4" s="16">
        <v>310.23</v>
      </c>
      <c r="T4" s="16">
        <v>323.82</v>
      </c>
      <c r="U4" s="16">
        <v>251.8</v>
      </c>
    </row>
    <row r="5" spans="1:21">
      <c r="A5" s="11" t="s">
        <v>12</v>
      </c>
      <c r="B5" s="16">
        <v>1.6661999999999999</v>
      </c>
      <c r="C5" s="16">
        <v>1.5042</v>
      </c>
      <c r="D5" s="16">
        <v>1.6357999999999999</v>
      </c>
      <c r="E5" s="16">
        <v>1.893</v>
      </c>
      <c r="F5" s="16">
        <v>2.7713999999999999</v>
      </c>
      <c r="G5" s="16">
        <v>3.5247999999999999</v>
      </c>
      <c r="H5" s="16">
        <v>4.5435999999999996</v>
      </c>
      <c r="I5" s="16">
        <v>8.1495999999999995</v>
      </c>
      <c r="J5" s="16">
        <v>9.9871999999999996</v>
      </c>
      <c r="K5" s="16">
        <v>12.333399999999999</v>
      </c>
      <c r="L5" s="16">
        <v>28.15</v>
      </c>
      <c r="M5" s="16">
        <v>33.6</v>
      </c>
      <c r="N5" s="16">
        <v>93.68</v>
      </c>
      <c r="O5" s="16">
        <v>131.65</v>
      </c>
      <c r="P5" s="16">
        <v>178.93</v>
      </c>
      <c r="Q5" s="16">
        <v>194.82</v>
      </c>
      <c r="R5" s="16">
        <v>180.54</v>
      </c>
      <c r="S5" s="16">
        <v>170.35</v>
      </c>
      <c r="T5" s="16">
        <v>208.84</v>
      </c>
      <c r="U5" s="16">
        <v>193.17</v>
      </c>
    </row>
    <row r="6" spans="1:21">
      <c r="A6" s="11" t="s">
        <v>13</v>
      </c>
      <c r="B6" s="16">
        <v>1.7257</v>
      </c>
      <c r="C6" s="16">
        <v>1.3757999999999999</v>
      </c>
      <c r="D6" s="16">
        <v>1.3920999999999999</v>
      </c>
      <c r="E6" s="16">
        <v>1.4557</v>
      </c>
      <c r="F6" s="16">
        <v>2.4554999999999998</v>
      </c>
      <c r="G6" s="16">
        <v>3.0857000000000001</v>
      </c>
      <c r="H6" s="16">
        <v>3.8046000000000002</v>
      </c>
      <c r="I6" s="16">
        <v>5.2946999999999997</v>
      </c>
      <c r="J6" s="16">
        <v>7.2843</v>
      </c>
      <c r="K6" s="16">
        <v>8.5473999999999997</v>
      </c>
      <c r="L6" s="16">
        <v>48.49</v>
      </c>
      <c r="M6" s="16">
        <v>49.31</v>
      </c>
      <c r="N6" s="16">
        <v>132.9</v>
      </c>
      <c r="O6" s="16">
        <v>121.05</v>
      </c>
      <c r="P6" s="16">
        <v>281.48</v>
      </c>
      <c r="Q6" s="16">
        <v>301.24</v>
      </c>
      <c r="R6" s="16">
        <v>295.23</v>
      </c>
      <c r="S6" s="16">
        <v>292.72000000000003</v>
      </c>
      <c r="T6" s="16">
        <v>292.77999999999997</v>
      </c>
      <c r="U6" s="16">
        <v>299.43</v>
      </c>
    </row>
    <row r="7" spans="1:21">
      <c r="A7" s="11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</row>
    <row r="8" spans="1:21">
      <c r="A8" s="11" t="s">
        <v>14</v>
      </c>
      <c r="B8" s="16">
        <v>4.9173</v>
      </c>
      <c r="C8" s="16">
        <v>3.5146999999999999</v>
      </c>
      <c r="D8" s="16">
        <v>3.8628999999999998</v>
      </c>
      <c r="E8" s="16">
        <v>4.0697000000000001</v>
      </c>
      <c r="F8" s="16">
        <v>4.5134999999999996</v>
      </c>
      <c r="G8" s="16">
        <v>6.4938000000000002</v>
      </c>
      <c r="H8" s="16">
        <v>8.8672000000000004</v>
      </c>
      <c r="I8" s="16">
        <v>12.526199999999999</v>
      </c>
      <c r="J8" s="16">
        <v>23.562899999999999</v>
      </c>
      <c r="K8" s="16">
        <v>20.511600000000001</v>
      </c>
      <c r="L8" s="16">
        <v>26.92</v>
      </c>
      <c r="M8" s="16">
        <v>37.25</v>
      </c>
      <c r="N8" s="16">
        <v>106.6</v>
      </c>
      <c r="O8" s="16">
        <v>140.29</v>
      </c>
      <c r="P8" s="16">
        <v>220.53</v>
      </c>
      <c r="Q8" s="16">
        <v>256.10000000000002</v>
      </c>
      <c r="R8" s="16">
        <v>302.51</v>
      </c>
      <c r="S8" s="16">
        <v>310.89</v>
      </c>
      <c r="T8" s="16">
        <v>269.98</v>
      </c>
      <c r="U8" s="16">
        <v>188.37</v>
      </c>
    </row>
    <row r="9" spans="1:21">
      <c r="A9" s="11" t="s">
        <v>15</v>
      </c>
      <c r="B9" s="16">
        <v>3.4298999999999999</v>
      </c>
      <c r="C9" s="16">
        <v>2.7519999999999998</v>
      </c>
      <c r="D9" s="16">
        <v>2.7456999999999998</v>
      </c>
      <c r="E9" s="16">
        <v>2.7088999999999999</v>
      </c>
      <c r="F9" s="16">
        <v>3.8460000000000001</v>
      </c>
      <c r="G9" s="16">
        <v>4.1135000000000002</v>
      </c>
      <c r="H9" s="16">
        <v>5.7390999999999996</v>
      </c>
      <c r="I9" s="16">
        <v>6.3982000000000001</v>
      </c>
      <c r="J9" s="16">
        <v>8.0881000000000007</v>
      </c>
      <c r="K9" s="16">
        <v>10.311999999999999</v>
      </c>
      <c r="L9" s="16">
        <v>23.49</v>
      </c>
      <c r="M9" s="16">
        <v>29.3</v>
      </c>
      <c r="N9" s="16">
        <v>57.66</v>
      </c>
      <c r="O9" s="16">
        <v>89.78</v>
      </c>
      <c r="P9" s="16">
        <v>149.79</v>
      </c>
      <c r="Q9" s="16">
        <v>128.16</v>
      </c>
      <c r="R9" s="16">
        <v>170.05</v>
      </c>
      <c r="S9" s="16">
        <v>229.11</v>
      </c>
      <c r="T9" s="16">
        <v>191.83</v>
      </c>
      <c r="U9" s="16">
        <v>202.05</v>
      </c>
    </row>
    <row r="10" spans="1:21">
      <c r="A10" s="11" t="s">
        <v>16</v>
      </c>
      <c r="B10" s="16">
        <v>2.4872000000000001</v>
      </c>
      <c r="C10" s="16">
        <v>2.2282999999999999</v>
      </c>
      <c r="D10" s="16">
        <v>2.8494000000000002</v>
      </c>
      <c r="E10" s="16">
        <v>4.0174000000000003</v>
      </c>
      <c r="F10" s="16">
        <v>5.9836</v>
      </c>
      <c r="G10" s="16">
        <v>6.9355000000000002</v>
      </c>
      <c r="H10" s="16">
        <v>8.3421000000000003</v>
      </c>
      <c r="I10" s="16">
        <v>9.1039999999999992</v>
      </c>
      <c r="J10" s="16">
        <v>10.5351</v>
      </c>
      <c r="K10" s="16">
        <v>14.3477</v>
      </c>
      <c r="L10" s="16">
        <v>42.56</v>
      </c>
      <c r="M10" s="16">
        <v>52.33</v>
      </c>
      <c r="N10" s="16">
        <v>103.78</v>
      </c>
      <c r="O10" s="16">
        <v>147.72</v>
      </c>
      <c r="P10" s="16">
        <v>249.88</v>
      </c>
      <c r="Q10" s="16">
        <v>226.51</v>
      </c>
      <c r="R10" s="16">
        <v>244.2</v>
      </c>
      <c r="S10" s="16">
        <v>236.97</v>
      </c>
      <c r="T10" s="16">
        <v>272.07</v>
      </c>
      <c r="U10" s="16">
        <v>250.4</v>
      </c>
    </row>
    <row r="11" spans="1:21">
      <c r="A11" s="11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</row>
    <row r="12" spans="1:21">
      <c r="A12" s="11" t="s">
        <v>17</v>
      </c>
      <c r="B12" s="16">
        <v>2.7652000000000001</v>
      </c>
      <c r="C12" s="16">
        <v>3.5137</v>
      </c>
      <c r="D12" s="16">
        <v>3.2841999999999998</v>
      </c>
      <c r="E12" s="16">
        <v>3.2763</v>
      </c>
      <c r="F12" s="16">
        <v>3.8056999999999999</v>
      </c>
      <c r="G12" s="16">
        <v>3.6997</v>
      </c>
      <c r="H12" s="16">
        <v>3.9849999999999999</v>
      </c>
      <c r="I12" s="16">
        <v>6.23</v>
      </c>
      <c r="J12" s="16">
        <v>7.3700999999999999</v>
      </c>
      <c r="K12" s="16">
        <v>8.0986999999999991</v>
      </c>
      <c r="L12" s="16">
        <v>16.23</v>
      </c>
      <c r="M12" s="16">
        <v>17.079999999999998</v>
      </c>
      <c r="N12" s="16">
        <v>81.84</v>
      </c>
      <c r="O12" s="16">
        <v>80.430000000000007</v>
      </c>
      <c r="P12" s="16">
        <v>137.04</v>
      </c>
      <c r="Q12" s="16">
        <v>115.41</v>
      </c>
      <c r="R12" s="16">
        <v>144.46</v>
      </c>
      <c r="S12" s="16">
        <v>157.19999999999999</v>
      </c>
      <c r="T12" s="16">
        <v>274.73</v>
      </c>
      <c r="U12" s="16">
        <v>403.88</v>
      </c>
    </row>
    <row r="13" spans="1:21">
      <c r="A13" s="11" t="s">
        <v>18</v>
      </c>
      <c r="B13" s="16">
        <v>4.6478999999999999</v>
      </c>
      <c r="C13" s="16">
        <v>2.7214</v>
      </c>
      <c r="D13" s="16">
        <v>2.8365</v>
      </c>
      <c r="E13" s="16">
        <v>3.7825000000000002</v>
      </c>
      <c r="F13" s="16">
        <v>4.8688000000000002</v>
      </c>
      <c r="G13" s="16">
        <v>6.5290999999999997</v>
      </c>
      <c r="H13" s="16">
        <v>9.9016000000000002</v>
      </c>
      <c r="I13" s="16">
        <v>17.184100000000001</v>
      </c>
      <c r="J13" s="16">
        <v>19.262899999999998</v>
      </c>
      <c r="K13" s="16">
        <v>29.415099999999999</v>
      </c>
      <c r="L13" s="16">
        <v>79.150000000000006</v>
      </c>
      <c r="M13" s="16">
        <v>117.21</v>
      </c>
      <c r="N13" s="16">
        <v>230.87</v>
      </c>
      <c r="O13" s="16">
        <v>276</v>
      </c>
      <c r="P13" s="16">
        <v>391.69</v>
      </c>
      <c r="Q13" s="16">
        <v>436.58</v>
      </c>
      <c r="R13" s="16">
        <v>448.58</v>
      </c>
      <c r="S13" s="16">
        <v>496.93</v>
      </c>
      <c r="T13" s="16">
        <v>547.80999999999995</v>
      </c>
      <c r="U13" s="16">
        <v>511.81</v>
      </c>
    </row>
    <row r="14" spans="1:21">
      <c r="A14" s="11" t="s">
        <v>19</v>
      </c>
      <c r="B14" s="16">
        <v>4.7621000000000002</v>
      </c>
      <c r="C14" s="16">
        <v>5.1272000000000002</v>
      </c>
      <c r="D14" s="16">
        <v>5.6486999999999998</v>
      </c>
      <c r="E14" s="16">
        <v>6.3784999999999998</v>
      </c>
      <c r="F14" s="16">
        <v>10.588699999999999</v>
      </c>
      <c r="G14" s="16">
        <v>12.675000000000001</v>
      </c>
      <c r="H14" s="16">
        <v>16.570599999999999</v>
      </c>
      <c r="I14" s="16">
        <v>22.369299999999999</v>
      </c>
      <c r="J14" s="16">
        <v>24.220199999999998</v>
      </c>
      <c r="K14" s="16">
        <v>30.0444</v>
      </c>
      <c r="L14" s="16">
        <v>45.07</v>
      </c>
      <c r="M14" s="16">
        <v>59.42</v>
      </c>
      <c r="N14" s="16">
        <v>246.36</v>
      </c>
      <c r="O14" s="16">
        <v>233.37</v>
      </c>
      <c r="P14" s="16">
        <v>273.99</v>
      </c>
      <c r="Q14" s="16">
        <v>287.64</v>
      </c>
      <c r="R14" s="16">
        <v>372.51</v>
      </c>
      <c r="S14" s="16">
        <v>388.33</v>
      </c>
      <c r="T14" s="16">
        <v>553.65</v>
      </c>
      <c r="U14" s="16">
        <v>463.75</v>
      </c>
    </row>
    <row r="15" spans="1:21">
      <c r="A15" s="11" t="s">
        <v>20</v>
      </c>
      <c r="B15" s="16">
        <v>2.0059999999999998</v>
      </c>
      <c r="C15" s="16">
        <v>1.6843999999999999</v>
      </c>
      <c r="D15" s="16">
        <v>1.7215</v>
      </c>
      <c r="E15" s="16">
        <v>2.2625999999999999</v>
      </c>
      <c r="F15" s="16">
        <v>2.4239999999999999</v>
      </c>
      <c r="G15" s="16">
        <v>3.1362000000000001</v>
      </c>
      <c r="H15" s="16">
        <v>3.4323999999999999</v>
      </c>
      <c r="I15" s="16">
        <v>4.7675999999999998</v>
      </c>
      <c r="J15" s="16">
        <v>8.5703999999999994</v>
      </c>
      <c r="K15" s="16">
        <v>17.569299999999998</v>
      </c>
      <c r="L15" s="16">
        <v>49.5</v>
      </c>
      <c r="M15" s="16">
        <v>51.82</v>
      </c>
      <c r="N15" s="16">
        <v>142.72999999999999</v>
      </c>
      <c r="O15" s="16">
        <v>124.86</v>
      </c>
      <c r="P15" s="16">
        <v>219.59</v>
      </c>
      <c r="Q15" s="16">
        <v>237.17</v>
      </c>
      <c r="R15" s="16">
        <v>276.01</v>
      </c>
      <c r="S15" s="16">
        <v>338.38</v>
      </c>
      <c r="T15" s="16">
        <v>383.97</v>
      </c>
      <c r="U15" s="16">
        <v>341.37</v>
      </c>
    </row>
    <row r="16" spans="1:21">
      <c r="A16" s="11" t="s">
        <v>21</v>
      </c>
      <c r="B16" s="16">
        <v>3.1745999999999999</v>
      </c>
      <c r="C16" s="16">
        <v>3.1844000000000001</v>
      </c>
      <c r="D16" s="16">
        <v>3.5042</v>
      </c>
      <c r="E16" s="16">
        <v>3.5931999999999999</v>
      </c>
      <c r="F16" s="16">
        <v>4.2293000000000003</v>
      </c>
      <c r="G16" s="16">
        <v>5.5137999999999998</v>
      </c>
      <c r="H16" s="16">
        <v>7.0220000000000002</v>
      </c>
      <c r="I16" s="16">
        <v>8.9635999999999996</v>
      </c>
      <c r="J16" s="16">
        <v>11.0708</v>
      </c>
      <c r="K16" s="16">
        <v>14.6366</v>
      </c>
      <c r="L16" s="16">
        <v>26.63</v>
      </c>
      <c r="M16" s="16">
        <v>45.61</v>
      </c>
      <c r="N16" s="16">
        <v>127.62</v>
      </c>
      <c r="O16" s="16">
        <v>125.21</v>
      </c>
      <c r="P16" s="16">
        <v>240.05</v>
      </c>
      <c r="Q16" s="16">
        <v>272.08</v>
      </c>
      <c r="R16" s="16">
        <v>279.31</v>
      </c>
      <c r="S16" s="16">
        <v>310.93</v>
      </c>
      <c r="T16" s="16">
        <v>346.2</v>
      </c>
      <c r="U16" s="16">
        <v>287.66000000000003</v>
      </c>
    </row>
    <row r="17" spans="1:21">
      <c r="A17" s="11" t="s">
        <v>22</v>
      </c>
      <c r="B17" s="16">
        <v>2.613</v>
      </c>
      <c r="C17" s="16">
        <v>2.0038</v>
      </c>
      <c r="D17" s="16">
        <v>2.1962000000000002</v>
      </c>
      <c r="E17" s="16">
        <v>2.1970000000000001</v>
      </c>
      <c r="F17" s="16">
        <v>2.8197999999999999</v>
      </c>
      <c r="G17" s="16">
        <v>4.0781999999999998</v>
      </c>
      <c r="H17" s="16">
        <v>5.0576999999999996</v>
      </c>
      <c r="I17" s="16">
        <v>7.4325999999999999</v>
      </c>
      <c r="J17" s="16">
        <v>9.7736999999999998</v>
      </c>
      <c r="K17" s="16">
        <v>11.552099999999999</v>
      </c>
      <c r="L17" s="16">
        <v>30.99</v>
      </c>
      <c r="M17" s="16">
        <v>37.6</v>
      </c>
      <c r="N17" s="16">
        <v>112.96</v>
      </c>
      <c r="O17" s="16">
        <v>107.31</v>
      </c>
      <c r="P17" s="16">
        <v>218.05</v>
      </c>
      <c r="Q17" s="16">
        <v>192.78</v>
      </c>
      <c r="R17" s="16">
        <v>206.93</v>
      </c>
      <c r="S17" s="16">
        <v>289.45999999999998</v>
      </c>
      <c r="T17" s="16">
        <v>247.18</v>
      </c>
      <c r="U17" s="16">
        <v>223.49</v>
      </c>
    </row>
    <row r="18" spans="1:21">
      <c r="A18" s="11" t="s">
        <v>23</v>
      </c>
      <c r="B18" s="16">
        <v>3.948</v>
      </c>
      <c r="C18" s="16">
        <v>3.1640000000000001</v>
      </c>
      <c r="D18" s="16">
        <v>3.1177999999999999</v>
      </c>
      <c r="E18" s="16">
        <v>4.5106999999999999</v>
      </c>
      <c r="F18" s="16">
        <v>7.9047999999999998</v>
      </c>
      <c r="G18" s="16">
        <v>8.1823999999999995</v>
      </c>
      <c r="H18" s="16">
        <v>8.9036000000000008</v>
      </c>
      <c r="I18" s="16">
        <v>12.404999999999999</v>
      </c>
      <c r="J18" s="16">
        <v>16.879899999999999</v>
      </c>
      <c r="K18" s="16">
        <v>19.4739</v>
      </c>
      <c r="L18" s="16">
        <v>27</v>
      </c>
      <c r="M18" s="16">
        <v>30.05</v>
      </c>
      <c r="N18" s="16">
        <v>174.25</v>
      </c>
      <c r="O18" s="16">
        <v>230.5</v>
      </c>
      <c r="P18" s="16">
        <v>294.91000000000003</v>
      </c>
      <c r="Q18" s="16">
        <v>322.93</v>
      </c>
      <c r="R18" s="16">
        <v>371.15</v>
      </c>
      <c r="S18" s="16">
        <v>399.14</v>
      </c>
      <c r="T18" s="16">
        <v>460.69</v>
      </c>
      <c r="U18" s="16">
        <v>372.84</v>
      </c>
    </row>
    <row r="19" spans="1:21">
      <c r="A19" s="11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</row>
    <row r="20" spans="1:21">
      <c r="A20" s="11" t="s">
        <v>24</v>
      </c>
      <c r="B20" s="16">
        <v>2.1554000000000002</v>
      </c>
      <c r="C20" s="16">
        <v>1.7104999999999999</v>
      </c>
      <c r="D20" s="16">
        <v>1.8254999999999999</v>
      </c>
      <c r="E20" s="16">
        <v>3.5939999999999999</v>
      </c>
      <c r="F20" s="16">
        <v>5.1123000000000003</v>
      </c>
      <c r="G20" s="16">
        <v>4.1498999999999997</v>
      </c>
      <c r="H20" s="16">
        <v>5.9539</v>
      </c>
      <c r="I20" s="16">
        <v>11.886200000000001</v>
      </c>
      <c r="J20" s="16">
        <v>9.7769999999999992</v>
      </c>
      <c r="K20" s="16">
        <v>17.772600000000001</v>
      </c>
      <c r="L20" s="16">
        <v>40.299999999999997</v>
      </c>
      <c r="M20" s="16">
        <v>43.17</v>
      </c>
      <c r="N20" s="16">
        <v>177.62</v>
      </c>
      <c r="O20" s="16">
        <v>173.84</v>
      </c>
      <c r="P20" s="16">
        <v>281.20999999999998</v>
      </c>
      <c r="Q20" s="16">
        <v>300.43</v>
      </c>
      <c r="R20" s="16">
        <v>346.19</v>
      </c>
      <c r="S20" s="16">
        <v>364.85</v>
      </c>
      <c r="T20" s="16">
        <v>371.01</v>
      </c>
      <c r="U20" s="16">
        <v>347.97</v>
      </c>
    </row>
    <row r="21" spans="1:21">
      <c r="A21" s="11" t="s">
        <v>25</v>
      </c>
      <c r="B21" s="16">
        <v>2.3738000000000001</v>
      </c>
      <c r="C21" s="16">
        <v>1.4778</v>
      </c>
      <c r="D21" s="16">
        <v>3.6722000000000001</v>
      </c>
      <c r="E21" s="16">
        <v>3.9535999999999998</v>
      </c>
      <c r="F21" s="16">
        <v>4.1455000000000002</v>
      </c>
      <c r="G21" s="16">
        <v>5.5396000000000001</v>
      </c>
      <c r="H21" s="16">
        <v>4.5475000000000003</v>
      </c>
      <c r="I21" s="16">
        <v>7.2041000000000004</v>
      </c>
      <c r="J21" s="16">
        <v>10.5162</v>
      </c>
      <c r="K21" s="16">
        <v>14.061999999999999</v>
      </c>
      <c r="L21" s="16">
        <v>30.21</v>
      </c>
      <c r="M21" s="16">
        <v>38.31</v>
      </c>
      <c r="N21" s="16">
        <v>84.92</v>
      </c>
      <c r="O21" s="16">
        <v>124.03</v>
      </c>
      <c r="P21" s="16">
        <v>255.18</v>
      </c>
      <c r="Q21" s="16">
        <v>212.68</v>
      </c>
      <c r="R21" s="16">
        <v>308.82</v>
      </c>
      <c r="S21" s="16">
        <v>396.04</v>
      </c>
      <c r="T21" s="16">
        <v>452.05</v>
      </c>
      <c r="U21" s="16">
        <v>391.8</v>
      </c>
    </row>
    <row r="22" spans="1:21">
      <c r="A22" s="11" t="s">
        <v>26</v>
      </c>
      <c r="B22" s="16">
        <v>2.2902999999999998</v>
      </c>
      <c r="C22" s="16">
        <v>2.0032999999999999</v>
      </c>
      <c r="D22" s="16">
        <v>2.0956999999999999</v>
      </c>
      <c r="E22" s="16">
        <v>3.0762999999999998</v>
      </c>
      <c r="F22" s="16">
        <v>4.8570000000000002</v>
      </c>
      <c r="G22" s="16">
        <v>5.1962000000000002</v>
      </c>
      <c r="H22" s="16">
        <v>5.8891999999999998</v>
      </c>
      <c r="I22" s="16">
        <v>11.182499999999999</v>
      </c>
      <c r="J22" s="16">
        <v>12.5274</v>
      </c>
      <c r="K22" s="16">
        <v>15.351800000000001</v>
      </c>
      <c r="L22" s="16">
        <v>48.72</v>
      </c>
      <c r="M22" s="16">
        <v>56.96</v>
      </c>
      <c r="N22" s="16">
        <v>117.24</v>
      </c>
      <c r="O22" s="16">
        <v>153.03</v>
      </c>
      <c r="P22" s="16">
        <v>301.31</v>
      </c>
      <c r="Q22" s="16">
        <v>273.82</v>
      </c>
      <c r="R22" s="16">
        <v>336.96</v>
      </c>
      <c r="S22" s="16">
        <v>322.16000000000003</v>
      </c>
      <c r="T22" s="16">
        <v>318.93</v>
      </c>
      <c r="U22" s="16">
        <v>325.01</v>
      </c>
    </row>
    <row r="23" spans="1:21">
      <c r="A23" s="11" t="s">
        <v>27</v>
      </c>
      <c r="B23" s="16">
        <v>6.8669000000000002</v>
      </c>
      <c r="C23" s="16">
        <v>3.3052999999999999</v>
      </c>
      <c r="D23" s="16">
        <v>3.5819999999999999</v>
      </c>
      <c r="E23" s="16">
        <v>4.7350000000000003</v>
      </c>
      <c r="F23" s="16">
        <v>6.4832999999999998</v>
      </c>
      <c r="G23" s="16">
        <v>9.4306000000000001</v>
      </c>
      <c r="H23" s="16">
        <v>11.7926</v>
      </c>
      <c r="I23" s="16">
        <v>19.537500000000001</v>
      </c>
      <c r="J23" s="16">
        <v>20.599799999999998</v>
      </c>
      <c r="K23" s="16">
        <v>24.614899999999999</v>
      </c>
      <c r="L23" s="16">
        <v>57.12</v>
      </c>
      <c r="M23" s="16">
        <v>105.84</v>
      </c>
      <c r="N23" s="16">
        <v>249.13</v>
      </c>
      <c r="O23" s="16">
        <v>318.17</v>
      </c>
      <c r="P23" s="16">
        <v>533.4</v>
      </c>
      <c r="Q23" s="16">
        <v>503.57</v>
      </c>
      <c r="R23" s="16">
        <v>688.04</v>
      </c>
      <c r="S23" s="16">
        <v>882.86</v>
      </c>
      <c r="T23" s="16">
        <v>1982.63</v>
      </c>
      <c r="U23" s="16">
        <v>1014.52</v>
      </c>
    </row>
    <row r="24" spans="1:21">
      <c r="A24" s="11" t="s">
        <v>28</v>
      </c>
      <c r="B24" s="16">
        <v>1.6748000000000001</v>
      </c>
      <c r="C24" s="16">
        <v>1.0759000000000001</v>
      </c>
      <c r="D24" s="16">
        <v>1.2666999999999999</v>
      </c>
      <c r="E24" s="16">
        <v>1.6167</v>
      </c>
      <c r="F24" s="16">
        <v>2.0867</v>
      </c>
      <c r="G24" s="16">
        <v>2.3921999999999999</v>
      </c>
      <c r="H24" s="16">
        <v>3.028</v>
      </c>
      <c r="I24" s="16">
        <v>4.0452000000000004</v>
      </c>
      <c r="J24" s="16">
        <v>5.1795</v>
      </c>
      <c r="K24" s="16">
        <v>6.3952</v>
      </c>
      <c r="L24" s="16">
        <v>41.27</v>
      </c>
      <c r="M24" s="16">
        <v>58.48</v>
      </c>
      <c r="N24" s="16">
        <v>81.55</v>
      </c>
      <c r="O24" s="16">
        <v>93.71</v>
      </c>
      <c r="P24" s="16">
        <v>248.98</v>
      </c>
      <c r="Q24" s="16">
        <v>242.74</v>
      </c>
      <c r="R24" s="16">
        <v>238.99</v>
      </c>
      <c r="S24" s="16">
        <v>204.92</v>
      </c>
      <c r="T24" s="16">
        <v>237.83</v>
      </c>
      <c r="U24" s="16">
        <v>217.12</v>
      </c>
    </row>
    <row r="25" spans="1:21">
      <c r="A25" s="11" t="s">
        <v>29</v>
      </c>
      <c r="B25" s="16">
        <v>0.1598</v>
      </c>
      <c r="C25" s="16">
        <v>0.1037</v>
      </c>
      <c r="D25" s="16">
        <v>0.17050000000000001</v>
      </c>
      <c r="E25" s="16">
        <v>0.40439999999999998</v>
      </c>
      <c r="F25" s="16">
        <v>0.30409999999999998</v>
      </c>
      <c r="G25" s="16">
        <v>0.41770000000000002</v>
      </c>
      <c r="H25" s="16">
        <v>0.52910000000000001</v>
      </c>
      <c r="I25" s="16">
        <v>0.56989999999999996</v>
      </c>
      <c r="J25" s="16">
        <v>0.83989999999999998</v>
      </c>
      <c r="K25" s="16">
        <v>0.95809999999999995</v>
      </c>
      <c r="L25" s="16">
        <v>9.1</v>
      </c>
      <c r="M25" s="16">
        <v>11.43</v>
      </c>
      <c r="N25" s="16">
        <v>28.5</v>
      </c>
      <c r="O25" s="16">
        <v>26.23</v>
      </c>
      <c r="P25" s="16">
        <v>53.19</v>
      </c>
      <c r="Q25" s="16">
        <v>67.510000000000005</v>
      </c>
      <c r="R25" s="16">
        <v>73.819999999999993</v>
      </c>
      <c r="S25" s="16">
        <v>86.39</v>
      </c>
      <c r="T25" s="16">
        <v>99.46</v>
      </c>
      <c r="U25" s="16">
        <v>114.24</v>
      </c>
    </row>
    <row r="26" spans="1:21">
      <c r="A26" s="11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</row>
    <row r="27" spans="1:21">
      <c r="A27" s="11" t="s">
        <v>30</v>
      </c>
      <c r="B27" s="16">
        <v>0.69110000000000005</v>
      </c>
      <c r="C27" s="16">
        <v>0.42080000000000001</v>
      </c>
      <c r="D27" s="16">
        <v>0.55189999999999995</v>
      </c>
      <c r="E27" s="16">
        <v>3.5400999999999998</v>
      </c>
      <c r="F27" s="16">
        <v>0.48230000000000001</v>
      </c>
      <c r="G27" s="16">
        <v>0.94640000000000002</v>
      </c>
      <c r="H27" s="16">
        <v>1.0871</v>
      </c>
      <c r="I27" s="16">
        <v>1.5887</v>
      </c>
      <c r="J27" s="16">
        <v>3.0032000000000001</v>
      </c>
      <c r="K27" s="16">
        <v>4.0091000000000001</v>
      </c>
      <c r="L27" s="16">
        <v>36.08</v>
      </c>
      <c r="M27" s="16">
        <v>47.93</v>
      </c>
      <c r="N27" s="16">
        <v>64.540000000000006</v>
      </c>
      <c r="O27" s="16">
        <v>81.849999999999994</v>
      </c>
      <c r="P27" s="16">
        <v>186.23</v>
      </c>
      <c r="Q27" s="16">
        <v>207.47</v>
      </c>
      <c r="R27" s="16">
        <v>253.96</v>
      </c>
      <c r="S27" s="16">
        <v>260.87</v>
      </c>
      <c r="T27" s="16">
        <v>294.06</v>
      </c>
      <c r="U27" s="16">
        <v>268</v>
      </c>
    </row>
    <row r="28" spans="1:21">
      <c r="A28" s="11" t="s">
        <v>31</v>
      </c>
      <c r="B28" s="16">
        <v>2.8731</v>
      </c>
      <c r="C28" s="16">
        <v>2.4056999999999999</v>
      </c>
      <c r="D28" s="16">
        <v>2.8401999999999998</v>
      </c>
      <c r="E28" s="16">
        <v>0.65669999999999995</v>
      </c>
      <c r="F28" s="16">
        <v>4.4311999999999996</v>
      </c>
      <c r="G28" s="16">
        <v>4.4149000000000003</v>
      </c>
      <c r="H28" s="16">
        <v>6.2927999999999997</v>
      </c>
      <c r="I28" s="16">
        <v>8.7972000000000001</v>
      </c>
      <c r="J28" s="16">
        <v>18.122900000000001</v>
      </c>
      <c r="K28" s="16">
        <v>24.1539</v>
      </c>
      <c r="L28" s="16">
        <v>73.069999999999993</v>
      </c>
      <c r="M28" s="16">
        <v>105.36</v>
      </c>
      <c r="N28" s="16">
        <v>170.63</v>
      </c>
      <c r="O28" s="16">
        <v>192.98</v>
      </c>
      <c r="P28" s="16">
        <v>364.89</v>
      </c>
      <c r="Q28" s="16">
        <v>435.49</v>
      </c>
      <c r="R28" s="16">
        <v>528.79999999999995</v>
      </c>
      <c r="S28" s="16">
        <v>543.83000000000004</v>
      </c>
      <c r="T28" s="16">
        <v>601.14</v>
      </c>
      <c r="U28" s="16">
        <v>569.11</v>
      </c>
    </row>
    <row r="29" spans="1:21">
      <c r="A29" s="11" t="s">
        <v>32</v>
      </c>
      <c r="B29" s="16">
        <v>1.532</v>
      </c>
      <c r="C29" s="16">
        <v>1.1817</v>
      </c>
      <c r="D29" s="16">
        <v>1.5075000000000001</v>
      </c>
      <c r="E29" s="16">
        <v>1.8837999999999999</v>
      </c>
      <c r="F29" s="16">
        <v>2.7334000000000001</v>
      </c>
      <c r="G29" s="16">
        <v>3.8041</v>
      </c>
      <c r="H29" s="16">
        <v>4.1009000000000002</v>
      </c>
      <c r="I29" s="16">
        <v>5.3041999999999998</v>
      </c>
      <c r="J29" s="16">
        <v>7.0315000000000003</v>
      </c>
      <c r="K29" s="16">
        <v>7.5918000000000001</v>
      </c>
      <c r="L29" s="16">
        <v>48.84</v>
      </c>
      <c r="M29" s="16">
        <v>49.38</v>
      </c>
      <c r="N29" s="16">
        <v>120.8</v>
      </c>
      <c r="O29" s="16">
        <v>109.61</v>
      </c>
      <c r="P29" s="16">
        <v>305.16000000000003</v>
      </c>
      <c r="Q29" s="16">
        <v>288.56</v>
      </c>
      <c r="R29" s="16">
        <v>299.79000000000002</v>
      </c>
      <c r="S29" s="16">
        <v>432.01</v>
      </c>
      <c r="T29" s="16">
        <v>392.25</v>
      </c>
      <c r="U29" s="16">
        <v>289.97000000000003</v>
      </c>
    </row>
    <row r="30" spans="1:21">
      <c r="A30" s="11" t="s">
        <v>33</v>
      </c>
      <c r="B30" s="16">
        <v>5.1745000000000001</v>
      </c>
      <c r="C30" s="16">
        <v>3.8536000000000001</v>
      </c>
      <c r="D30" s="16">
        <v>5.6906999999999996</v>
      </c>
      <c r="E30" s="16">
        <v>7.3411</v>
      </c>
      <c r="F30" s="16">
        <v>6.1707000000000001</v>
      </c>
      <c r="G30" s="16">
        <v>6.9474999999999998</v>
      </c>
      <c r="H30" s="16">
        <v>6.4409000000000001</v>
      </c>
      <c r="I30" s="16">
        <v>8.1958000000000002</v>
      </c>
      <c r="J30" s="16">
        <v>10.367000000000001</v>
      </c>
      <c r="K30" s="16">
        <v>13.728400000000001</v>
      </c>
      <c r="L30" s="16">
        <v>61.64</v>
      </c>
      <c r="M30" s="16">
        <v>60.84</v>
      </c>
      <c r="N30" s="16">
        <v>159.52000000000001</v>
      </c>
      <c r="O30" s="16">
        <v>139.88</v>
      </c>
      <c r="P30" s="16">
        <v>276.19</v>
      </c>
      <c r="Q30" s="16">
        <v>309.57</v>
      </c>
      <c r="R30" s="16">
        <v>547.47</v>
      </c>
      <c r="S30" s="16">
        <v>640.16</v>
      </c>
      <c r="T30" s="16">
        <v>604.01</v>
      </c>
      <c r="U30" s="16">
        <v>487.06</v>
      </c>
    </row>
    <row r="31" spans="1:21">
      <c r="A31" s="11" t="s">
        <v>34</v>
      </c>
      <c r="B31" s="16">
        <v>1.4140999999999999</v>
      </c>
      <c r="C31" s="16">
        <v>0.8236</v>
      </c>
      <c r="D31" s="16">
        <v>2.3296999999999999</v>
      </c>
      <c r="E31" s="16">
        <v>1.9172</v>
      </c>
      <c r="F31" s="16">
        <v>2.6947999999999999</v>
      </c>
      <c r="G31" s="16">
        <v>3.5293999999999999</v>
      </c>
      <c r="H31" s="16">
        <v>3.0863999999999998</v>
      </c>
      <c r="I31" s="16">
        <v>3.9824999999999999</v>
      </c>
      <c r="J31" s="16">
        <v>4.2847</v>
      </c>
      <c r="K31" s="16">
        <v>4.2305999999999999</v>
      </c>
      <c r="L31" s="16">
        <v>32.43</v>
      </c>
      <c r="M31" s="16">
        <v>35.1</v>
      </c>
      <c r="N31" s="16">
        <v>54.92</v>
      </c>
      <c r="O31" s="16">
        <v>64.06</v>
      </c>
      <c r="P31" s="16">
        <v>77.88</v>
      </c>
      <c r="Q31" s="16">
        <v>94.26</v>
      </c>
      <c r="R31" s="16">
        <v>93.15</v>
      </c>
      <c r="S31" s="16">
        <v>173.17</v>
      </c>
      <c r="T31" s="16">
        <v>178.61</v>
      </c>
      <c r="U31" s="16">
        <v>210.47</v>
      </c>
    </row>
    <row r="32" spans="1:21">
      <c r="A32" s="11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</row>
    <row r="33" spans="1:21">
      <c r="A33" s="11" t="s">
        <v>35</v>
      </c>
      <c r="B33" s="16">
        <v>3.3418000000000001</v>
      </c>
      <c r="C33" s="16">
        <v>3.8887</v>
      </c>
      <c r="D33" s="16">
        <v>3.4868000000000001</v>
      </c>
      <c r="E33" s="16">
        <v>4.3863000000000003</v>
      </c>
      <c r="F33" s="16">
        <v>5.1524000000000001</v>
      </c>
      <c r="G33" s="16">
        <v>6.3879999999999999</v>
      </c>
      <c r="H33" s="16">
        <v>8.0227000000000004</v>
      </c>
      <c r="I33" s="16">
        <v>10.189500000000001</v>
      </c>
      <c r="J33" s="16">
        <v>13.380800000000001</v>
      </c>
      <c r="K33" s="16">
        <v>19.1891</v>
      </c>
      <c r="L33" s="16">
        <v>48.8</v>
      </c>
      <c r="M33" s="16">
        <v>54.23</v>
      </c>
      <c r="N33" s="16">
        <v>109.4</v>
      </c>
      <c r="O33" s="16">
        <v>129.06</v>
      </c>
      <c r="P33" s="16">
        <v>313.42</v>
      </c>
      <c r="Q33" s="16">
        <v>248.24</v>
      </c>
      <c r="R33" s="16">
        <v>265.35000000000002</v>
      </c>
      <c r="S33" s="16">
        <v>371.49</v>
      </c>
      <c r="T33" s="16">
        <v>350.89</v>
      </c>
      <c r="U33" s="16">
        <v>256.14999999999998</v>
      </c>
    </row>
    <row r="34" spans="1:21">
      <c r="A34" s="11" t="s">
        <v>36</v>
      </c>
      <c r="B34" s="16">
        <v>1.0101</v>
      </c>
      <c r="C34" s="16">
        <v>0.87009999999999998</v>
      </c>
      <c r="D34" s="16">
        <v>1.0071000000000001</v>
      </c>
      <c r="E34" s="16">
        <v>1.1970000000000001</v>
      </c>
      <c r="F34" s="16">
        <v>1.6404000000000001</v>
      </c>
      <c r="G34" s="16">
        <v>1.919</v>
      </c>
      <c r="H34" s="16">
        <v>2.3529</v>
      </c>
      <c r="I34" s="16">
        <v>3.3411</v>
      </c>
      <c r="J34" s="16">
        <v>4.0955000000000004</v>
      </c>
      <c r="K34" s="16">
        <v>5.3276000000000003</v>
      </c>
      <c r="L34" s="16">
        <v>28.05</v>
      </c>
      <c r="M34" s="16">
        <v>34.799999999999997</v>
      </c>
      <c r="N34" s="16">
        <v>61.17</v>
      </c>
      <c r="O34" s="16">
        <v>66.58</v>
      </c>
      <c r="P34" s="16">
        <v>158.91</v>
      </c>
      <c r="Q34" s="16">
        <v>126.43</v>
      </c>
      <c r="R34" s="16">
        <v>207.94</v>
      </c>
      <c r="S34" s="16">
        <v>257.12</v>
      </c>
      <c r="T34" s="16">
        <v>278.24</v>
      </c>
      <c r="U34" s="16">
        <v>219.24</v>
      </c>
    </row>
    <row r="35" spans="1:21">
      <c r="A35" s="11" t="s">
        <v>37</v>
      </c>
      <c r="B35" s="16">
        <v>0.90580000000000005</v>
      </c>
      <c r="C35" s="16">
        <v>0.71960000000000002</v>
      </c>
      <c r="D35" s="16">
        <v>0.75349999999999995</v>
      </c>
      <c r="E35" s="16">
        <v>0.85319999999999996</v>
      </c>
      <c r="F35" s="16">
        <v>0.98209999999999997</v>
      </c>
      <c r="G35" s="16">
        <v>1.0634999999999999</v>
      </c>
      <c r="H35" s="16">
        <v>1.3798999999999999</v>
      </c>
      <c r="I35" s="16">
        <v>1.7576000000000001</v>
      </c>
      <c r="J35" s="16">
        <v>1.8768</v>
      </c>
      <c r="K35" s="16">
        <v>2.7826</v>
      </c>
      <c r="L35" s="16">
        <v>15.99</v>
      </c>
      <c r="M35" s="16">
        <v>11.05</v>
      </c>
      <c r="N35" s="16">
        <v>43.35</v>
      </c>
      <c r="O35" s="16">
        <v>46.68</v>
      </c>
      <c r="P35" s="16">
        <v>148.58000000000001</v>
      </c>
      <c r="Q35" s="16">
        <v>154.85</v>
      </c>
      <c r="R35" s="16">
        <v>197.95</v>
      </c>
      <c r="S35" s="16">
        <v>204.7</v>
      </c>
      <c r="T35" s="16">
        <v>205.49</v>
      </c>
      <c r="U35" s="16">
        <v>178.72</v>
      </c>
    </row>
    <row r="36" spans="1:21">
      <c r="A36" s="11" t="s">
        <v>38</v>
      </c>
      <c r="B36" s="16">
        <v>0.30909999999999999</v>
      </c>
      <c r="C36" s="16">
        <v>0.3145</v>
      </c>
      <c r="D36" s="16">
        <v>0.33079999999999998</v>
      </c>
      <c r="E36" s="16">
        <v>0.39450000000000002</v>
      </c>
      <c r="F36" s="16">
        <v>0.75419999999999998</v>
      </c>
      <c r="G36" s="16">
        <v>0.96079999999999999</v>
      </c>
      <c r="H36" s="16">
        <v>1.1915</v>
      </c>
      <c r="I36" s="16">
        <v>1.4826999999999999</v>
      </c>
      <c r="J36" s="16">
        <v>1.9490000000000001</v>
      </c>
      <c r="K36" s="16">
        <v>2.6926999999999999</v>
      </c>
      <c r="L36" s="16">
        <v>8.48</v>
      </c>
      <c r="M36" s="16">
        <v>10.08</v>
      </c>
      <c r="N36" s="16">
        <v>20.39</v>
      </c>
      <c r="O36" s="16">
        <v>21.8</v>
      </c>
      <c r="P36" s="16">
        <v>41.54</v>
      </c>
      <c r="Q36" s="16">
        <v>51.02</v>
      </c>
      <c r="R36" s="16">
        <v>54.52</v>
      </c>
      <c r="S36" s="16">
        <v>73</v>
      </c>
      <c r="T36" s="16">
        <v>97.85</v>
      </c>
      <c r="U36" s="16">
        <v>73.03</v>
      </c>
    </row>
    <row r="37" spans="1:21">
      <c r="A37" s="11" t="s">
        <v>39</v>
      </c>
      <c r="B37" s="16">
        <v>1.6178999999999999</v>
      </c>
      <c r="C37" s="16">
        <v>1.0077</v>
      </c>
      <c r="D37" s="16">
        <v>1.0217000000000001</v>
      </c>
      <c r="E37" s="16">
        <v>1.325</v>
      </c>
      <c r="F37" s="16">
        <v>1.8103</v>
      </c>
      <c r="G37" s="16">
        <v>2.7408999999999999</v>
      </c>
      <c r="H37" s="16">
        <v>3.1476000000000002</v>
      </c>
      <c r="I37" s="16">
        <v>3.68</v>
      </c>
      <c r="J37" s="16">
        <v>4.8655999999999997</v>
      </c>
      <c r="K37" s="16">
        <v>6.4461000000000004</v>
      </c>
      <c r="L37" s="16">
        <v>34.270000000000003</v>
      </c>
      <c r="M37" s="16">
        <v>33.85</v>
      </c>
      <c r="N37" s="16">
        <v>65.91</v>
      </c>
      <c r="O37" s="16">
        <v>91.54</v>
      </c>
      <c r="P37" s="16">
        <v>206.83</v>
      </c>
      <c r="Q37" s="16">
        <v>226.47</v>
      </c>
      <c r="R37" s="16">
        <v>284.22000000000003</v>
      </c>
      <c r="S37" s="16">
        <v>215.53</v>
      </c>
      <c r="T37" s="16">
        <v>270.75</v>
      </c>
      <c r="U37" s="16">
        <v>269.16000000000003</v>
      </c>
    </row>
    <row r="38" spans="1:21">
      <c r="A38" s="10"/>
    </row>
  </sheetData>
  <phoneticPr fontId="6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2FE0E-D05F-434B-8BD9-DBE522E49734}">
  <dimension ref="A1:U39"/>
  <sheetViews>
    <sheetView workbookViewId="0">
      <selection sqref="A1:A1048576"/>
    </sheetView>
  </sheetViews>
  <sheetFormatPr baseColWidth="10" defaultRowHeight="16"/>
  <cols>
    <col min="1" max="1" width="19" customWidth="1"/>
  </cols>
  <sheetData>
    <row r="1" spans="1:21" ht="17">
      <c r="A1" s="23" t="s">
        <v>1</v>
      </c>
      <c r="B1" s="8">
        <v>1997</v>
      </c>
      <c r="C1" s="8">
        <v>1998</v>
      </c>
      <c r="D1" s="8">
        <v>1999</v>
      </c>
      <c r="E1" s="8">
        <v>2000</v>
      </c>
      <c r="F1" s="8">
        <v>2001</v>
      </c>
      <c r="G1" s="8">
        <v>2002</v>
      </c>
      <c r="H1" s="8">
        <v>2003</v>
      </c>
      <c r="I1" s="8">
        <v>2004</v>
      </c>
      <c r="J1" s="8">
        <v>2005</v>
      </c>
      <c r="K1" s="8">
        <v>2006</v>
      </c>
      <c r="L1" s="8">
        <v>2007</v>
      </c>
      <c r="M1" s="8">
        <v>2008</v>
      </c>
      <c r="N1" s="8">
        <v>2009</v>
      </c>
      <c r="O1" s="8">
        <v>2010</v>
      </c>
      <c r="P1" s="8">
        <v>2011</v>
      </c>
      <c r="Q1" s="8">
        <v>2012</v>
      </c>
      <c r="R1" s="8">
        <v>2013</v>
      </c>
      <c r="S1" s="8">
        <v>2014</v>
      </c>
      <c r="T1" s="8">
        <v>2015</v>
      </c>
      <c r="U1" s="8">
        <v>2016</v>
      </c>
    </row>
    <row r="2" spans="1:21">
      <c r="A2" s="16" t="s">
        <v>9</v>
      </c>
      <c r="B2" s="16">
        <v>2.5569484218866054</v>
      </c>
      <c r="C2" s="16">
        <v>4.1925044300224377</v>
      </c>
      <c r="D2" s="16">
        <v>4.4854668358071157</v>
      </c>
      <c r="E2" s="16">
        <v>5.1965777362323307</v>
      </c>
      <c r="F2" s="16">
        <v>6.1194779323156041</v>
      </c>
      <c r="G2" s="16">
        <v>7.4108238645476572</v>
      </c>
      <c r="H2" s="16">
        <v>8.8008266671758477</v>
      </c>
      <c r="I2" s="16">
        <v>8.473985610643723</v>
      </c>
      <c r="J2" s="16">
        <v>9.5756217621601962</v>
      </c>
      <c r="K2" s="16">
        <v>11.530930051051147</v>
      </c>
      <c r="L2" s="16">
        <v>15.452972166229625</v>
      </c>
      <c r="M2" s="16">
        <v>18.254496225314291</v>
      </c>
      <c r="N2" s="16">
        <v>21.029715073678407</v>
      </c>
      <c r="O2" s="16">
        <v>27.440055456552845</v>
      </c>
      <c r="P2" s="16">
        <v>33.52537112158825</v>
      </c>
      <c r="Q2" s="16">
        <v>34.379813839453291</v>
      </c>
      <c r="R2" s="16">
        <v>36.076724432918105</v>
      </c>
      <c r="S2" s="16">
        <v>42.695265810235853</v>
      </c>
      <c r="T2" s="16">
        <v>46.646781670187487</v>
      </c>
      <c r="U2" s="16">
        <v>48.250155920775391</v>
      </c>
    </row>
    <row r="3" spans="1:21">
      <c r="A3" s="11" t="s">
        <v>10</v>
      </c>
      <c r="B3" s="16">
        <v>1.3556020685398267</v>
      </c>
      <c r="C3" s="16">
        <v>2.2064124959642872</v>
      </c>
      <c r="D3" s="16">
        <v>2.3079469314437988</v>
      </c>
      <c r="E3" s="16">
        <v>2.670734495286855</v>
      </c>
      <c r="F3" s="16">
        <v>3.0706515875375322</v>
      </c>
      <c r="G3" s="16">
        <v>3.5900205727301193</v>
      </c>
      <c r="H3" s="16">
        <v>4.2373763502016111</v>
      </c>
      <c r="I3" s="16">
        <v>3.8673574777314466</v>
      </c>
      <c r="J3" s="16">
        <v>4.4114910063881672</v>
      </c>
      <c r="K3" s="16">
        <v>5.6961369222689857</v>
      </c>
      <c r="L3" s="16">
        <v>6.4643954286257905</v>
      </c>
      <c r="M3" s="16">
        <v>8.1778757986943873</v>
      </c>
      <c r="N3" s="16">
        <v>9.9843269448992498</v>
      </c>
      <c r="O3" s="16">
        <v>13.991246791804608</v>
      </c>
      <c r="P3" s="16">
        <v>19.488136820255651</v>
      </c>
      <c r="Q3" s="16">
        <v>20.713202086523399</v>
      </c>
      <c r="R3" s="16">
        <v>24.434595238220588</v>
      </c>
      <c r="S3" s="16">
        <v>29.747159054713354</v>
      </c>
      <c r="T3" s="16">
        <v>27.663051048558369</v>
      </c>
      <c r="U3" s="16">
        <v>27.322560880613977</v>
      </c>
    </row>
    <row r="4" spans="1:21">
      <c r="A4" s="11" t="s">
        <v>11</v>
      </c>
      <c r="B4" s="16">
        <v>4.1082562090890962</v>
      </c>
      <c r="C4" s="16">
        <v>5.5264231448113126</v>
      </c>
      <c r="D4" s="16">
        <v>5.7239631751184099</v>
      </c>
      <c r="E4" s="16">
        <v>6.3715299755242532</v>
      </c>
      <c r="F4" s="16">
        <v>7.5854109722816334</v>
      </c>
      <c r="G4" s="16">
        <v>9.500761080940503</v>
      </c>
      <c r="H4" s="16">
        <v>10.604145548800055</v>
      </c>
      <c r="I4" s="16">
        <v>9.9374760939666942</v>
      </c>
      <c r="J4" s="16">
        <v>11.194734289527334</v>
      </c>
      <c r="K4" s="16">
        <v>13.234622537741828</v>
      </c>
      <c r="L4" s="16">
        <v>16.65101818322362</v>
      </c>
      <c r="M4" s="16">
        <v>21.756496955482078</v>
      </c>
      <c r="N4" s="16">
        <v>25.265908396420638</v>
      </c>
      <c r="O4" s="16">
        <v>31.345609971358719</v>
      </c>
      <c r="P4" s="16">
        <v>42.036282422125268</v>
      </c>
      <c r="Q4" s="16">
        <v>47.334930518731248</v>
      </c>
      <c r="R4" s="16">
        <v>44.362645243173894</v>
      </c>
      <c r="S4" s="16">
        <v>49.992097034619817</v>
      </c>
      <c r="T4" s="16">
        <v>56.758754196982963</v>
      </c>
      <c r="U4" s="16">
        <v>61.709435697046317</v>
      </c>
    </row>
    <row r="5" spans="1:21">
      <c r="A5" s="11" t="s">
        <v>12</v>
      </c>
      <c r="B5" s="16">
        <v>2.2201946893594044</v>
      </c>
      <c r="C5" s="16">
        <v>2.9122806066681735</v>
      </c>
      <c r="D5" s="16">
        <v>2.9664790327520674</v>
      </c>
      <c r="E5" s="16">
        <v>3.3013561836848386</v>
      </c>
      <c r="F5" s="16">
        <v>4.266813786363814</v>
      </c>
      <c r="G5" s="16">
        <v>5.0669608911944541</v>
      </c>
      <c r="H5" s="16">
        <v>6.0037008783551942</v>
      </c>
      <c r="I5" s="16">
        <v>5.6034592071990135</v>
      </c>
      <c r="J5" s="16">
        <v>6.7016742148399757</v>
      </c>
      <c r="K5" s="16">
        <v>8.4392375194794731</v>
      </c>
      <c r="L5" s="16">
        <v>10.647861657658297</v>
      </c>
      <c r="M5" s="16">
        <v>13.561884502012663</v>
      </c>
      <c r="N5" s="16">
        <v>15.991831078671357</v>
      </c>
      <c r="O5" s="16">
        <v>20.026328066087981</v>
      </c>
      <c r="P5" s="16">
        <v>27.189406024793698</v>
      </c>
      <c r="Q5" s="16">
        <v>30.517724515756175</v>
      </c>
      <c r="R5" s="16">
        <v>28.728762443689043</v>
      </c>
      <c r="S5" s="16">
        <v>29.187324897535809</v>
      </c>
      <c r="T5" s="16">
        <v>32.864319573985917</v>
      </c>
      <c r="U5" s="16">
        <v>33.003591668901407</v>
      </c>
    </row>
    <row r="6" spans="1:21">
      <c r="A6" s="11" t="s">
        <v>13</v>
      </c>
      <c r="B6" s="16">
        <v>1.8257123548468237</v>
      </c>
      <c r="C6" s="16">
        <v>2.4578174374705397</v>
      </c>
      <c r="D6" s="16">
        <v>2.5073828229189226</v>
      </c>
      <c r="E6" s="16">
        <v>2.5737769946206552</v>
      </c>
      <c r="F6" s="16">
        <v>3.3655845537212707</v>
      </c>
      <c r="G6" s="16">
        <v>4.16960686859505</v>
      </c>
      <c r="H6" s="16">
        <v>4.8404804935295438</v>
      </c>
      <c r="I6" s="16">
        <v>4.6227959044436293</v>
      </c>
      <c r="J6" s="16">
        <v>5.1638419227601862</v>
      </c>
      <c r="K6" s="16">
        <v>6.6352481081964925</v>
      </c>
      <c r="L6" s="16">
        <v>9.0232431010185667</v>
      </c>
      <c r="M6" s="16">
        <v>11.911881191605659</v>
      </c>
      <c r="N6" s="16">
        <v>14.002557021738777</v>
      </c>
      <c r="O6" s="16">
        <v>19.631993832149252</v>
      </c>
      <c r="P6" s="16">
        <v>25.184639369891769</v>
      </c>
      <c r="Q6" s="16">
        <v>24.06122118021835</v>
      </c>
      <c r="R6" s="16">
        <v>24.19679540160794</v>
      </c>
      <c r="S6" s="16">
        <v>27.489410614050787</v>
      </c>
      <c r="T6" s="16">
        <v>29.248890073866903</v>
      </c>
      <c r="U6" s="16">
        <v>30.176126115772131</v>
      </c>
    </row>
    <row r="7" spans="1:21">
      <c r="A7" s="11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>
        <v>0</v>
      </c>
      <c r="U7" s="16">
        <v>0</v>
      </c>
    </row>
    <row r="8" spans="1:21">
      <c r="A8" s="11" t="s">
        <v>14</v>
      </c>
      <c r="B8" s="16">
        <v>3.6810034207958719</v>
      </c>
      <c r="C8" s="16">
        <v>4.9662548179529544</v>
      </c>
      <c r="D8" s="16">
        <v>5.065148586711735</v>
      </c>
      <c r="E8" s="16">
        <v>5.7016252740529989</v>
      </c>
      <c r="F8" s="16">
        <v>6.3515606359778181</v>
      </c>
      <c r="G8" s="16">
        <v>7.5499325201801817</v>
      </c>
      <c r="H8" s="16">
        <v>8.757856576782066</v>
      </c>
      <c r="I8" s="16">
        <v>8.4470881910796862</v>
      </c>
      <c r="J8" s="16">
        <v>9.3342558300587175</v>
      </c>
      <c r="K8" s="16">
        <v>11.65222884717323</v>
      </c>
      <c r="L8" s="16">
        <v>14.814288487724239</v>
      </c>
      <c r="M8" s="16">
        <v>17.680832954749562</v>
      </c>
      <c r="N8" s="16">
        <v>19.940473945077571</v>
      </c>
      <c r="O8" s="16">
        <v>24.707751946896977</v>
      </c>
      <c r="P8" s="16">
        <v>35.073102548732791</v>
      </c>
      <c r="Q8" s="16">
        <v>39.856302438646566</v>
      </c>
      <c r="R8" s="16">
        <v>35.457067843081148</v>
      </c>
      <c r="S8" s="16">
        <v>34.78048814719962</v>
      </c>
      <c r="T8" s="16">
        <v>33.267184833423187</v>
      </c>
      <c r="U8" s="16">
        <v>34.471155039650618</v>
      </c>
    </row>
    <row r="9" spans="1:21">
      <c r="A9" s="11" t="s">
        <v>15</v>
      </c>
      <c r="B9" s="16">
        <v>2.2998247594788754</v>
      </c>
      <c r="C9" s="16">
        <v>2.8232593275783238</v>
      </c>
      <c r="D9" s="16">
        <v>3.0043687538867454</v>
      </c>
      <c r="E9" s="16">
        <v>3.0978648125061263</v>
      </c>
      <c r="F9" s="16">
        <v>3.7496055015063972</v>
      </c>
      <c r="G9" s="16">
        <v>4.3182318032335365</v>
      </c>
      <c r="H9" s="16">
        <v>4.7815513560921037</v>
      </c>
      <c r="I9" s="16">
        <v>4.2402633584144516</v>
      </c>
      <c r="J9" s="16">
        <v>4.8673088853966409</v>
      </c>
      <c r="K9" s="16">
        <v>6.3728633585447669</v>
      </c>
      <c r="L9" s="16">
        <v>8.4856206853493603</v>
      </c>
      <c r="M9" s="16">
        <v>10.851700680511685</v>
      </c>
      <c r="N9" s="16">
        <v>12.47911470407055</v>
      </c>
      <c r="O9" s="16">
        <v>15.249215661742083</v>
      </c>
      <c r="P9" s="16">
        <v>20.616220950827476</v>
      </c>
      <c r="Q9" s="16">
        <v>24.667167791752817</v>
      </c>
      <c r="R9" s="16">
        <v>22.354773504639599</v>
      </c>
      <c r="S9" s="16">
        <v>23.423277018188827</v>
      </c>
      <c r="T9" s="16">
        <v>26.034690385582575</v>
      </c>
      <c r="U9" s="16">
        <v>27.170856478821079</v>
      </c>
    </row>
    <row r="10" spans="1:21">
      <c r="A10" s="11" t="s">
        <v>16</v>
      </c>
      <c r="B10" s="16">
        <v>2.7304043530582902</v>
      </c>
      <c r="C10" s="16">
        <v>3.692657863641744</v>
      </c>
      <c r="D10" s="16">
        <v>3.9362936915304179</v>
      </c>
      <c r="E10" s="16">
        <v>4.2370894931121637</v>
      </c>
      <c r="F10" s="16">
        <v>5.5020784864785854</v>
      </c>
      <c r="G10" s="16">
        <v>6.5822858377726732</v>
      </c>
      <c r="H10" s="16">
        <v>7.2223504533592671</v>
      </c>
      <c r="I10" s="16">
        <v>6.408671472865664</v>
      </c>
      <c r="J10" s="16">
        <v>6.9958046866959158</v>
      </c>
      <c r="K10" s="16">
        <v>9.3353603364978373</v>
      </c>
      <c r="L10" s="16">
        <v>11.736620495073639</v>
      </c>
      <c r="M10" s="16">
        <v>14.810208097819011</v>
      </c>
      <c r="N10" s="16">
        <v>15.332765432749204</v>
      </c>
      <c r="O10" s="16">
        <v>18.232015879510495</v>
      </c>
      <c r="P10" s="16">
        <v>24.097810887523714</v>
      </c>
      <c r="Q10" s="16">
        <v>29.793651127965894</v>
      </c>
      <c r="R10" s="16">
        <v>26.548842337903618</v>
      </c>
      <c r="S10" s="16">
        <v>29.110225434985153</v>
      </c>
      <c r="T10" s="16">
        <v>29.964670974599152</v>
      </c>
      <c r="U10" s="16">
        <v>30.388186032256829</v>
      </c>
    </row>
    <row r="11" spans="1:21">
      <c r="A11" s="11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>
        <v>0</v>
      </c>
      <c r="U11" s="16">
        <v>0</v>
      </c>
    </row>
    <row r="12" spans="1:21">
      <c r="A12" s="11" t="s">
        <v>17</v>
      </c>
      <c r="B12" s="16">
        <v>4.7879978797759541</v>
      </c>
      <c r="C12" s="16">
        <v>6.8460834353957596</v>
      </c>
      <c r="D12" s="16">
        <v>6.8372721674003136</v>
      </c>
      <c r="E12" s="16">
        <v>7.2755410191643763</v>
      </c>
      <c r="F12" s="16">
        <v>8.4471565876387249</v>
      </c>
      <c r="G12" s="16">
        <v>10.02282656513691</v>
      </c>
      <c r="H12" s="16">
        <v>11.699655758026964</v>
      </c>
      <c r="I12" s="16">
        <v>10.844832933487732</v>
      </c>
      <c r="J12" s="16">
        <v>12.008987371846672</v>
      </c>
      <c r="K12" s="16">
        <v>14.345282241469839</v>
      </c>
      <c r="L12" s="16">
        <v>16.647492790333988</v>
      </c>
      <c r="M12" s="16">
        <v>18.817771227397969</v>
      </c>
      <c r="N12" s="16">
        <v>19.953126165156352</v>
      </c>
      <c r="O12" s="16">
        <v>25.43242490540262</v>
      </c>
      <c r="P12" s="16">
        <v>35.405081592872499</v>
      </c>
      <c r="Q12" s="16">
        <v>35.489986782968607</v>
      </c>
      <c r="R12" s="16">
        <v>35.989866586137538</v>
      </c>
      <c r="S12" s="16">
        <v>40.024402338891413</v>
      </c>
      <c r="T12" s="16">
        <v>41.830388480568757</v>
      </c>
      <c r="U12" s="16">
        <v>45.727186657983118</v>
      </c>
    </row>
    <row r="13" spans="1:21">
      <c r="A13" s="11" t="s">
        <v>18</v>
      </c>
      <c r="B13" s="16">
        <v>6.2948416347880061</v>
      </c>
      <c r="C13" s="16">
        <v>9.1062009711392857</v>
      </c>
      <c r="D13" s="16">
        <v>9.336408189543171</v>
      </c>
      <c r="E13" s="16">
        <v>10.157915883276942</v>
      </c>
      <c r="F13" s="16">
        <v>12.24723031638751</v>
      </c>
      <c r="G13" s="16">
        <v>14.024594596381798</v>
      </c>
      <c r="H13" s="16">
        <v>15.948057387380393</v>
      </c>
      <c r="I13" s="16">
        <v>14.964996835328174</v>
      </c>
      <c r="J13" s="16">
        <v>16.951865476160126</v>
      </c>
      <c r="K13" s="16">
        <v>20.822177871696638</v>
      </c>
      <c r="L13" s="16">
        <v>28.961102588344414</v>
      </c>
      <c r="M13" s="16">
        <v>34.20048834372826</v>
      </c>
      <c r="N13" s="16">
        <v>39.143093419196916</v>
      </c>
      <c r="O13" s="16">
        <v>52.742051419045282</v>
      </c>
      <c r="P13" s="16">
        <v>70.471093327070264</v>
      </c>
      <c r="Q13" s="16">
        <v>73.86259503651317</v>
      </c>
      <c r="R13" s="16">
        <v>76.000086311977967</v>
      </c>
      <c r="S13" s="16">
        <v>86.58499792088341</v>
      </c>
      <c r="T13" s="16">
        <v>95.195043752982812</v>
      </c>
      <c r="U13" s="16">
        <v>100.20864166315494</v>
      </c>
    </row>
    <row r="14" spans="1:21">
      <c r="A14" s="11" t="s">
        <v>19</v>
      </c>
      <c r="B14" s="16">
        <v>3.9007573922003824</v>
      </c>
      <c r="C14" s="16">
        <v>5.4586930927541246</v>
      </c>
      <c r="D14" s="16">
        <v>5.8133657855206051</v>
      </c>
      <c r="E14" s="16">
        <v>6.7643860584787596</v>
      </c>
      <c r="F14" s="16">
        <v>9.1719968676420347</v>
      </c>
      <c r="G14" s="16">
        <v>11.82528061965364</v>
      </c>
      <c r="H14" s="16">
        <v>14.623857240076401</v>
      </c>
      <c r="I14" s="16">
        <v>13.967369938090414</v>
      </c>
      <c r="J14" s="16">
        <v>15.199765039999061</v>
      </c>
      <c r="K14" s="16">
        <v>18.784583645250073</v>
      </c>
      <c r="L14" s="16">
        <v>22.556051273360797</v>
      </c>
      <c r="M14" s="16">
        <v>26.20094448729192</v>
      </c>
      <c r="N14" s="16">
        <v>29.866715697796945</v>
      </c>
      <c r="O14" s="16">
        <v>36.96746309941264</v>
      </c>
      <c r="P14" s="16">
        <v>48.437998708244578</v>
      </c>
      <c r="Q14" s="16">
        <v>48.008690649968131</v>
      </c>
      <c r="R14" s="16">
        <v>50.317703957812192</v>
      </c>
      <c r="S14" s="16">
        <v>59.319981265002454</v>
      </c>
      <c r="T14" s="16">
        <v>68.957557864679458</v>
      </c>
      <c r="U14" s="16">
        <v>70.688270058358555</v>
      </c>
    </row>
    <row r="15" spans="1:21">
      <c r="A15" s="11" t="s">
        <v>20</v>
      </c>
      <c r="B15" s="16">
        <v>3.079121789210832</v>
      </c>
      <c r="C15" s="16">
        <v>3.9812463398704319</v>
      </c>
      <c r="D15" s="16">
        <v>4.2222617599884424</v>
      </c>
      <c r="E15" s="16">
        <v>4.6706473105986541</v>
      </c>
      <c r="F15" s="16">
        <v>5.647148173411769</v>
      </c>
      <c r="G15" s="16">
        <v>6.6416460028243822</v>
      </c>
      <c r="H15" s="16">
        <v>7.5304526807713437</v>
      </c>
      <c r="I15" s="16">
        <v>7.3693065646869158</v>
      </c>
      <c r="J15" s="16">
        <v>7.7086379955384716</v>
      </c>
      <c r="K15" s="16">
        <v>10.618678701059739</v>
      </c>
      <c r="L15" s="16">
        <v>12.51338206175636</v>
      </c>
      <c r="M15" s="16">
        <v>16.520809641032148</v>
      </c>
      <c r="N15" s="16">
        <v>18.621192451407914</v>
      </c>
      <c r="O15" s="16">
        <v>23.544862119454773</v>
      </c>
      <c r="P15" s="16">
        <v>36.402307964297989</v>
      </c>
      <c r="Q15" s="16">
        <v>39.262934141250454</v>
      </c>
      <c r="R15" s="16">
        <v>39.011354487863926</v>
      </c>
      <c r="S15" s="16">
        <v>42.753953460834126</v>
      </c>
      <c r="T15" s="16">
        <v>46.704567485478904</v>
      </c>
      <c r="U15" s="16">
        <v>49.527952853439579</v>
      </c>
    </row>
    <row r="16" spans="1:21">
      <c r="A16" s="11" t="s">
        <v>21</v>
      </c>
      <c r="B16" s="16">
        <v>3.4180649576956119</v>
      </c>
      <c r="C16" s="16">
        <v>4.661398545283201</v>
      </c>
      <c r="D16" s="16">
        <v>4.8037842332762288</v>
      </c>
      <c r="E16" s="16">
        <v>5.3606044287851322</v>
      </c>
      <c r="F16" s="16">
        <v>6.1351375651686286</v>
      </c>
      <c r="G16" s="16">
        <v>7.0163473298186636</v>
      </c>
      <c r="H16" s="16">
        <v>8.2793790541734253</v>
      </c>
      <c r="I16" s="16">
        <v>7.0434729134667418</v>
      </c>
      <c r="J16" s="16">
        <v>7.3200853863563138</v>
      </c>
      <c r="K16" s="16">
        <v>9.5126271382250245</v>
      </c>
      <c r="L16" s="16">
        <v>10.791227635170085</v>
      </c>
      <c r="M16" s="16">
        <v>13.463773077469398</v>
      </c>
      <c r="N16" s="16">
        <v>15.961925831212412</v>
      </c>
      <c r="O16" s="16">
        <v>19.976960101715434</v>
      </c>
      <c r="P16" s="16">
        <v>26.218609052998744</v>
      </c>
      <c r="Q16" s="16">
        <v>30.751243652150773</v>
      </c>
      <c r="R16" s="16">
        <v>30.448441885740845</v>
      </c>
      <c r="S16" s="16">
        <v>36.512924578095387</v>
      </c>
      <c r="T16" s="16">
        <v>41.295597114522799</v>
      </c>
      <c r="U16" s="16">
        <v>42.907333512112274</v>
      </c>
    </row>
    <row r="17" spans="1:21">
      <c r="A17" s="11" t="s">
        <v>22</v>
      </c>
      <c r="B17" s="16">
        <v>2.1138719828090626</v>
      </c>
      <c r="C17" s="16">
        <v>2.826415462758094</v>
      </c>
      <c r="D17" s="16">
        <v>2.9248987543640115</v>
      </c>
      <c r="E17" s="16">
        <v>3.299703892229874</v>
      </c>
      <c r="F17" s="16">
        <v>4.1019006598553789</v>
      </c>
      <c r="G17" s="16">
        <v>5.1135146662590101</v>
      </c>
      <c r="H17" s="16">
        <v>5.7412048339289328</v>
      </c>
      <c r="I17" s="16">
        <v>5.1458121440379863</v>
      </c>
      <c r="J17" s="16">
        <v>5.7717566400506737</v>
      </c>
      <c r="K17" s="16">
        <v>7.2445281186703685</v>
      </c>
      <c r="L17" s="16">
        <v>10.212475635788483</v>
      </c>
      <c r="M17" s="16">
        <v>11.938428988835012</v>
      </c>
      <c r="N17" s="16">
        <v>14.48851729294665</v>
      </c>
      <c r="O17" s="16">
        <v>18.132060988682134</v>
      </c>
      <c r="P17" s="16">
        <v>30.582683089553743</v>
      </c>
      <c r="Q17" s="16">
        <v>34.019417795228371</v>
      </c>
      <c r="R17" s="16">
        <v>35.194905439688583</v>
      </c>
      <c r="S17" s="16">
        <v>40.950171258622824</v>
      </c>
      <c r="T17" s="16">
        <v>43.245050656806512</v>
      </c>
      <c r="U17" s="16">
        <v>46.157287668084123</v>
      </c>
    </row>
    <row r="18" spans="1:21">
      <c r="A18" s="11" t="s">
        <v>23</v>
      </c>
      <c r="B18" s="16">
        <v>6.4530923597478047</v>
      </c>
      <c r="C18" s="16">
        <v>8.9935441974073633</v>
      </c>
      <c r="D18" s="16">
        <v>9.1115940216466704</v>
      </c>
      <c r="E18" s="16">
        <v>10.216887981960157</v>
      </c>
      <c r="F18" s="16">
        <v>11.666629737368444</v>
      </c>
      <c r="G18" s="16">
        <v>14.056468086228445</v>
      </c>
      <c r="H18" s="16">
        <v>15.954451693059717</v>
      </c>
      <c r="I18" s="16">
        <v>14.298872082610869</v>
      </c>
      <c r="J18" s="16">
        <v>16.328806718907764</v>
      </c>
      <c r="K18" s="16">
        <v>20.407354424888283</v>
      </c>
      <c r="L18" s="16">
        <v>26.637868674075524</v>
      </c>
      <c r="M18" s="16">
        <v>31.799066946525205</v>
      </c>
      <c r="N18" s="16">
        <v>35.281865891516851</v>
      </c>
      <c r="O18" s="16">
        <v>46.957466852874454</v>
      </c>
      <c r="P18" s="16">
        <v>67.549677738640838</v>
      </c>
      <c r="Q18" s="16">
        <v>71.740141246472334</v>
      </c>
      <c r="R18" s="16">
        <v>74.129464880094091</v>
      </c>
      <c r="S18" s="16">
        <v>84.064305790775705</v>
      </c>
      <c r="T18" s="16">
        <v>92.164014196188219</v>
      </c>
      <c r="U18" s="16">
        <v>99.286996641509916</v>
      </c>
    </row>
    <row r="19" spans="1:21">
      <c r="A19" s="11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</row>
    <row r="20" spans="1:21">
      <c r="A20" s="11" t="s">
        <v>24</v>
      </c>
      <c r="B20" s="16">
        <v>4.2708289374976216</v>
      </c>
      <c r="C20" s="16">
        <v>5.874602700704342</v>
      </c>
      <c r="D20" s="16">
        <v>6.1626747514310463</v>
      </c>
      <c r="E20" s="16">
        <v>6.6899118326369225</v>
      </c>
      <c r="F20" s="16">
        <v>8.1308387794031294</v>
      </c>
      <c r="G20" s="16">
        <v>10.649398409161041</v>
      </c>
      <c r="H20" s="16">
        <v>11.680579709607592</v>
      </c>
      <c r="I20" s="16">
        <v>10.701012368250712</v>
      </c>
      <c r="J20" s="16">
        <v>12.296461555656952</v>
      </c>
      <c r="K20" s="16">
        <v>16.278502076683203</v>
      </c>
      <c r="L20" s="16">
        <v>21.511947412547489</v>
      </c>
      <c r="M20" s="16">
        <v>25.626126964673741</v>
      </c>
      <c r="N20" s="16">
        <v>30.258359419326599</v>
      </c>
      <c r="O20" s="16">
        <v>37.139946234195733</v>
      </c>
      <c r="P20" s="16">
        <v>55.252916095904759</v>
      </c>
      <c r="Q20" s="16">
        <v>60.513175553159087</v>
      </c>
      <c r="R20" s="16">
        <v>62.046161378273318</v>
      </c>
      <c r="S20" s="16">
        <v>69.123695760529841</v>
      </c>
      <c r="T20" s="16">
        <v>69.288463429602885</v>
      </c>
      <c r="U20" s="16">
        <v>73.066059839865147</v>
      </c>
    </row>
    <row r="21" spans="1:21">
      <c r="A21" s="11" t="s">
        <v>25</v>
      </c>
      <c r="B21" s="16">
        <v>3.1584746255564542</v>
      </c>
      <c r="C21" s="16">
        <v>4.3929139397655241</v>
      </c>
      <c r="D21" s="16">
        <v>4.5945888681755065</v>
      </c>
      <c r="E21" s="16">
        <v>4.9878440162488618</v>
      </c>
      <c r="F21" s="16">
        <v>5.9672347953951208</v>
      </c>
      <c r="G21" s="16">
        <v>7.1951445683108979</v>
      </c>
      <c r="H21" s="16">
        <v>7.9322074409463204</v>
      </c>
      <c r="I21" s="16">
        <v>7.2956021899770569</v>
      </c>
      <c r="J21" s="16">
        <v>7.8015175020059804</v>
      </c>
      <c r="K21" s="16">
        <v>10.156922037456306</v>
      </c>
      <c r="L21" s="16">
        <v>12.761922260475567</v>
      </c>
      <c r="M21" s="16">
        <v>16.401344553500056</v>
      </c>
      <c r="N21" s="16">
        <v>18.247376858171091</v>
      </c>
      <c r="O21" s="16">
        <v>22.34174654326457</v>
      </c>
      <c r="P21" s="16">
        <v>31.467745667425238</v>
      </c>
      <c r="Q21" s="16">
        <v>40.052086632626121</v>
      </c>
      <c r="R21" s="16">
        <v>36.577216293940275</v>
      </c>
      <c r="S21" s="16">
        <v>44.496171166829605</v>
      </c>
      <c r="T21" s="16">
        <v>49.774847784735577</v>
      </c>
      <c r="U21" s="16">
        <v>56.950049930403907</v>
      </c>
    </row>
    <row r="22" spans="1:21">
      <c r="A22" s="11" t="s">
        <v>26</v>
      </c>
      <c r="B22" s="16">
        <v>3.2704983958664653</v>
      </c>
      <c r="C22" s="16">
        <v>3.9910394924378862</v>
      </c>
      <c r="D22" s="16">
        <v>4.0587746299073313</v>
      </c>
      <c r="E22" s="16">
        <v>4.4017563404695075</v>
      </c>
      <c r="F22" s="16">
        <v>5.5130461579467651</v>
      </c>
      <c r="G22" s="16">
        <v>7.1657149141799374</v>
      </c>
      <c r="H22" s="16">
        <v>8.0202226540782888</v>
      </c>
      <c r="I22" s="16">
        <v>7.2830714689499523</v>
      </c>
      <c r="J22" s="16">
        <v>8.0742612022122522</v>
      </c>
      <c r="K22" s="16">
        <v>9.9327848572189552</v>
      </c>
      <c r="L22" s="16">
        <v>13.427046385653206</v>
      </c>
      <c r="M22" s="16">
        <v>17.963624707844851</v>
      </c>
      <c r="N22" s="16">
        <v>20.564458435326731</v>
      </c>
      <c r="O22" s="16">
        <v>24.568180788362248</v>
      </c>
      <c r="P22" s="16">
        <v>34.862956590694843</v>
      </c>
      <c r="Q22" s="16">
        <v>44.165195355866842</v>
      </c>
      <c r="R22" s="16">
        <v>42.870173217395646</v>
      </c>
      <c r="S22" s="16">
        <v>47.943782954915754</v>
      </c>
      <c r="T22" s="16">
        <v>50.619283896871337</v>
      </c>
      <c r="U22" s="16">
        <v>56.134434867001225</v>
      </c>
    </row>
    <row r="23" spans="1:21">
      <c r="A23" s="11" t="s">
        <v>27</v>
      </c>
      <c r="B23" s="16">
        <v>8.2973935945591357</v>
      </c>
      <c r="C23" s="16">
        <v>11.072747193441048</v>
      </c>
      <c r="D23" s="16">
        <v>11.02820519692675</v>
      </c>
      <c r="E23" s="16">
        <v>12.521652896083241</v>
      </c>
      <c r="F23" s="16">
        <v>15.267998054544664</v>
      </c>
      <c r="G23" s="16">
        <v>20.131031942008796</v>
      </c>
      <c r="H23" s="16">
        <v>23.62218602013575</v>
      </c>
      <c r="I23" s="16">
        <v>20.101663996332451</v>
      </c>
      <c r="J23" s="16">
        <v>21.610538461206438</v>
      </c>
      <c r="K23" s="16">
        <v>27.413097060905933</v>
      </c>
      <c r="L23" s="16">
        <v>33.83789608567163</v>
      </c>
      <c r="M23" s="16">
        <v>40.591004837655078</v>
      </c>
      <c r="N23" s="16">
        <v>46.192105305818082</v>
      </c>
      <c r="O23" s="16">
        <v>56.162459024708618</v>
      </c>
      <c r="P23" s="16">
        <v>79.150894937441464</v>
      </c>
      <c r="Q23" s="16">
        <v>82.09920326423935</v>
      </c>
      <c r="R23" s="16">
        <v>92.397152996894505</v>
      </c>
      <c r="S23" s="16">
        <v>104.08254833601829</v>
      </c>
      <c r="T23" s="16">
        <v>111.24587167397257</v>
      </c>
      <c r="U23" s="16">
        <v>126.0652704031465</v>
      </c>
    </row>
    <row r="24" spans="1:21">
      <c r="A24" s="11" t="s">
        <v>28</v>
      </c>
      <c r="B24" s="16">
        <v>2.4160852305379676</v>
      </c>
      <c r="C24" s="16">
        <v>3.5152343544844435</v>
      </c>
      <c r="D24" s="16">
        <v>3.5782185130823243</v>
      </c>
      <c r="E24" s="16">
        <v>3.8679796931098971</v>
      </c>
      <c r="F24" s="16">
        <v>5.2518038458946297</v>
      </c>
      <c r="G24" s="16">
        <v>6.2319451487782267</v>
      </c>
      <c r="H24" s="16">
        <v>7.0442182775962801</v>
      </c>
      <c r="I24" s="16">
        <v>6.3203630489141869</v>
      </c>
      <c r="J24" s="16">
        <v>6.9097258847799896</v>
      </c>
      <c r="K24" s="16">
        <v>9.4581253991142908</v>
      </c>
      <c r="L24" s="16">
        <v>11.127315090648539</v>
      </c>
      <c r="M24" s="16">
        <v>14.498560043387467</v>
      </c>
      <c r="N24" s="16">
        <v>17.057493069852644</v>
      </c>
      <c r="O24" s="16">
        <v>22.358202531388752</v>
      </c>
      <c r="P24" s="16">
        <v>29.452020480969185</v>
      </c>
      <c r="Q24" s="16">
        <v>32.224547056008049</v>
      </c>
      <c r="R24" s="16">
        <v>32.303174687116091</v>
      </c>
      <c r="S24" s="16">
        <v>38.004856715362969</v>
      </c>
      <c r="T24" s="16">
        <v>43.049887242897803</v>
      </c>
      <c r="U24" s="16">
        <v>46.46559016205034</v>
      </c>
    </row>
    <row r="25" spans="1:21">
      <c r="A25" s="11" t="s">
        <v>29</v>
      </c>
      <c r="B25" s="16">
        <v>0.60269200723167626</v>
      </c>
      <c r="C25" s="16">
        <v>0.78902364659789248</v>
      </c>
      <c r="D25" s="16">
        <v>0.77398731217319638</v>
      </c>
      <c r="E25" s="16">
        <v>0.8328760036706232</v>
      </c>
      <c r="F25" s="16">
        <v>0.9446679870520428</v>
      </c>
      <c r="G25" s="16">
        <v>1.2198367115273949</v>
      </c>
      <c r="H25" s="16">
        <v>1.3176811615696384</v>
      </c>
      <c r="I25" s="16">
        <v>1.2513198960378131</v>
      </c>
      <c r="J25" s="16">
        <v>1.5891592311616651</v>
      </c>
      <c r="K25" s="16">
        <v>1.9443491936738435</v>
      </c>
      <c r="L25" s="16">
        <v>2.3696515873157442</v>
      </c>
      <c r="M25" s="16">
        <v>3.2105520866716217</v>
      </c>
      <c r="N25" s="16">
        <v>4.2845017994066819</v>
      </c>
      <c r="O25" s="16">
        <v>5.9930270824104683</v>
      </c>
      <c r="P25" s="16">
        <v>8.2040724170214894</v>
      </c>
      <c r="Q25" s="16">
        <v>8.6839587044727402</v>
      </c>
      <c r="R25" s="16">
        <v>9.2455940929776474</v>
      </c>
      <c r="S25" s="16">
        <v>10.123619728200255</v>
      </c>
      <c r="T25" s="16">
        <v>11.275866070636555</v>
      </c>
      <c r="U25" s="16">
        <v>11.649158078892592</v>
      </c>
    </row>
    <row r="26" spans="1:21">
      <c r="A26" s="11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</row>
    <row r="27" spans="1:21">
      <c r="A27" s="11" t="s">
        <v>30</v>
      </c>
      <c r="B27" s="16">
        <v>1.4313721915003195</v>
      </c>
      <c r="C27" s="16">
        <v>1.8044670102242428</v>
      </c>
      <c r="D27" s="16">
        <v>1.8565872231121794</v>
      </c>
      <c r="E27" s="16">
        <v>5.6060951455861145</v>
      </c>
      <c r="F27" s="16">
        <v>2.8123396340398288</v>
      </c>
      <c r="G27" s="16">
        <v>3.4018624935459938</v>
      </c>
      <c r="H27" s="16">
        <v>3.8246675566205504</v>
      </c>
      <c r="I27" s="16">
        <v>3.4754216552546295</v>
      </c>
      <c r="J27" s="16">
        <v>3.9819438026841634</v>
      </c>
      <c r="K27" s="16">
        <v>5.4905300540480164</v>
      </c>
      <c r="L27" s="16">
        <v>7.1418584289171498</v>
      </c>
      <c r="M27" s="16">
        <v>8.8588845102299825</v>
      </c>
      <c r="N27" s="16">
        <v>10.943020166323537</v>
      </c>
      <c r="O27" s="16">
        <v>14.655581127188254</v>
      </c>
      <c r="P27" s="16">
        <v>20.544023566470877</v>
      </c>
      <c r="Q27" s="16">
        <v>25.78499710039582</v>
      </c>
      <c r="R27" s="16">
        <v>23.159267829393741</v>
      </c>
      <c r="S27" s="16">
        <v>27.041198066834649</v>
      </c>
      <c r="T27" s="16">
        <v>29.2330807470419</v>
      </c>
      <c r="U27" s="16">
        <v>31.275031477863333</v>
      </c>
    </row>
    <row r="28" spans="1:21">
      <c r="A28" s="11" t="s">
        <v>31</v>
      </c>
      <c r="B28" s="16">
        <v>3.5582386188887782</v>
      </c>
      <c r="C28" s="16">
        <v>4.9022187633408993</v>
      </c>
      <c r="D28" s="16">
        <v>5.0015343146479578</v>
      </c>
      <c r="E28" s="16">
        <v>2.2018903068851765</v>
      </c>
      <c r="F28" s="16">
        <v>7.2189044218680891</v>
      </c>
      <c r="G28" s="16">
        <v>8.8305197061240399</v>
      </c>
      <c r="H28" s="16">
        <v>9.6986477434367142</v>
      </c>
      <c r="I28" s="16">
        <v>8.5531211279491721</v>
      </c>
      <c r="J28" s="16">
        <v>9.2246699596107256</v>
      </c>
      <c r="K28" s="16">
        <v>12.69821399166697</v>
      </c>
      <c r="L28" s="16">
        <v>17.207442694304209</v>
      </c>
      <c r="M28" s="16">
        <v>21.312109914903765</v>
      </c>
      <c r="N28" s="16">
        <v>25.962355601666477</v>
      </c>
      <c r="O28" s="16">
        <v>32.951592516070576</v>
      </c>
      <c r="P28" s="16">
        <v>44.134518904988866</v>
      </c>
      <c r="Q28" s="16">
        <v>54.316441748739386</v>
      </c>
      <c r="R28" s="16">
        <v>54.890451818198805</v>
      </c>
      <c r="S28" s="16">
        <v>60.811338033146541</v>
      </c>
      <c r="T28" s="16">
        <v>68.270669871592901</v>
      </c>
      <c r="U28" s="16">
        <v>70.787231352718067</v>
      </c>
    </row>
    <row r="29" spans="1:21">
      <c r="A29" s="11" t="s">
        <v>32</v>
      </c>
      <c r="B29" s="16">
        <v>1.5400265051743169</v>
      </c>
      <c r="C29" s="16">
        <v>2.3235142446439241</v>
      </c>
      <c r="D29" s="16">
        <v>2.4878638756677249</v>
      </c>
      <c r="E29" s="16">
        <v>2.7492832199521908</v>
      </c>
      <c r="F29" s="16">
        <v>3.7618012134092389</v>
      </c>
      <c r="G29" s="16">
        <v>4.7070175685751172</v>
      </c>
      <c r="H29" s="16">
        <v>5.3546343233127942</v>
      </c>
      <c r="I29" s="16">
        <v>5.149665602537687</v>
      </c>
      <c r="J29" s="16">
        <v>6.1292137497532506</v>
      </c>
      <c r="K29" s="16">
        <v>7.814247937778446</v>
      </c>
      <c r="L29" s="16">
        <v>9.7694512626577925</v>
      </c>
      <c r="M29" s="16">
        <v>13.260624716062171</v>
      </c>
      <c r="N29" s="16">
        <v>14.763990630116558</v>
      </c>
      <c r="O29" s="16">
        <v>17.800503302031945</v>
      </c>
      <c r="P29" s="16">
        <v>24.293130596988441</v>
      </c>
      <c r="Q29" s="16">
        <v>27.372052214721656</v>
      </c>
      <c r="R29" s="16">
        <v>29.694261557597393</v>
      </c>
      <c r="S29" s="16">
        <v>36.652739275108885</v>
      </c>
      <c r="T29" s="16">
        <v>42.135126883850802</v>
      </c>
      <c r="U29" s="16">
        <v>45.866928705512777</v>
      </c>
    </row>
    <row r="30" spans="1:21">
      <c r="A30" s="11" t="s">
        <v>33</v>
      </c>
      <c r="B30" s="16">
        <v>3.8111255805474271</v>
      </c>
      <c r="C30" s="16">
        <v>5.0672409953609678</v>
      </c>
      <c r="D30" s="16">
        <v>5.102181734064148</v>
      </c>
      <c r="E30" s="16">
        <v>5.3903543257150988</v>
      </c>
      <c r="F30" s="16">
        <v>6.4603142030225396</v>
      </c>
      <c r="G30" s="16">
        <v>7.4306422495918332</v>
      </c>
      <c r="H30" s="16">
        <v>8.2977515508537092</v>
      </c>
      <c r="I30" s="16">
        <v>7.806276192927446</v>
      </c>
      <c r="J30" s="16">
        <v>8.0269976184560807</v>
      </c>
      <c r="K30" s="16">
        <v>10.500612545748117</v>
      </c>
      <c r="L30" s="16">
        <v>11.195472686514799</v>
      </c>
      <c r="M30" s="16">
        <v>13.963564216613319</v>
      </c>
      <c r="N30" s="16">
        <v>17.723459926726864</v>
      </c>
      <c r="O30" s="16">
        <v>22.842739959489673</v>
      </c>
      <c r="P30" s="16">
        <v>31.135122003782346</v>
      </c>
      <c r="Q30" s="16">
        <v>36.90477368192137</v>
      </c>
      <c r="R30" s="16">
        <v>36.330412900039391</v>
      </c>
      <c r="S30" s="16">
        <v>38.833963622344314</v>
      </c>
      <c r="T30" s="16">
        <v>41.838020569380831</v>
      </c>
      <c r="U30" s="16">
        <v>47.367660422173692</v>
      </c>
    </row>
    <row r="31" spans="1:21">
      <c r="A31" s="11" t="s">
        <v>34</v>
      </c>
      <c r="B31" s="16">
        <v>0.40555035979163945</v>
      </c>
      <c r="C31" s="16">
        <v>0.52650626772235354</v>
      </c>
      <c r="D31" s="16">
        <v>0.56727054354881645</v>
      </c>
      <c r="E31" s="16">
        <v>0.60371788512604585</v>
      </c>
      <c r="F31" s="16">
        <v>0.75766707120845966</v>
      </c>
      <c r="G31" s="16">
        <v>1.0379997904488631</v>
      </c>
      <c r="H31" s="16">
        <v>1.1636567650182499</v>
      </c>
      <c r="I31" s="16">
        <v>1.0550378441608419</v>
      </c>
      <c r="J31" s="16">
        <v>1.3377826094451619</v>
      </c>
      <c r="K31" s="16">
        <v>1.4380471681018658</v>
      </c>
      <c r="L31" s="16">
        <v>1.9724573217502983</v>
      </c>
      <c r="M31" s="16">
        <v>2.7171093338216781</v>
      </c>
      <c r="N31" s="16">
        <v>3.510415970950119</v>
      </c>
      <c r="O31" s="16">
        <v>3.7056447331491551</v>
      </c>
      <c r="P31" s="16">
        <v>5.0157843542739222</v>
      </c>
      <c r="Q31" s="16">
        <v>5.1669526947451638</v>
      </c>
      <c r="R31" s="16">
        <v>5.6764780597201367</v>
      </c>
      <c r="S31" s="16">
        <v>8.1748445068638382</v>
      </c>
      <c r="T31" s="16">
        <v>9.1187106828242914</v>
      </c>
      <c r="U31" s="16">
        <v>9.2240626237086403</v>
      </c>
    </row>
    <row r="32" spans="1:21">
      <c r="A32" s="11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</row>
    <row r="33" spans="1:21">
      <c r="A33" s="11" t="s">
        <v>35</v>
      </c>
      <c r="B33" s="16">
        <v>2.1723683090912558</v>
      </c>
      <c r="C33" s="16">
        <v>2.6549084385197839</v>
      </c>
      <c r="D33" s="16">
        <v>2.989515400002781</v>
      </c>
      <c r="E33" s="16">
        <v>3.3267288058702391</v>
      </c>
      <c r="F33" s="16">
        <v>4.434318501651604</v>
      </c>
      <c r="G33" s="16">
        <v>5.2674590454235153</v>
      </c>
      <c r="H33" s="16">
        <v>5.9071985157630653</v>
      </c>
      <c r="I33" s="16">
        <v>5.1902804966522877</v>
      </c>
      <c r="J33" s="16">
        <v>6.519315554180749</v>
      </c>
      <c r="K33" s="16">
        <v>8.9375590828680593</v>
      </c>
      <c r="L33" s="16">
        <v>10.841758266588176</v>
      </c>
      <c r="M33" s="16">
        <v>15.288645573974105</v>
      </c>
      <c r="N33" s="16">
        <v>17.883337980449689</v>
      </c>
      <c r="O33" s="16">
        <v>23.025584271980581</v>
      </c>
      <c r="P33" s="16">
        <v>34.13002421557475</v>
      </c>
      <c r="Q33" s="16">
        <v>38.464484635076879</v>
      </c>
      <c r="R33" s="16">
        <v>37.608918034967964</v>
      </c>
      <c r="S33" s="16">
        <v>39.920835896659192</v>
      </c>
      <c r="T33" s="16">
        <v>41.3261254697711</v>
      </c>
      <c r="U33" s="16">
        <v>42.277678683165405</v>
      </c>
    </row>
    <row r="34" spans="1:21">
      <c r="A34" s="11" t="s">
        <v>36</v>
      </c>
      <c r="B34" s="16">
        <v>1.4294315550833747</v>
      </c>
      <c r="C34" s="16">
        <v>1.965693761352884</v>
      </c>
      <c r="D34" s="16">
        <v>2.1509661171130876</v>
      </c>
      <c r="E34" s="16">
        <v>2.3830800687921667</v>
      </c>
      <c r="F34" s="16">
        <v>3.0473272885233458</v>
      </c>
      <c r="G34" s="16">
        <v>3.6470318921469622</v>
      </c>
      <c r="H34" s="16">
        <v>4.2362097011152731</v>
      </c>
      <c r="I34" s="16">
        <v>3.7458059933169712</v>
      </c>
      <c r="J34" s="16">
        <v>4.4298515958001117</v>
      </c>
      <c r="K34" s="16">
        <v>6.1080209337499483</v>
      </c>
      <c r="L34" s="16">
        <v>7.2840492754657271</v>
      </c>
      <c r="M34" s="16">
        <v>10.557366406881895</v>
      </c>
      <c r="N34" s="16">
        <v>11.867782433900175</v>
      </c>
      <c r="O34" s="16">
        <v>13.910185813266967</v>
      </c>
      <c r="P34" s="16">
        <v>18.328466334027812</v>
      </c>
      <c r="Q34" s="16">
        <v>20.120927555574095</v>
      </c>
      <c r="R34" s="16">
        <v>19.969890065292731</v>
      </c>
      <c r="S34" s="16">
        <v>23.0872614500576</v>
      </c>
      <c r="T34" s="16">
        <v>27.166420126572785</v>
      </c>
      <c r="U34" s="16">
        <v>29.848792603659859</v>
      </c>
    </row>
    <row r="35" spans="1:21">
      <c r="A35" s="11" t="s">
        <v>37</v>
      </c>
      <c r="B35" s="16">
        <v>0.43790851719066048</v>
      </c>
      <c r="C35" s="16">
        <v>0.60092407889037291</v>
      </c>
      <c r="D35" s="16">
        <v>0.60595305105644237</v>
      </c>
      <c r="E35" s="16">
        <v>0.62901265064602863</v>
      </c>
      <c r="F35" s="16">
        <v>0.86228764699721794</v>
      </c>
      <c r="G35" s="16">
        <v>0.99416618588056616</v>
      </c>
      <c r="H35" s="16">
        <v>1.1249614193683057</v>
      </c>
      <c r="I35" s="16">
        <v>1.0654882560703567</v>
      </c>
      <c r="J35" s="16">
        <v>1.3334369854942474</v>
      </c>
      <c r="K35" s="16">
        <v>1.7019051264331162</v>
      </c>
      <c r="L35" s="16">
        <v>2.0476657033958263</v>
      </c>
      <c r="M35" s="16">
        <v>2.8169521364451171</v>
      </c>
      <c r="N35" s="16">
        <v>3.5552738421385381</v>
      </c>
      <c r="O35" s="16">
        <v>5.0263901503751782</v>
      </c>
      <c r="P35" s="16">
        <v>8.3871443559257166</v>
      </c>
      <c r="Q35" s="16">
        <v>9.3960006613480793</v>
      </c>
      <c r="R35" s="16">
        <v>6.4354249770161767</v>
      </c>
      <c r="S35" s="16">
        <v>8.99359476962195</v>
      </c>
      <c r="T35" s="16">
        <v>8.8962898088724582</v>
      </c>
      <c r="U35" s="16">
        <v>9.3175864843121481</v>
      </c>
    </row>
    <row r="36" spans="1:21">
      <c r="A36" s="11" t="s">
        <v>38</v>
      </c>
      <c r="B36" s="16">
        <v>0.41414460678096637</v>
      </c>
      <c r="C36" s="16">
        <v>0.59845803114540796</v>
      </c>
      <c r="D36" s="16">
        <v>0.63574177120778008</v>
      </c>
      <c r="E36" s="16">
        <v>0.69923936285232835</v>
      </c>
      <c r="F36" s="16">
        <v>0.92212285852053832</v>
      </c>
      <c r="G36" s="16">
        <v>1.121651509805264</v>
      </c>
      <c r="H36" s="16">
        <v>1.2274751417564544</v>
      </c>
      <c r="I36" s="16">
        <v>1.1242325554815567</v>
      </c>
      <c r="J36" s="16">
        <v>1.2813485775629669</v>
      </c>
      <c r="K36" s="16">
        <v>1.7188295711685015</v>
      </c>
      <c r="L36" s="16">
        <v>2.779772293476515</v>
      </c>
      <c r="M36" s="16">
        <v>3.1199433004757844</v>
      </c>
      <c r="N36" s="16">
        <v>3.6518907954674407</v>
      </c>
      <c r="O36" s="16">
        <v>4.9727558187111773</v>
      </c>
      <c r="P36" s="16">
        <v>6.6408701218005319</v>
      </c>
      <c r="Q36" s="16">
        <v>5.8215719131628143</v>
      </c>
      <c r="R36" s="16">
        <v>5.9820693865029808</v>
      </c>
      <c r="S36" s="16">
        <v>7.0586284072498291</v>
      </c>
      <c r="T36" s="16">
        <v>7.7689212614891474</v>
      </c>
      <c r="U36" s="16">
        <v>8.2958926815563974</v>
      </c>
    </row>
    <row r="37" spans="1:21">
      <c r="A37" s="11" t="s">
        <v>39</v>
      </c>
      <c r="B37" s="16">
        <v>1.7981666914194938</v>
      </c>
      <c r="C37" s="16">
        <v>2.5493149126499839</v>
      </c>
      <c r="D37" s="16">
        <v>2.5193019559742758</v>
      </c>
      <c r="E37" s="16">
        <v>2.7123359068414366</v>
      </c>
      <c r="F37" s="16">
        <v>3.62894417686765</v>
      </c>
      <c r="G37" s="16">
        <v>4.3292765589945388</v>
      </c>
      <c r="H37" s="16">
        <v>4.7223550471081728</v>
      </c>
      <c r="I37" s="16">
        <v>4.2858765791337365</v>
      </c>
      <c r="J37" s="16">
        <v>4.7691384833030943</v>
      </c>
      <c r="K37" s="16">
        <v>6.2334601144908461</v>
      </c>
      <c r="L37" s="16">
        <v>8.3886723808844241</v>
      </c>
      <c r="M37" s="16">
        <v>11.496927578390325</v>
      </c>
      <c r="N37" s="16">
        <v>13.81104841781899</v>
      </c>
      <c r="O37" s="16">
        <v>19.127953010715967</v>
      </c>
      <c r="P37" s="16">
        <v>25.771887737292303</v>
      </c>
      <c r="Q37" s="16">
        <v>25.914608424343175</v>
      </c>
      <c r="R37" s="16">
        <v>28.211322710124325</v>
      </c>
      <c r="S37" s="16">
        <v>32.634936685621966</v>
      </c>
      <c r="T37" s="16">
        <v>35.321852171473324</v>
      </c>
      <c r="U37" s="16">
        <v>36.132834795489664</v>
      </c>
    </row>
    <row r="38" spans="1:21">
      <c r="A38" s="10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</row>
    <row r="39" spans="1:21"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</row>
  </sheetData>
  <phoneticPr fontId="6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85317-7458-3B4F-A798-D3B61BF8B2FF}">
  <dimension ref="A1:U38"/>
  <sheetViews>
    <sheetView workbookViewId="0">
      <selection sqref="A1:A1048576"/>
    </sheetView>
  </sheetViews>
  <sheetFormatPr baseColWidth="10" defaultRowHeight="16"/>
  <cols>
    <col min="1" max="1" width="19" customWidth="1"/>
  </cols>
  <sheetData>
    <row r="1" spans="1:21" ht="17">
      <c r="A1" s="23" t="s">
        <v>1</v>
      </c>
      <c r="B1" s="8">
        <v>1997</v>
      </c>
      <c r="C1" s="8">
        <v>1998</v>
      </c>
      <c r="D1" s="8">
        <v>1999</v>
      </c>
      <c r="E1" s="8">
        <v>2000</v>
      </c>
      <c r="F1" s="8">
        <v>2001</v>
      </c>
      <c r="G1" s="8">
        <v>2002</v>
      </c>
      <c r="H1" s="8">
        <v>2003</v>
      </c>
      <c r="I1" s="8">
        <v>2004</v>
      </c>
      <c r="J1" s="8">
        <v>2005</v>
      </c>
      <c r="K1" s="8">
        <v>2006</v>
      </c>
      <c r="L1" s="8">
        <v>2007</v>
      </c>
      <c r="M1" s="8">
        <v>2008</v>
      </c>
      <c r="N1" s="8">
        <v>2009</v>
      </c>
      <c r="O1" s="8">
        <v>2010</v>
      </c>
      <c r="P1" s="8">
        <v>2011</v>
      </c>
      <c r="Q1" s="8">
        <v>2012</v>
      </c>
      <c r="R1" s="8">
        <v>2013</v>
      </c>
      <c r="S1" s="8">
        <v>2014</v>
      </c>
      <c r="T1" s="8">
        <v>2015</v>
      </c>
      <c r="U1" s="8">
        <v>2016</v>
      </c>
    </row>
    <row r="2" spans="1:21">
      <c r="A2" s="16" t="s">
        <v>9</v>
      </c>
      <c r="B2" s="11">
        <v>0.36831118258757495</v>
      </c>
      <c r="C2" s="11">
        <v>0.43258913586009029</v>
      </c>
      <c r="D2" s="11">
        <v>0.37343066261066554</v>
      </c>
      <c r="E2" s="11">
        <v>0.432930523239905</v>
      </c>
      <c r="F2" s="11">
        <v>0.69773310104942077</v>
      </c>
      <c r="G2" s="11">
        <v>1.0590380451638008</v>
      </c>
      <c r="H2" s="11">
        <v>1.4490557676266436</v>
      </c>
      <c r="I2" s="11">
        <v>1.4545398179155085</v>
      </c>
      <c r="J2" s="11">
        <v>1.3737778607102342</v>
      </c>
      <c r="K2" s="11">
        <v>1.6276298384664349</v>
      </c>
      <c r="L2" s="11">
        <v>2.0806746772337976</v>
      </c>
      <c r="M2" s="11">
        <v>2.5036025930995809</v>
      </c>
      <c r="N2" s="11">
        <v>2.691888213295341</v>
      </c>
      <c r="O2" s="11">
        <v>2.9050059400247745</v>
      </c>
      <c r="P2" s="11">
        <v>2.5293238337894368</v>
      </c>
      <c r="Q2" s="11">
        <v>2.6527961834158207</v>
      </c>
      <c r="R2" s="11">
        <v>2.5818118982545872</v>
      </c>
      <c r="S2" s="11">
        <v>2.8837058918005738</v>
      </c>
      <c r="T2" s="11">
        <v>2.6382562186728271</v>
      </c>
      <c r="U2" s="11">
        <v>2.7761099390018522</v>
      </c>
    </row>
    <row r="3" spans="1:21">
      <c r="A3" s="11" t="s">
        <v>10</v>
      </c>
      <c r="B3" s="11">
        <v>0.16568992820844897</v>
      </c>
      <c r="C3" s="11">
        <v>0.16938333675505535</v>
      </c>
      <c r="D3" s="11">
        <v>0.13476055218961797</v>
      </c>
      <c r="E3" s="11">
        <v>0.13181767450036735</v>
      </c>
      <c r="F3" s="11">
        <v>0.21103350975838156</v>
      </c>
      <c r="G3" s="11">
        <v>0.32683556851651735</v>
      </c>
      <c r="H3" s="11">
        <v>0.44705868541557919</v>
      </c>
      <c r="I3" s="11">
        <v>0.49334076138088151</v>
      </c>
      <c r="J3" s="11">
        <v>0.39734171957713632</v>
      </c>
      <c r="K3" s="11">
        <v>0.44456173622020245</v>
      </c>
      <c r="L3" s="11">
        <v>0.57898555541352426</v>
      </c>
      <c r="M3" s="11">
        <v>0.72355064255590773</v>
      </c>
      <c r="N3" s="11">
        <v>0.87591777545984151</v>
      </c>
      <c r="O3" s="11">
        <v>1.089571599494358</v>
      </c>
      <c r="P3" s="11">
        <v>1.0154760152244344</v>
      </c>
      <c r="Q3" s="11">
        <v>1.0972336319049034</v>
      </c>
      <c r="R3" s="11">
        <v>1.2055873181506773</v>
      </c>
      <c r="S3" s="11">
        <v>1.4435082426516075</v>
      </c>
      <c r="T3" s="11">
        <v>1.3886233611291559</v>
      </c>
      <c r="U3" s="11">
        <v>1.4177379643255343</v>
      </c>
    </row>
    <row r="4" spans="1:21">
      <c r="A4" s="11" t="s">
        <v>11</v>
      </c>
      <c r="B4" s="11">
        <v>0.33996390596572934</v>
      </c>
      <c r="C4" s="11">
        <v>0.32861733872734572</v>
      </c>
      <c r="D4" s="11">
        <v>0.27450415889100493</v>
      </c>
      <c r="E4" s="11">
        <v>0.26498737962132235</v>
      </c>
      <c r="F4" s="11">
        <v>0.45694397187913033</v>
      </c>
      <c r="G4" s="11">
        <v>0.68788706718887493</v>
      </c>
      <c r="H4" s="11">
        <v>1.0167457711373027</v>
      </c>
      <c r="I4" s="11">
        <v>0.945428552203602</v>
      </c>
      <c r="J4" s="11">
        <v>0.9438705452798084</v>
      </c>
      <c r="K4" s="11">
        <v>0.93859878291375554</v>
      </c>
      <c r="L4" s="11">
        <v>1.3663009587114916</v>
      </c>
      <c r="M4" s="11">
        <v>2.0753752209189491</v>
      </c>
      <c r="N4" s="11">
        <v>2.8219350242959265</v>
      </c>
      <c r="O4" s="11">
        <v>3.6616572034955253</v>
      </c>
      <c r="P4" s="11">
        <v>3.3959501116668234</v>
      </c>
      <c r="Q4" s="11">
        <v>3.3480596055396812</v>
      </c>
      <c r="R4" s="11">
        <v>3.5600075336270387</v>
      </c>
      <c r="S4" s="11">
        <v>3.997675867689281</v>
      </c>
      <c r="T4" s="11">
        <v>3.8100629387067997</v>
      </c>
      <c r="U4" s="11">
        <v>3.8218861444441634</v>
      </c>
    </row>
    <row r="5" spans="1:21">
      <c r="A5" s="11" t="s">
        <v>12</v>
      </c>
      <c r="B5" s="11">
        <v>0.18939723591726948</v>
      </c>
      <c r="C5" s="11">
        <v>0.19493597933378326</v>
      </c>
      <c r="D5" s="11">
        <v>0.16273714846464363</v>
      </c>
      <c r="E5" s="11">
        <v>0.15858211455191024</v>
      </c>
      <c r="F5" s="11">
        <v>0.28278490307623128</v>
      </c>
      <c r="G5" s="11">
        <v>0.42101733154544579</v>
      </c>
      <c r="H5" s="11">
        <v>0.59342745356577931</v>
      </c>
      <c r="I5" s="11">
        <v>0.60235148050287712</v>
      </c>
      <c r="J5" s="11">
        <v>0.58979610103667757</v>
      </c>
      <c r="K5" s="11">
        <v>0.66300243928052616</v>
      </c>
      <c r="L5" s="11">
        <v>0.91133375942732964</v>
      </c>
      <c r="M5" s="11">
        <v>1.2341095167640126</v>
      </c>
      <c r="N5" s="11">
        <v>1.6434362836136054</v>
      </c>
      <c r="O5" s="11">
        <v>1.7704955375828115</v>
      </c>
      <c r="P5" s="11">
        <v>1.7904593123840076</v>
      </c>
      <c r="Q5" s="11">
        <v>1.8683326709255998</v>
      </c>
      <c r="R5" s="11">
        <v>1.8852378700071433</v>
      </c>
      <c r="S5" s="11">
        <v>2.182665348741295</v>
      </c>
      <c r="T5" s="11">
        <v>2.0699758861340212</v>
      </c>
      <c r="U5" s="11">
        <v>2.0988074789498614</v>
      </c>
    </row>
    <row r="6" spans="1:21">
      <c r="A6" s="11" t="s">
        <v>13</v>
      </c>
      <c r="B6" s="11">
        <v>0.15979521920173087</v>
      </c>
      <c r="C6" s="11">
        <v>0.1635840200163356</v>
      </c>
      <c r="D6" s="11">
        <v>0.13662325371162176</v>
      </c>
      <c r="E6" s="11">
        <v>0.13819543510455348</v>
      </c>
      <c r="F6" s="11">
        <v>0.23667603227844797</v>
      </c>
      <c r="G6" s="11">
        <v>0.34666595336773143</v>
      </c>
      <c r="H6" s="11">
        <v>0.4988571786100065</v>
      </c>
      <c r="I6" s="11">
        <v>0.47012083253729936</v>
      </c>
      <c r="J6" s="11">
        <v>0.43704386186034783</v>
      </c>
      <c r="K6" s="11">
        <v>0.52809186966419452</v>
      </c>
      <c r="L6" s="11">
        <v>0.76737451105713905</v>
      </c>
      <c r="M6" s="11">
        <v>1.0325095285709542</v>
      </c>
      <c r="N6" s="11">
        <v>1.6629836924720784</v>
      </c>
      <c r="O6" s="11">
        <v>1.8771668829878536</v>
      </c>
      <c r="P6" s="11">
        <v>1.8462078575697523</v>
      </c>
      <c r="Q6" s="11">
        <v>1.843157732529519</v>
      </c>
      <c r="R6" s="11">
        <v>1.8328779430516309</v>
      </c>
      <c r="S6" s="11">
        <v>2.0380729406259417</v>
      </c>
      <c r="T6" s="11">
        <v>1.8310147539450434</v>
      </c>
      <c r="U6" s="11">
        <v>1.9855865609702157</v>
      </c>
    </row>
    <row r="7" spans="1:2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1:21">
      <c r="A8" s="11" t="s">
        <v>14</v>
      </c>
      <c r="B8" s="11">
        <v>0.32127984102107909</v>
      </c>
      <c r="C8" s="11">
        <v>0.32616223098248703</v>
      </c>
      <c r="D8" s="11">
        <v>0.24854275642807666</v>
      </c>
      <c r="E8" s="11">
        <v>0.2599707542210275</v>
      </c>
      <c r="F8" s="11">
        <v>0.37101610460739676</v>
      </c>
      <c r="G8" s="11">
        <v>0.55054308379525108</v>
      </c>
      <c r="H8" s="11">
        <v>0.73458513507042622</v>
      </c>
      <c r="I8" s="11">
        <v>0.68584744986788837</v>
      </c>
      <c r="J8" s="11">
        <v>0.71915202372699771</v>
      </c>
      <c r="K8" s="11">
        <v>0.81757001733568968</v>
      </c>
      <c r="L8" s="11">
        <v>1.1649679151220758</v>
      </c>
      <c r="M8" s="11">
        <v>1.4481369014895196</v>
      </c>
      <c r="N8" s="11">
        <v>2.6384155493932373</v>
      </c>
      <c r="O8" s="11">
        <v>2.3536114927853014</v>
      </c>
      <c r="P8" s="11">
        <v>2.0422812116636777</v>
      </c>
      <c r="Q8" s="11">
        <v>2.073979801445025</v>
      </c>
      <c r="R8" s="11">
        <v>2.1458220064803819</v>
      </c>
      <c r="S8" s="11">
        <v>2.448139157453086</v>
      </c>
      <c r="T8" s="11">
        <v>2.0076722536354055</v>
      </c>
      <c r="U8" s="11">
        <v>2.143802853008316</v>
      </c>
    </row>
    <row r="9" spans="1:21">
      <c r="A9" s="11" t="s">
        <v>15</v>
      </c>
      <c r="B9" s="11">
        <v>0.19248483867342184</v>
      </c>
      <c r="C9" s="11">
        <v>0.17813005596361842</v>
      </c>
      <c r="D9" s="11">
        <v>0.14915877583813517</v>
      </c>
      <c r="E9" s="11">
        <v>0.14231677647999233</v>
      </c>
      <c r="F9" s="11">
        <v>0.23341297541091957</v>
      </c>
      <c r="G9" s="11">
        <v>0.35581049158059058</v>
      </c>
      <c r="H9" s="11">
        <v>0.47113478153091726</v>
      </c>
      <c r="I9" s="11">
        <v>0.45787999413638431</v>
      </c>
      <c r="J9" s="11">
        <v>0.43338871077010332</v>
      </c>
      <c r="K9" s="11">
        <v>0.50327662589316391</v>
      </c>
      <c r="L9" s="11">
        <v>0.74008697430653192</v>
      </c>
      <c r="M9" s="11">
        <v>1.0273314466824339</v>
      </c>
      <c r="N9" s="11">
        <v>1.7340651792301622</v>
      </c>
      <c r="O9" s="11">
        <v>1.7246237491068823</v>
      </c>
      <c r="P9" s="11">
        <v>1.6137913874996064</v>
      </c>
      <c r="Q9" s="11">
        <v>1.6613387330022691</v>
      </c>
      <c r="R9" s="11">
        <v>1.6971161324455517</v>
      </c>
      <c r="S9" s="11">
        <v>1.8471322234736123</v>
      </c>
      <c r="T9" s="11">
        <v>1.7502692462268372</v>
      </c>
      <c r="U9" s="11">
        <v>1.9087805038564816</v>
      </c>
    </row>
    <row r="10" spans="1:21">
      <c r="A10" s="11" t="s">
        <v>16</v>
      </c>
      <c r="B10" s="11">
        <v>0.23935559063748257</v>
      </c>
      <c r="C10" s="11">
        <v>0.25215675327316017</v>
      </c>
      <c r="D10" s="11">
        <v>0.21860015740227404</v>
      </c>
      <c r="E10" s="11">
        <v>0.20654354196483213</v>
      </c>
      <c r="F10" s="11">
        <v>0.34278760424661286</v>
      </c>
      <c r="G10" s="11">
        <v>0.48445669282671627</v>
      </c>
      <c r="H10" s="11">
        <v>0.67324028146649773</v>
      </c>
      <c r="I10" s="11">
        <v>0.63438481299511806</v>
      </c>
      <c r="J10" s="11">
        <v>0.58642356472145196</v>
      </c>
      <c r="K10" s="11">
        <v>0.68012426572933937</v>
      </c>
      <c r="L10" s="11">
        <v>1.0064902978397035</v>
      </c>
      <c r="M10" s="11">
        <v>1.2375615713563595</v>
      </c>
      <c r="N10" s="11">
        <v>2.1889866944818985</v>
      </c>
      <c r="O10" s="11">
        <v>2.1020163953139339</v>
      </c>
      <c r="P10" s="11">
        <v>1.9156411563020976</v>
      </c>
      <c r="Q10" s="11">
        <v>1.795708671684231</v>
      </c>
      <c r="R10" s="11">
        <v>1.7811725151830622</v>
      </c>
      <c r="S10" s="11">
        <v>2.105447992179692</v>
      </c>
      <c r="T10" s="11">
        <v>1.9507089324938136</v>
      </c>
      <c r="U10" s="11">
        <v>1.9571941311379815</v>
      </c>
    </row>
    <row r="11" spans="1:2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</row>
    <row r="12" spans="1:21">
      <c r="A12" s="11" t="s">
        <v>17</v>
      </c>
      <c r="B12" s="11">
        <v>0.49134422999986049</v>
      </c>
      <c r="C12" s="11">
        <v>0.54379045078603572</v>
      </c>
      <c r="D12" s="11">
        <v>0.4855616868907987</v>
      </c>
      <c r="E12" s="11">
        <v>0.4943955651226466</v>
      </c>
      <c r="F12" s="11">
        <v>0.72912974065715208</v>
      </c>
      <c r="G12" s="11">
        <v>0.8503191958779307</v>
      </c>
      <c r="H12" s="11">
        <v>1.063879101049044</v>
      </c>
      <c r="I12" s="11">
        <v>1.2110359134443816</v>
      </c>
      <c r="J12" s="11">
        <v>1.0916550447441391</v>
      </c>
      <c r="K12" s="11">
        <v>1.1497536421576318</v>
      </c>
      <c r="L12" s="11">
        <v>1.5538153138182282</v>
      </c>
      <c r="M12" s="11">
        <v>2.1105861777608874</v>
      </c>
      <c r="N12" s="11">
        <v>2.1461762535935067</v>
      </c>
      <c r="O12" s="11">
        <v>2.4890498919803323</v>
      </c>
      <c r="P12" s="11">
        <v>2.1315686200496993</v>
      </c>
      <c r="Q12" s="11">
        <v>2.0444536391286339</v>
      </c>
      <c r="R12" s="11">
        <v>2.0094991966569222</v>
      </c>
      <c r="S12" s="11">
        <v>2.3688638643898412</v>
      </c>
      <c r="T12" s="11">
        <v>2.1607611792034338</v>
      </c>
      <c r="U12" s="11">
        <v>2.6725159382626202</v>
      </c>
    </row>
    <row r="13" spans="1:21">
      <c r="A13" s="11" t="s">
        <v>18</v>
      </c>
      <c r="B13" s="11">
        <v>0.57552101720694682</v>
      </c>
      <c r="C13" s="11">
        <v>0.60754261767154494</v>
      </c>
      <c r="D13" s="11">
        <v>0.50930293278612737</v>
      </c>
      <c r="E13" s="11">
        <v>0.49417705512335963</v>
      </c>
      <c r="F13" s="11">
        <v>0.78891518594042598</v>
      </c>
      <c r="G13" s="11">
        <v>1.1697274448078205</v>
      </c>
      <c r="H13" s="11">
        <v>1.622250684340423</v>
      </c>
      <c r="I13" s="11">
        <v>1.6785310188873308</v>
      </c>
      <c r="J13" s="11">
        <v>1.571260691722334</v>
      </c>
      <c r="K13" s="11">
        <v>1.6737604287479393</v>
      </c>
      <c r="L13" s="11">
        <v>2.0166539179342964</v>
      </c>
      <c r="M13" s="11">
        <v>2.5650491648433555</v>
      </c>
      <c r="N13" s="11">
        <v>3.2020594296181337</v>
      </c>
      <c r="O13" s="11">
        <v>3.8826192761202551</v>
      </c>
      <c r="P13" s="11">
        <v>3.9243835047654989</v>
      </c>
      <c r="Q13" s="11">
        <v>4.331954214377455</v>
      </c>
      <c r="R13" s="11">
        <v>4.4492847930446819</v>
      </c>
      <c r="S13" s="11">
        <v>5.018949225504036</v>
      </c>
      <c r="T13" s="11">
        <v>4.6233567563058768</v>
      </c>
      <c r="U13" s="11">
        <v>4.9723027546735779</v>
      </c>
    </row>
    <row r="14" spans="1:21">
      <c r="A14" s="11" t="s">
        <v>19</v>
      </c>
      <c r="B14" s="11">
        <v>0.40562792380409618</v>
      </c>
      <c r="C14" s="11">
        <v>0.45185653285517824</v>
      </c>
      <c r="D14" s="11">
        <v>0.39007691776153064</v>
      </c>
      <c r="E14" s="11">
        <v>0.4133814654564813</v>
      </c>
      <c r="F14" s="11">
        <v>0.69092223445262102</v>
      </c>
      <c r="G14" s="11">
        <v>1.039534350685382</v>
      </c>
      <c r="H14" s="11">
        <v>1.3248041941132569</v>
      </c>
      <c r="I14" s="11">
        <v>1.4196924377381341</v>
      </c>
      <c r="J14" s="11">
        <v>1.3581565907014117</v>
      </c>
      <c r="K14" s="11">
        <v>1.5617207155356623</v>
      </c>
      <c r="L14" s="11">
        <v>1.9640029656142144</v>
      </c>
      <c r="M14" s="11">
        <v>2.4659751980429996</v>
      </c>
      <c r="N14" s="11">
        <v>2.8602220978451673</v>
      </c>
      <c r="O14" s="11">
        <v>3.4913873445763981</v>
      </c>
      <c r="P14" s="11">
        <v>3.1293217577301751</v>
      </c>
      <c r="Q14" s="11">
        <v>3.1692450225288358</v>
      </c>
      <c r="R14" s="11">
        <v>3.2793209251976658</v>
      </c>
      <c r="S14" s="11">
        <v>3.8814471930965557</v>
      </c>
      <c r="T14" s="11">
        <v>3.4569615517803567</v>
      </c>
      <c r="U14" s="11">
        <v>3.7840760781810903</v>
      </c>
    </row>
    <row r="15" spans="1:21">
      <c r="A15" s="11" t="s">
        <v>20</v>
      </c>
      <c r="B15" s="11">
        <v>0.21633560642708435</v>
      </c>
      <c r="C15" s="11">
        <v>0.221169771079408</v>
      </c>
      <c r="D15" s="11">
        <v>0.18715395160210743</v>
      </c>
      <c r="E15" s="11">
        <v>0.17772753580887343</v>
      </c>
      <c r="F15" s="11">
        <v>0.26950487331672335</v>
      </c>
      <c r="G15" s="11">
        <v>0.39931336344512386</v>
      </c>
      <c r="H15" s="11">
        <v>0.49867325790486927</v>
      </c>
      <c r="I15" s="11">
        <v>0.59501504834479013</v>
      </c>
      <c r="J15" s="11">
        <v>0.52382753221893119</v>
      </c>
      <c r="K15" s="11">
        <v>0.64996569590559983</v>
      </c>
      <c r="L15" s="11">
        <v>1.1441524223443689</v>
      </c>
      <c r="M15" s="11">
        <v>1.7923067443465044</v>
      </c>
      <c r="N15" s="11">
        <v>2.6775103671101839</v>
      </c>
      <c r="O15" s="11">
        <v>2.8645765671307353</v>
      </c>
      <c r="P15" s="11">
        <v>3.1096919882985747</v>
      </c>
      <c r="Q15" s="11">
        <v>3.3088985902568888</v>
      </c>
      <c r="R15" s="11">
        <v>3.3828252808043668</v>
      </c>
      <c r="S15" s="11">
        <v>3.8027087530337398</v>
      </c>
      <c r="T15" s="11">
        <v>3.4576735932946265</v>
      </c>
      <c r="U15" s="11">
        <v>3.3493300764256047</v>
      </c>
    </row>
    <row r="16" spans="1:21">
      <c r="A16" s="11" t="s">
        <v>21</v>
      </c>
      <c r="B16" s="11">
        <v>0.26939869346104295</v>
      </c>
      <c r="C16" s="11">
        <v>0.29333126553006406</v>
      </c>
      <c r="D16" s="11">
        <v>0.23888163198472587</v>
      </c>
      <c r="E16" s="11">
        <v>0.24492998260344653</v>
      </c>
      <c r="F16" s="11">
        <v>0.35722984753812348</v>
      </c>
      <c r="G16" s="11">
        <v>0.51373038400949966</v>
      </c>
      <c r="H16" s="11">
        <v>0.60492687670126077</v>
      </c>
      <c r="I16" s="11">
        <v>0.62751649201983528</v>
      </c>
      <c r="J16" s="11">
        <v>0.5428401795279808</v>
      </c>
      <c r="K16" s="11">
        <v>0.63695886618247322</v>
      </c>
      <c r="L16" s="11">
        <v>0.90940963824619703</v>
      </c>
      <c r="M16" s="11">
        <v>1.2819204728680169</v>
      </c>
      <c r="N16" s="11">
        <v>1.5087045564403283</v>
      </c>
      <c r="O16" s="11">
        <v>1.8283406403388984</v>
      </c>
      <c r="P16" s="11">
        <v>1.7868698688308009</v>
      </c>
      <c r="Q16" s="11">
        <v>1.9268669927107258</v>
      </c>
      <c r="R16" s="11">
        <v>2.0965475752204616</v>
      </c>
      <c r="S16" s="11">
        <v>2.6139372590853567</v>
      </c>
      <c r="T16" s="11">
        <v>2.5006185939644561</v>
      </c>
      <c r="U16" s="11">
        <v>2.6340082693009657</v>
      </c>
    </row>
    <row r="17" spans="1:21">
      <c r="A17" s="11" t="s">
        <v>22</v>
      </c>
      <c r="B17" s="11">
        <v>0.18572080461885501</v>
      </c>
      <c r="C17" s="11">
        <v>0.19422300076656415</v>
      </c>
      <c r="D17" s="11">
        <v>0.15834110728463288</v>
      </c>
      <c r="E17" s="11">
        <v>0.15652903101694382</v>
      </c>
      <c r="F17" s="11">
        <v>0.24813997156417314</v>
      </c>
      <c r="G17" s="11">
        <v>0.35772037376000915</v>
      </c>
      <c r="H17" s="11">
        <v>0.43969601845754813</v>
      </c>
      <c r="I17" s="11">
        <v>0.47316624551968095</v>
      </c>
      <c r="J17" s="11">
        <v>0.45716812728447187</v>
      </c>
      <c r="K17" s="11">
        <v>0.53876730415018748</v>
      </c>
      <c r="L17" s="11">
        <v>1.0157610635306149</v>
      </c>
      <c r="M17" s="11">
        <v>1.3276601962166132</v>
      </c>
      <c r="N17" s="11">
        <v>1.9474711883379547</v>
      </c>
      <c r="O17" s="11">
        <v>2.3327748159860655</v>
      </c>
      <c r="P17" s="11">
        <v>2.2021236198924221</v>
      </c>
      <c r="Q17" s="11">
        <v>2.2704064812761739</v>
      </c>
      <c r="R17" s="11">
        <v>2.451005580735369</v>
      </c>
      <c r="S17" s="11">
        <v>3.0282982999159271</v>
      </c>
      <c r="T17" s="11">
        <v>2.8395503547569279</v>
      </c>
      <c r="U17" s="11">
        <v>3.0605225592131995</v>
      </c>
    </row>
    <row r="18" spans="1:21">
      <c r="A18" s="11" t="s">
        <v>23</v>
      </c>
      <c r="B18" s="11">
        <v>0.51415651832444254</v>
      </c>
      <c r="C18" s="11">
        <v>0.53678161683506942</v>
      </c>
      <c r="D18" s="11">
        <v>0.4239810369256794</v>
      </c>
      <c r="E18" s="11">
        <v>0.42882283873942156</v>
      </c>
      <c r="F18" s="11">
        <v>0.64667796757913965</v>
      </c>
      <c r="G18" s="11">
        <v>0.93738357634057579</v>
      </c>
      <c r="H18" s="11">
        <v>1.1563853769804997</v>
      </c>
      <c r="I18" s="11">
        <v>1.2165483261660244</v>
      </c>
      <c r="J18" s="11">
        <v>1.1390108138234181</v>
      </c>
      <c r="K18" s="11">
        <v>1.3708043113374733</v>
      </c>
      <c r="L18" s="11">
        <v>1.7430788699987219</v>
      </c>
      <c r="M18" s="11">
        <v>2.4236875292867497</v>
      </c>
      <c r="N18" s="11">
        <v>3.0571501259317673</v>
      </c>
      <c r="O18" s="11">
        <v>3.899413015630087</v>
      </c>
      <c r="P18" s="11">
        <v>4.0421621213550996</v>
      </c>
      <c r="Q18" s="11">
        <v>4.3813716860438365</v>
      </c>
      <c r="R18" s="11">
        <v>4.5427846626080974</v>
      </c>
      <c r="S18" s="11">
        <v>5.4192626128233998</v>
      </c>
      <c r="T18" s="11">
        <v>4.9944727935433475</v>
      </c>
      <c r="U18" s="11">
        <v>5.5123867639147477</v>
      </c>
    </row>
    <row r="19" spans="1:2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</row>
    <row r="20" spans="1:21">
      <c r="A20" s="11" t="s">
        <v>24</v>
      </c>
      <c r="B20" s="11">
        <v>0.29814209110222845</v>
      </c>
      <c r="C20" s="11">
        <v>0.30700093198847339</v>
      </c>
      <c r="D20" s="11">
        <v>0.25489332244455626</v>
      </c>
      <c r="E20" s="11">
        <v>0.26250031094888338</v>
      </c>
      <c r="F20" s="11">
        <v>0.40982475574227389</v>
      </c>
      <c r="G20" s="11">
        <v>0.61215632965935818</v>
      </c>
      <c r="H20" s="11">
        <v>0.88133926088853265</v>
      </c>
      <c r="I20" s="11">
        <v>0.90771600875216729</v>
      </c>
      <c r="J20" s="11">
        <v>0.87517840740799091</v>
      </c>
      <c r="K20" s="11">
        <v>1.1482392635352756</v>
      </c>
      <c r="L20" s="11">
        <v>1.7278608206570367</v>
      </c>
      <c r="M20" s="11">
        <v>2.510851907743509</v>
      </c>
      <c r="N20" s="11">
        <v>3.6049622204696359</v>
      </c>
      <c r="O20" s="11">
        <v>4.2017003268070567</v>
      </c>
      <c r="P20" s="11">
        <v>4.0547251737913239</v>
      </c>
      <c r="Q20" s="11">
        <v>4.4132806614594449</v>
      </c>
      <c r="R20" s="11">
        <v>4.6046815762590789</v>
      </c>
      <c r="S20" s="11">
        <v>5.3949252768039848</v>
      </c>
      <c r="T20" s="11">
        <v>5.1106067645207691</v>
      </c>
      <c r="U20" s="11">
        <v>5.4274187552276194</v>
      </c>
    </row>
    <row r="21" spans="1:21">
      <c r="A21" s="11" t="s">
        <v>25</v>
      </c>
      <c r="B21" s="11">
        <v>0.32863484481260719</v>
      </c>
      <c r="C21" s="11">
        <v>0.33649405432709972</v>
      </c>
      <c r="D21" s="11">
        <v>0.29066670193888489</v>
      </c>
      <c r="E21" s="11">
        <v>0.28964866092972891</v>
      </c>
      <c r="F21" s="11">
        <v>0.45355435818416062</v>
      </c>
      <c r="G21" s="11">
        <v>0.62431367908799607</v>
      </c>
      <c r="H21" s="11">
        <v>0.70787284218145519</v>
      </c>
      <c r="I21" s="11">
        <v>0.70954625107089087</v>
      </c>
      <c r="J21" s="11">
        <v>0.65231048927085955</v>
      </c>
      <c r="K21" s="11">
        <v>0.84083722962608953</v>
      </c>
      <c r="L21" s="11">
        <v>1.1563968298606673</v>
      </c>
      <c r="M21" s="11">
        <v>1.6411067532017103</v>
      </c>
      <c r="N21" s="11">
        <v>2.2494059582262698</v>
      </c>
      <c r="O21" s="11">
        <v>2.785428294811251</v>
      </c>
      <c r="P21" s="11">
        <v>2.7739668459626934</v>
      </c>
      <c r="Q21" s="11">
        <v>2.7763916628665384</v>
      </c>
      <c r="R21" s="11">
        <v>3.0114437988984806</v>
      </c>
      <c r="S21" s="11">
        <v>3.5908307688647065</v>
      </c>
      <c r="T21" s="11">
        <v>3.6687939022756511</v>
      </c>
      <c r="U21" s="11">
        <v>4.1081822919416782</v>
      </c>
    </row>
    <row r="22" spans="1:21">
      <c r="A22" s="11" t="s">
        <v>26</v>
      </c>
      <c r="B22" s="11">
        <v>0.23981380630309743</v>
      </c>
      <c r="C22" s="11">
        <v>0.22952604964401774</v>
      </c>
      <c r="D22" s="11">
        <v>0.19170740417834389</v>
      </c>
      <c r="E22" s="11">
        <v>0.18025557510617868</v>
      </c>
      <c r="F22" s="11">
        <v>0.28504394244605863</v>
      </c>
      <c r="G22" s="11">
        <v>0.41064700637825219</v>
      </c>
      <c r="H22" s="11">
        <v>0.49133978470955841</v>
      </c>
      <c r="I22" s="11">
        <v>0.53101833100831353</v>
      </c>
      <c r="J22" s="11">
        <v>0.51188862805646584</v>
      </c>
      <c r="K22" s="11">
        <v>0.64716689985909692</v>
      </c>
      <c r="L22" s="11">
        <v>1.0355270356640673</v>
      </c>
      <c r="M22" s="11">
        <v>1.511999911447937</v>
      </c>
      <c r="N22" s="11">
        <v>2.5718574299743038</v>
      </c>
      <c r="O22" s="11">
        <v>2.8057984788463246</v>
      </c>
      <c r="P22" s="11">
        <v>2.8800797710043717</v>
      </c>
      <c r="Q22" s="11">
        <v>3.047617953899211</v>
      </c>
      <c r="R22" s="11">
        <v>3.2020900329382851</v>
      </c>
      <c r="S22" s="11">
        <v>3.7794451230151802</v>
      </c>
      <c r="T22" s="11">
        <v>3.5156337725561961</v>
      </c>
      <c r="U22" s="11">
        <v>3.8107942615367305</v>
      </c>
    </row>
    <row r="23" spans="1:21">
      <c r="A23" s="11" t="s">
        <v>27</v>
      </c>
      <c r="B23" s="11">
        <v>0.79220992075938845</v>
      </c>
      <c r="C23" s="11">
        <v>0.83365867756103551</v>
      </c>
      <c r="D23" s="11">
        <v>0.67171214084196751</v>
      </c>
      <c r="E23" s="11">
        <v>0.72428932840016391</v>
      </c>
      <c r="F23" s="11">
        <v>1.1388680159006743</v>
      </c>
      <c r="G23" s="11">
        <v>1.7987292703566993</v>
      </c>
      <c r="H23" s="11">
        <v>2.1470319242459555</v>
      </c>
      <c r="I23" s="11">
        <v>1.9614907774217152</v>
      </c>
      <c r="J23" s="11">
        <v>1.7242285555047892</v>
      </c>
      <c r="K23" s="11">
        <v>1.93612185106307</v>
      </c>
      <c r="L23" s="11">
        <v>2.4623503515275469</v>
      </c>
      <c r="M23" s="11">
        <v>3.4719039062528827</v>
      </c>
      <c r="N23" s="11">
        <v>4.0847622560867007</v>
      </c>
      <c r="O23" s="11">
        <v>4.7277486671937297</v>
      </c>
      <c r="P23" s="11">
        <v>4.8653785662608904</v>
      </c>
      <c r="Q23" s="11">
        <v>5.2332791692988652</v>
      </c>
      <c r="R23" s="11">
        <v>5.3231345739843627</v>
      </c>
      <c r="S23" s="11">
        <v>6.9571675080503148</v>
      </c>
      <c r="T23" s="11">
        <v>6.539104450449039</v>
      </c>
      <c r="U23" s="11">
        <v>7.8259163534877443</v>
      </c>
    </row>
    <row r="24" spans="1:21">
      <c r="A24" s="11" t="s">
        <v>28</v>
      </c>
      <c r="B24" s="11">
        <v>0.19701132426739282</v>
      </c>
      <c r="C24" s="11">
        <v>0.21284532191512051</v>
      </c>
      <c r="D24" s="11">
        <v>0.17515953115011978</v>
      </c>
      <c r="E24" s="11">
        <v>0.17663043352078717</v>
      </c>
      <c r="F24" s="11">
        <v>0.32958350858356977</v>
      </c>
      <c r="G24" s="11">
        <v>0.49870262686091704</v>
      </c>
      <c r="H24" s="11">
        <v>0.61352152044608377</v>
      </c>
      <c r="I24" s="11">
        <v>0.59231937360243481</v>
      </c>
      <c r="J24" s="11">
        <v>0.54415067470695733</v>
      </c>
      <c r="K24" s="11">
        <v>0.62452413505001447</v>
      </c>
      <c r="L24" s="11">
        <v>0.88771954493161187</v>
      </c>
      <c r="M24" s="11">
        <v>1.3595917011958218</v>
      </c>
      <c r="N24" s="11">
        <v>1.8763897015798709</v>
      </c>
      <c r="O24" s="11">
        <v>2.5733295847055992</v>
      </c>
      <c r="P24" s="11">
        <v>2.6122175458463084</v>
      </c>
      <c r="Q24" s="11">
        <v>2.6228556188213048</v>
      </c>
      <c r="R24" s="11">
        <v>2.6704497746007054</v>
      </c>
      <c r="S24" s="11">
        <v>3.1793329440364202</v>
      </c>
      <c r="T24" s="11">
        <v>2.9469262151088285</v>
      </c>
      <c r="U24" s="11">
        <v>3.2660363142150706</v>
      </c>
    </row>
    <row r="25" spans="1:21">
      <c r="A25" s="11" t="s">
        <v>29</v>
      </c>
      <c r="B25" s="11">
        <v>5.343779610630716E-2</v>
      </c>
      <c r="C25" s="11">
        <v>5.4277615389576581E-2</v>
      </c>
      <c r="D25" s="11">
        <v>4.3386516084701655E-2</v>
      </c>
      <c r="E25" s="11">
        <v>4.2519921458458058E-2</v>
      </c>
      <c r="F25" s="11">
        <v>6.2042375372644024E-2</v>
      </c>
      <c r="G25" s="11">
        <v>9.4726246983587226E-2</v>
      </c>
      <c r="H25" s="11">
        <v>0.13566341536070764</v>
      </c>
      <c r="I25" s="11">
        <v>0.14600226374014569</v>
      </c>
      <c r="J25" s="11">
        <v>0.13647362813524072</v>
      </c>
      <c r="K25" s="11">
        <v>0.14229363280112786</v>
      </c>
      <c r="L25" s="11">
        <v>0.21795045379010608</v>
      </c>
      <c r="M25" s="11">
        <v>0.32173148800672996</v>
      </c>
      <c r="N25" s="11">
        <v>0.48674663545933283</v>
      </c>
      <c r="O25" s="11">
        <v>0.54144260160401814</v>
      </c>
      <c r="P25" s="11">
        <v>0.56421565851970668</v>
      </c>
      <c r="Q25" s="11">
        <v>0.62015300921374295</v>
      </c>
      <c r="R25" s="11">
        <v>0.65066559229180732</v>
      </c>
      <c r="S25" s="11">
        <v>0.79150027363144615</v>
      </c>
      <c r="T25" s="11">
        <v>0.71588653844695582</v>
      </c>
      <c r="U25" s="11">
        <v>0.79645300096957272</v>
      </c>
    </row>
    <row r="26" spans="1:2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</row>
    <row r="27" spans="1:21">
      <c r="A27" s="11" t="s">
        <v>30</v>
      </c>
      <c r="B27" s="11">
        <v>0.133841798253518</v>
      </c>
      <c r="C27" s="11">
        <v>0.14749531913343283</v>
      </c>
      <c r="D27" s="11">
        <v>0.11781095216060958</v>
      </c>
      <c r="E27" s="11">
        <v>0.33224445391571716</v>
      </c>
      <c r="F27" s="11">
        <v>0.18404315702606519</v>
      </c>
      <c r="G27" s="11">
        <v>0.26367263755068898</v>
      </c>
      <c r="H27" s="11">
        <v>0.31592906140531651</v>
      </c>
      <c r="I27" s="11">
        <v>0.32435262438855583</v>
      </c>
      <c r="J27" s="11">
        <v>0.31769459564847491</v>
      </c>
      <c r="K27" s="11">
        <v>0.36993839259955025</v>
      </c>
      <c r="L27" s="11">
        <v>0.59420360475520895</v>
      </c>
      <c r="M27" s="11">
        <v>0.89132049574396655</v>
      </c>
      <c r="N27" s="11">
        <v>1.2395641997608566</v>
      </c>
      <c r="O27" s="11">
        <v>1.4752056178682711</v>
      </c>
      <c r="P27" s="11">
        <v>1.6118844956119651</v>
      </c>
      <c r="Q27" s="11">
        <v>1.7345843356608253</v>
      </c>
      <c r="R27" s="11">
        <v>1.8517649167034407</v>
      </c>
      <c r="S27" s="11">
        <v>2.2041394687584268</v>
      </c>
      <c r="T27" s="11">
        <v>2.235667946504627</v>
      </c>
      <c r="U27" s="11">
        <v>2.3103206171595261</v>
      </c>
    </row>
    <row r="28" spans="1:21">
      <c r="A28" s="11" t="s">
        <v>31</v>
      </c>
      <c r="B28" s="11">
        <v>0.36343996464704331</v>
      </c>
      <c r="C28" s="11">
        <v>0.39184113756750505</v>
      </c>
      <c r="D28" s="11">
        <v>0.3297162061171604</v>
      </c>
      <c r="E28" s="11">
        <v>0.12200141626851391</v>
      </c>
      <c r="F28" s="11">
        <v>0.52355715800286295</v>
      </c>
      <c r="G28" s="11">
        <v>0.71001545355128981</v>
      </c>
      <c r="H28" s="11">
        <v>0.91737020283778714</v>
      </c>
      <c r="I28" s="11">
        <v>0.92153874011566217</v>
      </c>
      <c r="J28" s="11">
        <v>1.0375960718899673</v>
      </c>
      <c r="K28" s="11">
        <v>1.0749265117840947</v>
      </c>
      <c r="L28" s="11">
        <v>1.729435101623418</v>
      </c>
      <c r="M28" s="11">
        <v>2.4778847863865963</v>
      </c>
      <c r="N28" s="11">
        <v>3.5395349428854903</v>
      </c>
      <c r="O28" s="11">
        <v>4.0948734838139611</v>
      </c>
      <c r="P28" s="11">
        <v>4.18349646126262</v>
      </c>
      <c r="Q28" s="11">
        <v>4.3953577629305478</v>
      </c>
      <c r="R28" s="11">
        <v>4.555313645129595</v>
      </c>
      <c r="S28" s="11">
        <v>5.2262639591694295</v>
      </c>
      <c r="T28" s="11">
        <v>4.8875953622514361</v>
      </c>
      <c r="U28" s="11">
        <v>5.3871670795195143</v>
      </c>
    </row>
    <row r="29" spans="1:21">
      <c r="A29" s="11" t="s">
        <v>32</v>
      </c>
      <c r="B29" s="11">
        <v>0.16413756205157626</v>
      </c>
      <c r="C29" s="11">
        <v>0.18007377134329908</v>
      </c>
      <c r="D29" s="11">
        <v>0.15613406833338536</v>
      </c>
      <c r="E29" s="11">
        <v>0.16777622625801628</v>
      </c>
      <c r="F29" s="11">
        <v>0.28584335973939623</v>
      </c>
      <c r="G29" s="11">
        <v>0.43015628530748801</v>
      </c>
      <c r="H29" s="11">
        <v>0.50503457880159797</v>
      </c>
      <c r="I29" s="11">
        <v>0.52588255946823725</v>
      </c>
      <c r="J29" s="11">
        <v>0.54044318754726484</v>
      </c>
      <c r="K29" s="11">
        <v>0.56158207245711789</v>
      </c>
      <c r="L29" s="11">
        <v>0.85343520388597716</v>
      </c>
      <c r="M29" s="11">
        <v>1.1640328085393707</v>
      </c>
      <c r="N29" s="11">
        <v>1.6613682041366675</v>
      </c>
      <c r="O29" s="11">
        <v>1.9853932042734357</v>
      </c>
      <c r="P29" s="11">
        <v>1.943459343839451</v>
      </c>
      <c r="Q29" s="11">
        <v>2.082889450424708</v>
      </c>
      <c r="R29" s="11">
        <v>2.1384355167848721</v>
      </c>
      <c r="S29" s="11">
        <v>2.713344539664662</v>
      </c>
      <c r="T29" s="11">
        <v>2.5690457834857932</v>
      </c>
      <c r="U29" s="11">
        <v>2.738160352199063</v>
      </c>
    </row>
    <row r="30" spans="1:21">
      <c r="A30" s="11" t="s">
        <v>33</v>
      </c>
      <c r="B30" s="11">
        <v>0.38717939027635079</v>
      </c>
      <c r="C30" s="11">
        <v>0.38484927929671042</v>
      </c>
      <c r="D30" s="11">
        <v>0.33229053832626776</v>
      </c>
      <c r="E30" s="11">
        <v>0.33958426548898585</v>
      </c>
      <c r="F30" s="11">
        <v>0.53044817725704219</v>
      </c>
      <c r="G30" s="11">
        <v>0.80344610794533</v>
      </c>
      <c r="H30" s="11">
        <v>0.95598771216404999</v>
      </c>
      <c r="I30" s="11">
        <v>0.97374120788079555</v>
      </c>
      <c r="J30" s="11">
        <v>0.93801518582997212</v>
      </c>
      <c r="K30" s="11">
        <v>1.0679248476597436</v>
      </c>
      <c r="L30" s="11">
        <v>1.3488089479739229</v>
      </c>
      <c r="M30" s="11">
        <v>1.8052519490678052</v>
      </c>
      <c r="N30" s="11">
        <v>2.4440723026432947</v>
      </c>
      <c r="O30" s="11">
        <v>2.8564906925519273</v>
      </c>
      <c r="P30" s="11">
        <v>2.6582072913717711</v>
      </c>
      <c r="Q30" s="11">
        <v>2.7655136030657625</v>
      </c>
      <c r="R30" s="11">
        <v>2.8103255794675746</v>
      </c>
      <c r="S30" s="11">
        <v>3.1532060980155769</v>
      </c>
      <c r="T30" s="11">
        <v>3.0095146642131523</v>
      </c>
      <c r="U30" s="11">
        <v>3.2576650818321022</v>
      </c>
    </row>
    <row r="31" spans="1:21">
      <c r="A31" s="11" t="s">
        <v>34</v>
      </c>
      <c r="B31" s="11">
        <v>4.6648067715350718E-2</v>
      </c>
      <c r="C31" s="11">
        <v>5.1720653563686589E-2</v>
      </c>
      <c r="D31" s="11">
        <v>4.7643182590970959E-2</v>
      </c>
      <c r="E31" s="11">
        <v>4.9111639770279256E-2</v>
      </c>
      <c r="F31" s="11">
        <v>8.233998121377252E-2</v>
      </c>
      <c r="G31" s="11">
        <v>0.13576358381240908</v>
      </c>
      <c r="H31" s="11">
        <v>0.15415766404394593</v>
      </c>
      <c r="I31" s="11">
        <v>0.17144437555497077</v>
      </c>
      <c r="J31" s="11">
        <v>0.14882284708217797</v>
      </c>
      <c r="K31" s="11">
        <v>0.15132755564461614</v>
      </c>
      <c r="L31" s="11">
        <v>0.30016290425667902</v>
      </c>
      <c r="M31" s="11">
        <v>0.28220546292435811</v>
      </c>
      <c r="N31" s="11">
        <v>0.35686137329228879</v>
      </c>
      <c r="O31" s="11">
        <v>0.49821427212500691</v>
      </c>
      <c r="P31" s="11">
        <v>0.39596049196313415</v>
      </c>
      <c r="Q31" s="11">
        <v>0.37420525714668218</v>
      </c>
      <c r="R31" s="11">
        <v>0.37671097447100033</v>
      </c>
      <c r="S31" s="11">
        <v>0.43717729334877298</v>
      </c>
      <c r="T31" s="11">
        <v>0.44716207096149618</v>
      </c>
      <c r="U31" s="11">
        <v>0.48811260819690822</v>
      </c>
    </row>
    <row r="32" spans="1:2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</row>
    <row r="33" spans="1:21">
      <c r="A33" s="11" t="s">
        <v>35</v>
      </c>
      <c r="B33" s="11">
        <v>0.16479276762951148</v>
      </c>
      <c r="C33" s="11">
        <v>0.17816825124400515</v>
      </c>
      <c r="D33" s="11">
        <v>0.14124885317779498</v>
      </c>
      <c r="E33" s="11">
        <v>0.12577981833951637</v>
      </c>
      <c r="F33" s="11">
        <v>0.24160120214637221</v>
      </c>
      <c r="G33" s="11">
        <v>0.40420255013541895</v>
      </c>
      <c r="H33" s="11">
        <v>0.4881372289391539</v>
      </c>
      <c r="I33" s="11">
        <v>0.4866957348203847</v>
      </c>
      <c r="J33" s="11">
        <v>0.45435663363372825</v>
      </c>
      <c r="K33" s="11">
        <v>0.53911318074912062</v>
      </c>
      <c r="L33" s="11">
        <v>0.87302625591205407</v>
      </c>
      <c r="M33" s="11">
        <v>1.3530327974703629</v>
      </c>
      <c r="N33" s="11">
        <v>2.0327689724476552</v>
      </c>
      <c r="O33" s="11">
        <v>2.4360252144539194</v>
      </c>
      <c r="P33" s="11">
        <v>2.2165935642162875</v>
      </c>
      <c r="Q33" s="11">
        <v>2.303040660678501</v>
      </c>
      <c r="R33" s="11">
        <v>2.4042556459536617</v>
      </c>
      <c r="S33" s="11">
        <v>2.8046095497374721</v>
      </c>
      <c r="T33" s="11">
        <v>2.6301389454101507</v>
      </c>
      <c r="U33" s="11">
        <v>2.6624704594030586</v>
      </c>
    </row>
    <row r="34" spans="1:21">
      <c r="A34" s="11" t="s">
        <v>36</v>
      </c>
      <c r="B34" s="11">
        <v>0.1276901458829037</v>
      </c>
      <c r="C34" s="11">
        <v>0.13590941741612222</v>
      </c>
      <c r="D34" s="11">
        <v>0.1146184522809076</v>
      </c>
      <c r="E34" s="11">
        <v>0.1222563446010153</v>
      </c>
      <c r="F34" s="11">
        <v>0.20846018760040827</v>
      </c>
      <c r="G34" s="11">
        <v>0.29692245771518588</v>
      </c>
      <c r="H34" s="11">
        <v>0.34449223885074726</v>
      </c>
      <c r="I34" s="11">
        <v>0.36077113635189384</v>
      </c>
      <c r="J34" s="11">
        <v>0.37353508830665488</v>
      </c>
      <c r="K34" s="11">
        <v>0.434045218009395</v>
      </c>
      <c r="L34" s="11">
        <v>0.71769720056244402</v>
      </c>
      <c r="M34" s="11">
        <v>1.0066191191283524</v>
      </c>
      <c r="N34" s="11">
        <v>1.4276070420026965</v>
      </c>
      <c r="O34" s="11">
        <v>1.5611957840621316</v>
      </c>
      <c r="P34" s="11">
        <v>1.6060516498380042</v>
      </c>
      <c r="Q34" s="11">
        <v>1.5354640410218652</v>
      </c>
      <c r="R34" s="11">
        <v>1.550788836578807</v>
      </c>
      <c r="S34" s="11">
        <v>1.8270002359575512</v>
      </c>
      <c r="T34" s="11">
        <v>1.780815827189016</v>
      </c>
      <c r="U34" s="11">
        <v>1.9061993738717331</v>
      </c>
    </row>
    <row r="35" spans="1:21">
      <c r="A35" s="11" t="s">
        <v>37</v>
      </c>
      <c r="B35" s="11">
        <v>5.1001116538691764E-2</v>
      </c>
      <c r="C35" s="11">
        <v>5.2423022330798284E-2</v>
      </c>
      <c r="D35" s="11">
        <v>4.06744489038968E-2</v>
      </c>
      <c r="E35" s="11">
        <v>4.2821890138028146E-2</v>
      </c>
      <c r="F35" s="11">
        <v>8.761529163761772E-2</v>
      </c>
      <c r="G35" s="11">
        <v>0.12347499978957144</v>
      </c>
      <c r="H35" s="11">
        <v>0.15464519988137304</v>
      </c>
      <c r="I35" s="11">
        <v>0.17055926877828925</v>
      </c>
      <c r="J35" s="11">
        <v>0.18550205799407612</v>
      </c>
      <c r="K35" s="11">
        <v>0.21647388045449803</v>
      </c>
      <c r="L35" s="11">
        <v>0.34109420938258977</v>
      </c>
      <c r="M35" s="11">
        <v>0.42563833123637135</v>
      </c>
      <c r="N35" s="11">
        <v>0.52471061134149111</v>
      </c>
      <c r="O35" s="11">
        <v>0.60550760788226488</v>
      </c>
      <c r="P35" s="11">
        <v>0.53213500676292025</v>
      </c>
      <c r="Q35" s="11">
        <v>0.62274302345202281</v>
      </c>
      <c r="R35" s="11">
        <v>0.64178310468328281</v>
      </c>
      <c r="S35" s="11">
        <v>0.71696718207198473</v>
      </c>
      <c r="T35" s="11">
        <v>0.70798287763856005</v>
      </c>
      <c r="U35" s="11">
        <v>0.71894934115725828</v>
      </c>
    </row>
    <row r="36" spans="1:21">
      <c r="A36" s="11" t="s">
        <v>38</v>
      </c>
      <c r="B36" s="11">
        <v>3.6612288160505921E-2</v>
      </c>
      <c r="C36" s="11">
        <v>4.0813779053251335E-2</v>
      </c>
      <c r="D36" s="11">
        <v>3.2666144120915591E-2</v>
      </c>
      <c r="E36" s="11">
        <v>3.568844911964153E-2</v>
      </c>
      <c r="F36" s="11">
        <v>8.3200567640373424E-2</v>
      </c>
      <c r="G36" s="11">
        <v>0.10399364311442072</v>
      </c>
      <c r="H36" s="11">
        <v>0.13082308950170068</v>
      </c>
      <c r="I36" s="11">
        <v>0.11713271717306438</v>
      </c>
      <c r="J36" s="11">
        <v>0.11306265754978573</v>
      </c>
      <c r="K36" s="11">
        <v>0.13103114289856713</v>
      </c>
      <c r="L36" s="11">
        <v>0.19975876262303463</v>
      </c>
      <c r="M36" s="11">
        <v>0.29532327037527628</v>
      </c>
      <c r="N36" s="11">
        <v>0.37026992647620016</v>
      </c>
      <c r="O36" s="11">
        <v>0.52900279455969834</v>
      </c>
      <c r="P36" s="11">
        <v>0.4609069862539712</v>
      </c>
      <c r="Q36" s="11">
        <v>0.4774950249692852</v>
      </c>
      <c r="R36" s="11">
        <v>0.50274879864248434</v>
      </c>
      <c r="S36" s="11">
        <v>0.58400658896591096</v>
      </c>
      <c r="T36" s="11">
        <v>0.52769396622542175</v>
      </c>
      <c r="U36" s="11">
        <v>0.57224349364573934</v>
      </c>
    </row>
    <row r="37" spans="1:21">
      <c r="A37" s="11" t="s">
        <v>39</v>
      </c>
      <c r="B37" s="11">
        <v>0.17933576202603504</v>
      </c>
      <c r="C37" s="11">
        <v>0.18864861179012182</v>
      </c>
      <c r="D37" s="11">
        <v>0.15801480657787337</v>
      </c>
      <c r="E37" s="11">
        <v>0.16158359218100377</v>
      </c>
      <c r="F37" s="11">
        <v>0.29106593815180759</v>
      </c>
      <c r="G37" s="11">
        <v>0.43909419884011763</v>
      </c>
      <c r="H37" s="11">
        <v>0.53193371177197801</v>
      </c>
      <c r="I37" s="11">
        <v>0.52438944621274108</v>
      </c>
      <c r="J37" s="11">
        <v>0.54202792373014863</v>
      </c>
      <c r="K37" s="11">
        <v>0.55986764628835151</v>
      </c>
      <c r="L37" s="11">
        <v>0.80148393199539814</v>
      </c>
      <c r="M37" s="11">
        <v>1.0121424064761078</v>
      </c>
      <c r="N37" s="11">
        <v>1.3721957920980992</v>
      </c>
      <c r="O37" s="11">
        <v>1.6103330218871945</v>
      </c>
      <c r="P37" s="11">
        <v>1.4854687804724607</v>
      </c>
      <c r="Q37" s="11">
        <v>1.5113251083210963</v>
      </c>
      <c r="R37" s="11">
        <v>1.5045064011449161</v>
      </c>
      <c r="S37" s="11">
        <v>1.8102683174442027</v>
      </c>
      <c r="T37" s="11">
        <v>1.7374524989699789</v>
      </c>
      <c r="U37" s="11">
        <v>1.7888625999704613</v>
      </c>
    </row>
    <row r="38" spans="1:21">
      <c r="A38" s="10"/>
    </row>
  </sheetData>
  <phoneticPr fontId="6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27ED1-49B0-DF4D-ADA1-64C642AE80BF}">
  <dimension ref="A1:V40"/>
  <sheetViews>
    <sheetView workbookViewId="0">
      <selection activeCell="E19" sqref="E19"/>
    </sheetView>
  </sheetViews>
  <sheetFormatPr baseColWidth="10" defaultRowHeight="16"/>
  <cols>
    <col min="1" max="1" width="19" customWidth="1"/>
  </cols>
  <sheetData>
    <row r="1" spans="1:22" ht="17">
      <c r="A1" s="23" t="s">
        <v>1</v>
      </c>
      <c r="B1" s="23">
        <v>1997</v>
      </c>
      <c r="C1" s="23">
        <v>1998</v>
      </c>
      <c r="D1" s="23">
        <v>1999</v>
      </c>
      <c r="E1" s="23">
        <v>2000</v>
      </c>
      <c r="F1" s="23">
        <v>2001</v>
      </c>
      <c r="G1" s="23">
        <v>2002</v>
      </c>
      <c r="H1" s="23">
        <v>2003</v>
      </c>
      <c r="I1" s="23">
        <v>2004</v>
      </c>
      <c r="J1" s="23">
        <v>2005</v>
      </c>
      <c r="K1" s="23">
        <v>2006</v>
      </c>
      <c r="L1" s="23">
        <v>2007</v>
      </c>
      <c r="M1" s="23">
        <v>2008</v>
      </c>
      <c r="N1" s="23">
        <v>2009</v>
      </c>
      <c r="O1" s="23">
        <v>2010</v>
      </c>
      <c r="P1" s="23">
        <v>2011</v>
      </c>
      <c r="Q1" s="23">
        <v>2012</v>
      </c>
      <c r="R1" s="23">
        <v>2013</v>
      </c>
      <c r="S1" s="23">
        <v>2014</v>
      </c>
      <c r="T1" s="23">
        <v>2015</v>
      </c>
      <c r="U1" s="23">
        <v>2016</v>
      </c>
    </row>
    <row r="2" spans="1:22">
      <c r="A2" s="16" t="s">
        <v>9</v>
      </c>
      <c r="B2" s="16">
        <v>1.6757244816950165</v>
      </c>
      <c r="C2" s="16">
        <v>0.89316672404520236</v>
      </c>
      <c r="D2" s="16">
        <v>0.79312870552341153</v>
      </c>
      <c r="E2" s="16">
        <v>0.94350832135470042</v>
      </c>
      <c r="F2" s="16">
        <v>1.4708910950928182</v>
      </c>
      <c r="G2" s="16">
        <v>1.3985342691814024</v>
      </c>
      <c r="H2" s="16">
        <v>2.0361937199800524</v>
      </c>
      <c r="I2" s="16">
        <v>2.2821819203906277</v>
      </c>
      <c r="J2" s="16">
        <v>2.1599727206548596</v>
      </c>
      <c r="K2" s="16">
        <v>3.2187079634305489</v>
      </c>
      <c r="L2" s="16">
        <v>22.843699255153911</v>
      </c>
      <c r="M2" s="16">
        <v>50.926291972626707</v>
      </c>
      <c r="N2" s="16">
        <v>43.944149887799327</v>
      </c>
      <c r="O2" s="16">
        <v>57.73366647661345</v>
      </c>
      <c r="P2" s="16">
        <v>9.1996047263167906</v>
      </c>
      <c r="Q2" s="16">
        <v>28.708837374225027</v>
      </c>
      <c r="R2" s="16">
        <v>19.427910369205051</v>
      </c>
      <c r="S2" s="16">
        <v>16.223651290070361</v>
      </c>
      <c r="T2" s="16">
        <v>21.921819553761285</v>
      </c>
      <c r="U2" s="16">
        <v>29.635627976408628</v>
      </c>
      <c r="V2" s="16"/>
    </row>
    <row r="3" spans="1:22">
      <c r="A3" s="11" t="s">
        <v>10</v>
      </c>
      <c r="B3" s="16">
        <v>0.56750870023556355</v>
      </c>
      <c r="C3" s="16">
        <v>0.39137196045799166</v>
      </c>
      <c r="D3" s="16">
        <v>0.30248204444566612</v>
      </c>
      <c r="E3" s="16">
        <v>0.32697225326422391</v>
      </c>
      <c r="F3" s="16">
        <v>0.66936458943382848</v>
      </c>
      <c r="G3" s="16">
        <v>0.55637362426495973</v>
      </c>
      <c r="H3" s="16">
        <v>0.80207567870235097</v>
      </c>
      <c r="I3" s="16">
        <v>0.67890632302618892</v>
      </c>
      <c r="J3" s="16">
        <v>0.563781393511814</v>
      </c>
      <c r="K3" s="16">
        <v>0.86560776367104864</v>
      </c>
      <c r="L3" s="16">
        <v>5.8610760554927985</v>
      </c>
      <c r="M3" s="16">
        <v>8.97468941297317</v>
      </c>
      <c r="N3" s="16">
        <v>14.772548925360702</v>
      </c>
      <c r="O3" s="16">
        <v>17.48884212579522</v>
      </c>
      <c r="P3" s="16">
        <v>4.4986214955879165</v>
      </c>
      <c r="Q3" s="16">
        <v>10.271158957196276</v>
      </c>
      <c r="R3" s="16">
        <v>7.5451938885881127</v>
      </c>
      <c r="S3" s="16">
        <v>7.1798447447782845</v>
      </c>
      <c r="T3" s="16">
        <v>7.3322379916649716</v>
      </c>
      <c r="U3" s="16">
        <v>9.3497941380816183</v>
      </c>
      <c r="V3" s="16"/>
    </row>
    <row r="4" spans="1:22">
      <c r="A4" s="11" t="s">
        <v>11</v>
      </c>
      <c r="B4" s="16">
        <v>1.6677255488892069</v>
      </c>
      <c r="C4" s="16">
        <v>2.4638777630938078</v>
      </c>
      <c r="D4" s="16">
        <v>2.1131403323117519</v>
      </c>
      <c r="E4" s="16">
        <v>2.9489850191176772</v>
      </c>
      <c r="F4" s="16">
        <v>3.7834394620895364</v>
      </c>
      <c r="G4" s="16">
        <v>4.2298876598539081</v>
      </c>
      <c r="H4" s="16">
        <v>5.263325890865187</v>
      </c>
      <c r="I4" s="16">
        <v>4.8627343333801791</v>
      </c>
      <c r="J4" s="16">
        <v>4.6131884307697071</v>
      </c>
      <c r="K4" s="16">
        <v>6.0787426365677835</v>
      </c>
      <c r="L4" s="16">
        <v>22.774664201496751</v>
      </c>
      <c r="M4" s="16">
        <v>18.329662275648595</v>
      </c>
      <c r="N4" s="16">
        <v>48.124327061460249</v>
      </c>
      <c r="O4" s="16">
        <v>58.005590965470319</v>
      </c>
      <c r="P4" s="16">
        <v>12.075174222931683</v>
      </c>
      <c r="Q4" s="16">
        <v>33.806139973324385</v>
      </c>
      <c r="R4" s="16">
        <v>24.019398052129475</v>
      </c>
      <c r="S4" s="16">
        <v>23.458696526304024</v>
      </c>
      <c r="T4" s="16">
        <v>24.012189587995056</v>
      </c>
      <c r="U4" s="16">
        <v>21.110815674040094</v>
      </c>
      <c r="V4" s="16"/>
    </row>
    <row r="5" spans="1:22">
      <c r="A5" s="11" t="s">
        <v>12</v>
      </c>
      <c r="B5" s="16">
        <v>0.86544297669091697</v>
      </c>
      <c r="C5" s="16">
        <v>1.1065821483475773</v>
      </c>
      <c r="D5" s="16">
        <v>0.89947305636106267</v>
      </c>
      <c r="E5" s="16">
        <v>0.88739566369774314</v>
      </c>
      <c r="F5" s="16">
        <v>1.4369303045367254</v>
      </c>
      <c r="G5" s="16">
        <v>1.6901712926046109</v>
      </c>
      <c r="H5" s="16">
        <v>2.2396208540757137</v>
      </c>
      <c r="I5" s="16">
        <v>3.0068012445705281</v>
      </c>
      <c r="J5" s="16">
        <v>2.9448731868625462</v>
      </c>
      <c r="K5" s="16">
        <v>4.2094025678024254</v>
      </c>
      <c r="L5" s="16">
        <v>19.433367604490254</v>
      </c>
      <c r="M5" s="16">
        <v>21.295873183326169</v>
      </c>
      <c r="N5" s="16">
        <v>27.991350795465024</v>
      </c>
      <c r="O5" s="16">
        <v>49.039532819189368</v>
      </c>
      <c r="P5" s="16">
        <v>8.2668002896738813</v>
      </c>
      <c r="Q5" s="16">
        <v>22.944928196777646</v>
      </c>
      <c r="R5" s="16">
        <v>15.132296208017083</v>
      </c>
      <c r="S5" s="16">
        <v>12.881374958114593</v>
      </c>
      <c r="T5" s="16">
        <v>15.486090030130592</v>
      </c>
      <c r="U5" s="16">
        <v>16.195298902916303</v>
      </c>
      <c r="V5" s="16"/>
    </row>
    <row r="6" spans="1:22">
      <c r="A6" s="11" t="s">
        <v>13</v>
      </c>
      <c r="B6" s="16">
        <v>0.8963479443497272</v>
      </c>
      <c r="C6" s="16">
        <v>1.0121232015001971</v>
      </c>
      <c r="D6" s="16">
        <v>0.76547037642757998</v>
      </c>
      <c r="E6" s="16">
        <v>0.68239929616735595</v>
      </c>
      <c r="F6" s="16">
        <v>1.2731407818394778</v>
      </c>
      <c r="G6" s="16">
        <v>1.4796191436649024</v>
      </c>
      <c r="H6" s="16">
        <v>1.8753546750190293</v>
      </c>
      <c r="I6" s="16">
        <v>1.9534836739996535</v>
      </c>
      <c r="J6" s="16">
        <v>2.1478832660868759</v>
      </c>
      <c r="K6" s="16">
        <v>2.9172367318042429</v>
      </c>
      <c r="L6" s="16">
        <v>33.475097518356392</v>
      </c>
      <c r="M6" s="16">
        <v>31.252961508030161</v>
      </c>
      <c r="N6" s="16">
        <v>39.710189162225682</v>
      </c>
      <c r="O6" s="16">
        <v>45.091040241267542</v>
      </c>
      <c r="P6" s="16">
        <v>13.004744567917088</v>
      </c>
      <c r="Q6" s="16">
        <v>35.478545169886559</v>
      </c>
      <c r="R6" s="16">
        <v>24.745252074293141</v>
      </c>
      <c r="S6" s="16">
        <v>22.13464090249078</v>
      </c>
      <c r="T6" s="16">
        <v>21.710483810676276</v>
      </c>
      <c r="U6" s="16">
        <v>25.104096653208202</v>
      </c>
      <c r="V6" s="16"/>
    </row>
    <row r="7" spans="1:22">
      <c r="A7" s="11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</row>
    <row r="8" spans="1:22">
      <c r="A8" s="11" t="s">
        <v>14</v>
      </c>
      <c r="B8" s="16">
        <v>2.5541007977927297</v>
      </c>
      <c r="C8" s="16">
        <v>2.5856297545520737</v>
      </c>
      <c r="D8" s="16">
        <v>2.1240826931270016</v>
      </c>
      <c r="E8" s="16">
        <v>1.9077834825941393</v>
      </c>
      <c r="F8" s="16">
        <v>2.3401836362583928</v>
      </c>
      <c r="G8" s="16">
        <v>3.1138318031989964</v>
      </c>
      <c r="H8" s="16">
        <v>4.3707998145215621</v>
      </c>
      <c r="I8" s="16">
        <v>4.6215512110704022</v>
      </c>
      <c r="J8" s="16">
        <v>6.9478685131692055</v>
      </c>
      <c r="K8" s="16">
        <v>7.0006309460275542</v>
      </c>
      <c r="L8" s="16">
        <v>18.584236444507201</v>
      </c>
      <c r="M8" s="16">
        <v>23.609264169014871</v>
      </c>
      <c r="N8" s="16">
        <v>31.851814632755882</v>
      </c>
      <c r="O8" s="16">
        <v>52.257926769495441</v>
      </c>
      <c r="P8" s="16">
        <v>10.188774760419053</v>
      </c>
      <c r="Q8" s="16">
        <v>30.162181045040331</v>
      </c>
      <c r="R8" s="16">
        <v>25.355438827336037</v>
      </c>
      <c r="S8" s="16">
        <v>23.508603819948611</v>
      </c>
      <c r="T8" s="16">
        <v>20.019797865996253</v>
      </c>
      <c r="U8" s="16">
        <v>15.792868739153823</v>
      </c>
      <c r="V8" s="16"/>
    </row>
    <row r="9" spans="1:22">
      <c r="A9" s="11" t="s">
        <v>15</v>
      </c>
      <c r="B9" s="16">
        <v>1.7815285474445901</v>
      </c>
      <c r="C9" s="16">
        <v>2.0245406676323174</v>
      </c>
      <c r="D9" s="16">
        <v>1.5097708588156069</v>
      </c>
      <c r="E9" s="16">
        <v>1.269871163967679</v>
      </c>
      <c r="F9" s="16">
        <v>1.9940946637974479</v>
      </c>
      <c r="G9" s="16">
        <v>1.9724579017615373</v>
      </c>
      <c r="H9" s="16">
        <v>2.8289039624143695</v>
      </c>
      <c r="I9" s="16">
        <v>2.3606208553807742</v>
      </c>
      <c r="J9" s="16">
        <v>2.3848955485684642</v>
      </c>
      <c r="K9" s="16">
        <v>3.5194965929247903</v>
      </c>
      <c r="L9" s="16">
        <v>16.216334104066647</v>
      </c>
      <c r="M9" s="16">
        <v>18.570508460460022</v>
      </c>
      <c r="N9" s="16">
        <v>17.228664462708295</v>
      </c>
      <c r="O9" s="16">
        <v>33.442987136398187</v>
      </c>
      <c r="P9" s="16">
        <v>6.9204941339644028</v>
      </c>
      <c r="Q9" s="16">
        <v>15.094045774042826</v>
      </c>
      <c r="R9" s="16">
        <v>14.253057328975881</v>
      </c>
      <c r="S9" s="16">
        <v>17.324636434714616</v>
      </c>
      <c r="T9" s="16">
        <v>14.224749331928516</v>
      </c>
      <c r="U9" s="16">
        <v>16.939794705876892</v>
      </c>
      <c r="V9" s="16"/>
    </row>
    <row r="10" spans="1:22">
      <c r="A10" s="11" t="s">
        <v>16</v>
      </c>
      <c r="B10" s="16">
        <v>1.2918795892603823</v>
      </c>
      <c r="C10" s="16">
        <v>1.6392746982867348</v>
      </c>
      <c r="D10" s="16">
        <v>1.5667921058779877</v>
      </c>
      <c r="E10" s="16">
        <v>1.8832664233171228</v>
      </c>
      <c r="F10" s="16">
        <v>3.1024089522356757</v>
      </c>
      <c r="G10" s="16">
        <v>3.3256306740408759</v>
      </c>
      <c r="H10" s="16">
        <v>4.1119687311350059</v>
      </c>
      <c r="I10" s="16">
        <v>3.3589278652412493</v>
      </c>
      <c r="J10" s="16">
        <v>3.1064295809551838</v>
      </c>
      <c r="K10" s="16">
        <v>4.8968853051112307</v>
      </c>
      <c r="L10" s="16">
        <v>29.381318836486869</v>
      </c>
      <c r="M10" s="16">
        <v>33.167054871531491</v>
      </c>
      <c r="N10" s="16">
        <v>31.009205652789923</v>
      </c>
      <c r="O10" s="16">
        <v>55.025596567038761</v>
      </c>
      <c r="P10" s="16">
        <v>11.544783191101041</v>
      </c>
      <c r="Q10" s="16">
        <v>26.67721838544351</v>
      </c>
      <c r="R10" s="16">
        <v>20.46807762267515</v>
      </c>
      <c r="S10" s="16">
        <v>17.918986931754713</v>
      </c>
      <c r="T10" s="16">
        <v>20.174777410925255</v>
      </c>
      <c r="U10" s="16">
        <v>20.993440209609371</v>
      </c>
      <c r="V10" s="16"/>
    </row>
    <row r="11" spans="1:22">
      <c r="A11" s="11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</row>
    <row r="12" spans="1:22">
      <c r="A12" s="11" t="s">
        <v>17</v>
      </c>
      <c r="B12" s="16">
        <v>1.4362759087418822</v>
      </c>
      <c r="C12" s="16">
        <v>2.5848940929722657</v>
      </c>
      <c r="D12" s="16">
        <v>1.8058744416805244</v>
      </c>
      <c r="E12" s="16">
        <v>1.5358554743649848</v>
      </c>
      <c r="F12" s="16">
        <v>1.9731997041117904</v>
      </c>
      <c r="G12" s="16">
        <v>1.7740373159467995</v>
      </c>
      <c r="H12" s="16">
        <v>1.9642770277955188</v>
      </c>
      <c r="I12" s="16">
        <v>2.298563334847648</v>
      </c>
      <c r="J12" s="16">
        <v>2.1731826612559728</v>
      </c>
      <c r="K12" s="16">
        <v>2.7640949434755622</v>
      </c>
      <c r="L12" s="16">
        <v>11.204389208556904</v>
      </c>
      <c r="M12" s="16">
        <v>10.825402201524135</v>
      </c>
      <c r="N12" s="16">
        <v>24.453588269650488</v>
      </c>
      <c r="O12" s="16">
        <v>29.9601186832313</v>
      </c>
      <c r="P12" s="16">
        <v>6.3314274392047656</v>
      </c>
      <c r="Q12" s="16">
        <v>13.592414347552142</v>
      </c>
      <c r="R12" s="16">
        <v>12.108183838540755</v>
      </c>
      <c r="S12" s="16">
        <v>11.887009940801962</v>
      </c>
      <c r="T12" s="16">
        <v>20.372024104471258</v>
      </c>
      <c r="U12" s="16">
        <v>33.861144695914668</v>
      </c>
      <c r="V12" s="16"/>
    </row>
    <row r="13" spans="1:22">
      <c r="A13" s="11" t="s">
        <v>18</v>
      </c>
      <c r="B13" s="16">
        <v>2.4141714148131759</v>
      </c>
      <c r="C13" s="16">
        <v>2.002029423290185</v>
      </c>
      <c r="D13" s="16">
        <v>1.5596988167062931</v>
      </c>
      <c r="E13" s="16">
        <v>1.7731506064113649</v>
      </c>
      <c r="F13" s="16">
        <v>2.5244014818244964</v>
      </c>
      <c r="G13" s="16">
        <v>3.1307584505630857</v>
      </c>
      <c r="H13" s="16">
        <v>4.8806738816612576</v>
      </c>
      <c r="I13" s="16">
        <v>6.3400870308756776</v>
      </c>
      <c r="J13" s="16">
        <v>5.6799501072587448</v>
      </c>
      <c r="K13" s="16">
        <v>10.03940498744589</v>
      </c>
      <c r="L13" s="16">
        <v>54.641244969641349</v>
      </c>
      <c r="M13" s="16">
        <v>74.288371899335118</v>
      </c>
      <c r="N13" s="16">
        <v>68.983381278277221</v>
      </c>
      <c r="O13" s="16">
        <v>102.80980674588884</v>
      </c>
      <c r="P13" s="16">
        <v>18.096590876110003</v>
      </c>
      <c r="Q13" s="16">
        <v>51.418215543317864</v>
      </c>
      <c r="R13" s="16">
        <v>37.598567813184353</v>
      </c>
      <c r="S13" s="16">
        <v>37.576411258795922</v>
      </c>
      <c r="T13" s="16">
        <v>40.62169593663014</v>
      </c>
      <c r="U13" s="16">
        <v>42.909954607348929</v>
      </c>
      <c r="V13" s="16"/>
    </row>
    <row r="14" spans="1:22">
      <c r="A14" s="11" t="s">
        <v>19</v>
      </c>
      <c r="B14" s="16">
        <v>2.4734881762692451</v>
      </c>
      <c r="C14" s="16">
        <v>3.7718840519928851</v>
      </c>
      <c r="D14" s="16">
        <v>3.1060358561356733</v>
      </c>
      <c r="E14" s="16">
        <v>2.9900967992055225</v>
      </c>
      <c r="F14" s="16">
        <v>5.4900858467373981</v>
      </c>
      <c r="G14" s="16">
        <v>6.0777692730831383</v>
      </c>
      <c r="H14" s="16">
        <v>8.1679420117411361</v>
      </c>
      <c r="I14" s="16">
        <v>8.2531705948968686</v>
      </c>
      <c r="J14" s="16">
        <v>7.14168311042617</v>
      </c>
      <c r="K14" s="16">
        <v>10.254185748299998</v>
      </c>
      <c r="L14" s="16">
        <v>31.114098683281554</v>
      </c>
      <c r="M14" s="16">
        <v>37.660737635513122</v>
      </c>
      <c r="N14" s="16">
        <v>73.611754717877503</v>
      </c>
      <c r="O14" s="16">
        <v>86.930161595246659</v>
      </c>
      <c r="P14" s="16">
        <v>12.658696760564171</v>
      </c>
      <c r="Q14" s="16">
        <v>33.876804981629824</v>
      </c>
      <c r="R14" s="16">
        <v>31.222619145056186</v>
      </c>
      <c r="S14" s="16">
        <v>29.36439294091365</v>
      </c>
      <c r="T14" s="16">
        <v>41.054748827723621</v>
      </c>
      <c r="U14" s="16">
        <v>38.880622592677099</v>
      </c>
      <c r="V14" s="16"/>
    </row>
    <row r="15" spans="1:22">
      <c r="A15" s="11" t="s">
        <v>20</v>
      </c>
      <c r="B15" s="16">
        <v>1.0419389096398868</v>
      </c>
      <c r="C15" s="16">
        <v>1.2391483650290245</v>
      </c>
      <c r="D15" s="16">
        <v>0.94659669062573015</v>
      </c>
      <c r="E15" s="16">
        <v>1.0606557996209793</v>
      </c>
      <c r="F15" s="16">
        <v>1.2568084932514334</v>
      </c>
      <c r="G15" s="16">
        <v>1.5038343190724526</v>
      </c>
      <c r="H15" s="16">
        <v>1.6918907077052292</v>
      </c>
      <c r="I15" s="16">
        <v>1.7590097199389481</v>
      </c>
      <c r="J15" s="16">
        <v>2.5271088153523276</v>
      </c>
      <c r="K15" s="16">
        <v>5.9964208194407984</v>
      </c>
      <c r="L15" s="16">
        <v>34.172351560293698</v>
      </c>
      <c r="M15" s="16">
        <v>32.84381393928458</v>
      </c>
      <c r="N15" s="16">
        <v>42.6473686916815</v>
      </c>
      <c r="O15" s="16">
        <v>46.510262573520578</v>
      </c>
      <c r="P15" s="16">
        <v>10.145345529589715</v>
      </c>
      <c r="Q15" s="16">
        <v>27.932700033003567</v>
      </c>
      <c r="R15" s="16">
        <v>23.134291992770549</v>
      </c>
      <c r="S15" s="16">
        <v>25.5873182173573</v>
      </c>
      <c r="T15" s="16">
        <v>28.472486060473301</v>
      </c>
      <c r="U15" s="16">
        <v>28.620330209082869</v>
      </c>
      <c r="V15" s="16"/>
    </row>
    <row r="16" spans="1:22">
      <c r="A16" s="11" t="s">
        <v>21</v>
      </c>
      <c r="B16" s="16">
        <v>1.6489228626833425</v>
      </c>
      <c r="C16" s="16">
        <v>2.3426407347414075</v>
      </c>
      <c r="D16" s="16">
        <v>1.9268452647636851</v>
      </c>
      <c r="E16" s="16">
        <v>1.6844110400415904</v>
      </c>
      <c r="F16" s="16">
        <v>2.1928300992195906</v>
      </c>
      <c r="G16" s="16">
        <v>2.643913547765349</v>
      </c>
      <c r="H16" s="16">
        <v>3.4612680775859808</v>
      </c>
      <c r="I16" s="16">
        <v>3.307127176282564</v>
      </c>
      <c r="J16" s="16">
        <v>3.264388625151982</v>
      </c>
      <c r="K16" s="16">
        <v>4.9954871830879544</v>
      </c>
      <c r="L16" s="16">
        <v>18.384034788901438</v>
      </c>
      <c r="M16" s="16">
        <v>28.907880234866262</v>
      </c>
      <c r="N16" s="16">
        <v>38.132538306119201</v>
      </c>
      <c r="O16" s="16">
        <v>46.640637328451959</v>
      </c>
      <c r="P16" s="16">
        <v>11.090624319768711</v>
      </c>
      <c r="Q16" s="16">
        <v>32.044225766241979</v>
      </c>
      <c r="R16" s="16">
        <v>23.410887636320215</v>
      </c>
      <c r="S16" s="16">
        <v>23.511628504411917</v>
      </c>
      <c r="T16" s="16">
        <v>25.671731317904666</v>
      </c>
      <c r="U16" s="16">
        <v>24.117304355815623</v>
      </c>
      <c r="V16" s="16"/>
    </row>
    <row r="17" spans="1:22">
      <c r="A17" s="11" t="s">
        <v>22</v>
      </c>
      <c r="B17" s="16">
        <v>1.3572215208818668</v>
      </c>
      <c r="C17" s="16">
        <v>1.4741186736197813</v>
      </c>
      <c r="D17" s="16">
        <v>1.2076187347965315</v>
      </c>
      <c r="E17" s="16">
        <v>1.029904000604301</v>
      </c>
      <c r="F17" s="16">
        <v>1.462024995573594</v>
      </c>
      <c r="G17" s="16">
        <v>1.9555312543974477</v>
      </c>
      <c r="H17" s="16">
        <v>2.4930298427807767</v>
      </c>
      <c r="I17" s="16">
        <v>2.7422635381362164</v>
      </c>
      <c r="J17" s="16">
        <v>2.8819195636853636</v>
      </c>
      <c r="K17" s="16">
        <v>3.9427440449114108</v>
      </c>
      <c r="L17" s="16">
        <v>21.393963128353569</v>
      </c>
      <c r="M17" s="16">
        <v>23.831096181341188</v>
      </c>
      <c r="N17" s="16">
        <v>33.752166800338692</v>
      </c>
      <c r="O17" s="16">
        <v>39.972899861961345</v>
      </c>
      <c r="P17" s="16">
        <v>10.07419551312463</v>
      </c>
      <c r="Q17" s="16">
        <v>22.704667168539142</v>
      </c>
      <c r="R17" s="16">
        <v>17.344223187797581</v>
      </c>
      <c r="S17" s="16">
        <v>21.88812911873114</v>
      </c>
      <c r="T17" s="16">
        <v>18.329111921316219</v>
      </c>
      <c r="U17" s="16">
        <v>18.737316104015967</v>
      </c>
      <c r="V17" s="16"/>
    </row>
    <row r="18" spans="1:22">
      <c r="A18" s="11" t="s">
        <v>23</v>
      </c>
      <c r="B18" s="16">
        <v>2.0506355011257593</v>
      </c>
      <c r="C18" s="16">
        <v>2.3276332385133189</v>
      </c>
      <c r="D18" s="16">
        <v>1.7143765100394432</v>
      </c>
      <c r="E18" s="16">
        <v>2.1145143265934547</v>
      </c>
      <c r="F18" s="16">
        <v>4.0985230105007968</v>
      </c>
      <c r="G18" s="16">
        <v>3.9235297278166041</v>
      </c>
      <c r="H18" s="16">
        <v>4.3887420187403219</v>
      </c>
      <c r="I18" s="16">
        <v>4.5768343770120499</v>
      </c>
      <c r="J18" s="16">
        <v>4.9772874185879017</v>
      </c>
      <c r="K18" s="16">
        <v>6.6464628298058654</v>
      </c>
      <c r="L18" s="16">
        <v>18.639464487432928</v>
      </c>
      <c r="M18" s="16">
        <v>19.045862772587839</v>
      </c>
      <c r="N18" s="16">
        <v>52.065466226620202</v>
      </c>
      <c r="O18" s="16">
        <v>85.861088604809339</v>
      </c>
      <c r="P18" s="16">
        <v>13.625228153063906</v>
      </c>
      <c r="Q18" s="16">
        <v>38.033085220128356</v>
      </c>
      <c r="R18" s="16">
        <v>31.108628213169048</v>
      </c>
      <c r="S18" s="16">
        <v>30.181813917122739</v>
      </c>
      <c r="T18" s="16">
        <v>34.161495958536975</v>
      </c>
      <c r="U18" s="16">
        <v>31.258762970250629</v>
      </c>
      <c r="V18" s="16"/>
    </row>
    <row r="19" spans="1:22">
      <c r="A19" s="11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</row>
    <row r="20" spans="1:22">
      <c r="A20" s="11" t="s">
        <v>24</v>
      </c>
      <c r="B20" s="16">
        <v>1.1195389460806642</v>
      </c>
      <c r="C20" s="16">
        <v>1.2583491322620202</v>
      </c>
      <c r="D20" s="16">
        <v>1.0037828979014061</v>
      </c>
      <c r="E20" s="16">
        <v>1.6847860619808182</v>
      </c>
      <c r="F20" s="16">
        <v>2.6506526650368412</v>
      </c>
      <c r="G20" s="16">
        <v>1.9899120083919297</v>
      </c>
      <c r="H20" s="16">
        <v>2.9347826840129838</v>
      </c>
      <c r="I20" s="16">
        <v>4.3854227143926341</v>
      </c>
      <c r="J20" s="16">
        <v>2.8828926173457137</v>
      </c>
      <c r="K20" s="16">
        <v>6.0658073261651602</v>
      </c>
      <c r="L20" s="16">
        <v>27.82112662383507</v>
      </c>
      <c r="M20" s="16">
        <v>27.361394206077104</v>
      </c>
      <c r="N20" s="16">
        <v>53.072413837430588</v>
      </c>
      <c r="O20" s="16">
        <v>64.755278277917796</v>
      </c>
      <c r="P20" s="16">
        <v>12.992270214381</v>
      </c>
      <c r="Q20" s="16">
        <v>35.383147408674212</v>
      </c>
      <c r="R20" s="16">
        <v>29.016559345593411</v>
      </c>
      <c r="S20" s="16">
        <v>27.588903160951627</v>
      </c>
      <c r="T20" s="16">
        <v>27.511464576128859</v>
      </c>
      <c r="U20" s="16">
        <v>29.173671684256284</v>
      </c>
      <c r="V20" s="16"/>
    </row>
    <row r="21" spans="1:22">
      <c r="A21" s="11" t="s">
        <v>25</v>
      </c>
      <c r="B21" s="16">
        <v>1.232978356781238</v>
      </c>
      <c r="C21" s="16">
        <v>1.0871606826406393</v>
      </c>
      <c r="D21" s="16">
        <v>2.0192229842090077</v>
      </c>
      <c r="E21" s="16">
        <v>1.8533584236637071</v>
      </c>
      <c r="F21" s="16">
        <v>2.1493810267218718</v>
      </c>
      <c r="G21" s="16">
        <v>2.6562848651022759</v>
      </c>
      <c r="H21" s="16">
        <v>2.2415432330991525</v>
      </c>
      <c r="I21" s="16">
        <v>2.6579582858067323</v>
      </c>
      <c r="J21" s="16">
        <v>3.1008566372640889</v>
      </c>
      <c r="K21" s="16">
        <v>4.7993755905458109</v>
      </c>
      <c r="L21" s="16">
        <v>20.855489709827729</v>
      </c>
      <c r="M21" s="16">
        <v>24.281098263488854</v>
      </c>
      <c r="N21" s="16">
        <v>25.373884602379267</v>
      </c>
      <c r="O21" s="16">
        <v>46.201088154683305</v>
      </c>
      <c r="P21" s="16">
        <v>11.789650130883482</v>
      </c>
      <c r="Q21" s="16">
        <v>25.048389944003031</v>
      </c>
      <c r="R21" s="16">
        <v>25.884323224547664</v>
      </c>
      <c r="S21" s="16">
        <v>29.947400871216342</v>
      </c>
      <c r="T21" s="16">
        <v>33.520814968974015</v>
      </c>
      <c r="U21" s="16">
        <v>32.848362117112423</v>
      </c>
      <c r="V21" s="16"/>
    </row>
    <row r="22" spans="1:22">
      <c r="A22" s="11" t="s">
        <v>26</v>
      </c>
      <c r="B22" s="16">
        <v>1.1896075198146723</v>
      </c>
      <c r="C22" s="16">
        <v>1.4737508428298771</v>
      </c>
      <c r="D22" s="16">
        <v>1.152357063342633</v>
      </c>
      <c r="E22" s="16">
        <v>1.4420999895580386</v>
      </c>
      <c r="F22" s="16">
        <v>2.51828335467088</v>
      </c>
      <c r="G22" s="16">
        <v>2.4916216723309348</v>
      </c>
      <c r="H22" s="16">
        <v>2.9028909089318371</v>
      </c>
      <c r="I22" s="16">
        <v>4.1257920532799073</v>
      </c>
      <c r="J22" s="16">
        <v>3.6938886135355116</v>
      </c>
      <c r="K22" s="16">
        <v>5.2395857055142363</v>
      </c>
      <c r="L22" s="16">
        <v>33.633878141767859</v>
      </c>
      <c r="M22" s="16">
        <v>36.101575491733882</v>
      </c>
      <c r="N22" s="16">
        <v>35.03102014581895</v>
      </c>
      <c r="O22" s="16">
        <v>57.003567848997704</v>
      </c>
      <c r="P22" s="16">
        <v>13.920916533178545</v>
      </c>
      <c r="Q22" s="16">
        <v>32.249154290327766</v>
      </c>
      <c r="R22" s="16">
        <v>28.242929712271167</v>
      </c>
      <c r="S22" s="16">
        <v>24.360808667485752</v>
      </c>
      <c r="T22" s="16">
        <v>23.64958194459658</v>
      </c>
      <c r="U22" s="16">
        <v>27.24871406759242</v>
      </c>
      <c r="V22" s="16"/>
    </row>
    <row r="23" spans="1:22">
      <c r="A23" s="11" t="s">
        <v>27</v>
      </c>
      <c r="B23" s="16">
        <v>3.5667449145593917</v>
      </c>
      <c r="C23" s="16">
        <v>2.4315822197402253</v>
      </c>
      <c r="D23" s="16">
        <v>1.9696249467449114</v>
      </c>
      <c r="E23" s="16">
        <v>2.2196611028044448</v>
      </c>
      <c r="F23" s="16">
        <v>3.3614960826307834</v>
      </c>
      <c r="G23" s="16">
        <v>4.5220521425434193</v>
      </c>
      <c r="H23" s="16">
        <v>5.8127812491797837</v>
      </c>
      <c r="I23" s="16">
        <v>7.2083757872529572</v>
      </c>
      <c r="J23" s="16">
        <v>6.0741547855986742</v>
      </c>
      <c r="K23" s="16">
        <v>8.401091610277776</v>
      </c>
      <c r="L23" s="16">
        <v>39.432822648969214</v>
      </c>
      <c r="M23" s="16">
        <v>67.082000527477419</v>
      </c>
      <c r="N23" s="16">
        <v>74.439423822312136</v>
      </c>
      <c r="O23" s="16">
        <v>118.51810221862119</v>
      </c>
      <c r="P23" s="16">
        <v>24.643778430179673</v>
      </c>
      <c r="Q23" s="16">
        <v>59.307963720620677</v>
      </c>
      <c r="R23" s="16">
        <v>57.669353511488168</v>
      </c>
      <c r="S23" s="16">
        <v>66.75932313191106</v>
      </c>
      <c r="T23" s="16">
        <v>147.01774888162143</v>
      </c>
      <c r="U23" s="16">
        <v>85.056968695898149</v>
      </c>
      <c r="V23" s="16"/>
    </row>
    <row r="24" spans="1:22">
      <c r="A24" s="11" t="s">
        <v>28</v>
      </c>
      <c r="B24" s="16">
        <v>0.8699099131928627</v>
      </c>
      <c r="C24" s="16">
        <v>0.79149829371570168</v>
      </c>
      <c r="D24" s="16">
        <v>0.69651700727017851</v>
      </c>
      <c r="E24" s="16">
        <v>0.75787246143694731</v>
      </c>
      <c r="F24" s="16">
        <v>1.0819233840213556</v>
      </c>
      <c r="G24" s="16">
        <v>1.1470800516820103</v>
      </c>
      <c r="H24" s="16">
        <v>1.4925547905056038</v>
      </c>
      <c r="I24" s="16">
        <v>1.4924796793139175</v>
      </c>
      <c r="J24" s="16">
        <v>1.5272519496309835</v>
      </c>
      <c r="K24" s="16">
        <v>2.182688577489587</v>
      </c>
      <c r="L24" s="16">
        <v>28.490766644309517</v>
      </c>
      <c r="M24" s="16">
        <v>37.064960230979587</v>
      </c>
      <c r="N24" s="16">
        <v>24.366936991568878</v>
      </c>
      <c r="O24" s="16">
        <v>34.906909384627689</v>
      </c>
      <c r="P24" s="16">
        <v>11.503202012647421</v>
      </c>
      <c r="Q24" s="16">
        <v>28.588706860105777</v>
      </c>
      <c r="R24" s="16">
        <v>20.031391773313413</v>
      </c>
      <c r="S24" s="16">
        <v>15.495458505528866</v>
      </c>
      <c r="T24" s="16">
        <v>17.635782378212788</v>
      </c>
      <c r="U24" s="16">
        <v>18.203257740856177</v>
      </c>
      <c r="V24" s="16"/>
    </row>
    <row r="25" spans="1:22">
      <c r="A25" s="11" t="s">
        <v>29</v>
      </c>
      <c r="B25" s="16">
        <v>8.3001913140804545E-2</v>
      </c>
      <c r="C25" s="16">
        <v>7.6288105826116046E-2</v>
      </c>
      <c r="D25" s="16">
        <v>9.3752387889449326E-2</v>
      </c>
      <c r="E25" s="16">
        <v>0.18957359027964465</v>
      </c>
      <c r="F25" s="16">
        <v>0.15767139554363072</v>
      </c>
      <c r="G25" s="16">
        <v>0.20029066866799419</v>
      </c>
      <c r="H25" s="16">
        <v>0.26080275417982662</v>
      </c>
      <c r="I25" s="16">
        <v>0.21026504727603121</v>
      </c>
      <c r="J25" s="16">
        <v>0.24765689979632458</v>
      </c>
      <c r="K25" s="16">
        <v>0.32700055136551992</v>
      </c>
      <c r="L25" s="16">
        <v>6.2821898828014673</v>
      </c>
      <c r="M25" s="16">
        <v>7.2443997168279184</v>
      </c>
      <c r="N25" s="16">
        <v>8.5157290528474938</v>
      </c>
      <c r="O25" s="16">
        <v>9.7706566338574774</v>
      </c>
      <c r="P25" s="16">
        <v>2.45744764660903</v>
      </c>
      <c r="Q25" s="16">
        <v>7.9509911845008681</v>
      </c>
      <c r="R25" s="16">
        <v>6.1873607293443067</v>
      </c>
      <c r="S25" s="16">
        <v>6.5325622696302883</v>
      </c>
      <c r="T25" s="16">
        <v>7.3752466692050787</v>
      </c>
      <c r="U25" s="16">
        <v>9.5778378975470222</v>
      </c>
      <c r="V25" s="16"/>
    </row>
    <row r="26" spans="1:22">
      <c r="A26" s="11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</row>
    <row r="27" spans="1:22">
      <c r="A27" s="11" t="s">
        <v>30</v>
      </c>
      <c r="B27" s="16">
        <v>0.35896509494123924</v>
      </c>
      <c r="C27" s="16">
        <v>0.30956639278331372</v>
      </c>
      <c r="D27" s="16">
        <v>0.30347180572543736</v>
      </c>
      <c r="E27" s="16">
        <v>1.6595189588253463</v>
      </c>
      <c r="F27" s="16">
        <v>0.25006548527028316</v>
      </c>
      <c r="G27" s="16">
        <v>0.45380677239020761</v>
      </c>
      <c r="H27" s="16">
        <v>0.53585082984103105</v>
      </c>
      <c r="I27" s="16">
        <v>0.58615209792495315</v>
      </c>
      <c r="J27" s="16">
        <v>0.88553780386751035</v>
      </c>
      <c r="K27" s="16">
        <v>1.3683101038299823</v>
      </c>
      <c r="L27" s="16">
        <v>24.907847359502959</v>
      </c>
      <c r="M27" s="16">
        <v>30.378309573714976</v>
      </c>
      <c r="N27" s="16">
        <v>19.284391335816746</v>
      </c>
      <c r="O27" s="16">
        <v>30.489067688952897</v>
      </c>
      <c r="P27" s="16">
        <v>8.604069848242144</v>
      </c>
      <c r="Q27" s="16">
        <v>24.434782121884091</v>
      </c>
      <c r="R27" s="16">
        <v>21.286130192688706</v>
      </c>
      <c r="S27" s="16">
        <v>19.726235898581475</v>
      </c>
      <c r="T27" s="16">
        <v>21.805399512833759</v>
      </c>
      <c r="U27" s="16">
        <v>22.469017476738465</v>
      </c>
      <c r="V27" s="16"/>
    </row>
    <row r="28" spans="1:22">
      <c r="A28" s="11" t="s">
        <v>31</v>
      </c>
      <c r="B28" s="16">
        <v>1.4923203795046656</v>
      </c>
      <c r="C28" s="16">
        <v>1.769781062544719</v>
      </c>
      <c r="D28" s="16">
        <v>1.5617333260036008</v>
      </c>
      <c r="E28" s="16">
        <v>0.30784613436360692</v>
      </c>
      <c r="F28" s="16">
        <v>2.2975122917886761</v>
      </c>
      <c r="G28" s="16">
        <v>2.1169817407285798</v>
      </c>
      <c r="H28" s="16">
        <v>3.1018324919728086</v>
      </c>
      <c r="I28" s="16">
        <v>3.2457337671463447</v>
      </c>
      <c r="J28" s="16">
        <v>5.3438042973196938</v>
      </c>
      <c r="K28" s="16">
        <v>8.2437518188368983</v>
      </c>
      <c r="L28" s="16">
        <v>50.443913707286072</v>
      </c>
      <c r="M28" s="16">
        <v>66.77777376771563</v>
      </c>
      <c r="N28" s="16">
        <v>50.983819238153259</v>
      </c>
      <c r="O28" s="16">
        <v>71.884914876165311</v>
      </c>
      <c r="P28" s="16">
        <v>16.85839578437994</v>
      </c>
      <c r="Q28" s="16">
        <v>51.289840778229639</v>
      </c>
      <c r="R28" s="16">
        <v>44.32235645729164</v>
      </c>
      <c r="S28" s="16">
        <v>41.122853792025005</v>
      </c>
      <c r="T28" s="16">
        <v>44.576269683550585</v>
      </c>
      <c r="U28" s="16">
        <v>47.713964687263541</v>
      </c>
      <c r="V28" s="16"/>
    </row>
    <row r="29" spans="1:22">
      <c r="A29" s="11" t="s">
        <v>32</v>
      </c>
      <c r="B29" s="16">
        <v>0.79573799081171825</v>
      </c>
      <c r="C29" s="16">
        <v>0.8693312888594148</v>
      </c>
      <c r="D29" s="16">
        <v>0.82892507180847419</v>
      </c>
      <c r="E29" s="16">
        <v>0.88308291139662354</v>
      </c>
      <c r="F29" s="16">
        <v>1.4172278611606717</v>
      </c>
      <c r="G29" s="16">
        <v>1.8240979954032002</v>
      </c>
      <c r="H29" s="16">
        <v>2.0214061890305257</v>
      </c>
      <c r="I29" s="16">
        <v>1.9569887063722142</v>
      </c>
      <c r="J29" s="16">
        <v>2.0733414584091632</v>
      </c>
      <c r="K29" s="16">
        <v>2.5910894331038037</v>
      </c>
      <c r="L29" s="16">
        <v>33.716720206156452</v>
      </c>
      <c r="M29" s="16">
        <v>31.297327910495422</v>
      </c>
      <c r="N29" s="16">
        <v>36.094739283648323</v>
      </c>
      <c r="O29" s="16">
        <v>40.829648251510413</v>
      </c>
      <c r="P29" s="16">
        <v>14.098791574341263</v>
      </c>
      <c r="Q29" s="16">
        <v>33.98515799436484</v>
      </c>
      <c r="R29" s="16">
        <v>25.127456963561766</v>
      </c>
      <c r="S29" s="16">
        <v>32.667348374846405</v>
      </c>
      <c r="T29" s="16">
        <v>29.086472008804463</v>
      </c>
      <c r="U29" s="16">
        <v>24.310973872126318</v>
      </c>
      <c r="V29" s="16"/>
    </row>
    <row r="30" spans="1:22">
      <c r="A30" s="11" t="s">
        <v>33</v>
      </c>
      <c r="B30" s="16">
        <v>2.6876933638741751</v>
      </c>
      <c r="C30" s="16">
        <v>2.8349454639490914</v>
      </c>
      <c r="D30" s="16">
        <v>3.1291302859970038</v>
      </c>
      <c r="E30" s="16">
        <v>3.4413419475813534</v>
      </c>
      <c r="F30" s="16">
        <v>3.1994175615951401</v>
      </c>
      <c r="G30" s="16">
        <v>3.3313847751278183</v>
      </c>
      <c r="H30" s="16">
        <v>3.1748336030936404</v>
      </c>
      <c r="I30" s="16">
        <v>3.0238467704244547</v>
      </c>
      <c r="J30" s="16">
        <v>3.056862817226452</v>
      </c>
      <c r="K30" s="16">
        <v>4.6855175549174453</v>
      </c>
      <c r="L30" s="16">
        <v>42.553207074272798</v>
      </c>
      <c r="M30" s="16">
        <v>38.560741799808454</v>
      </c>
      <c r="N30" s="16">
        <v>47.664178895095873</v>
      </c>
      <c r="O30" s="16">
        <v>52.105202056575827</v>
      </c>
      <c r="P30" s="16">
        <v>12.760339641228578</v>
      </c>
      <c r="Q30" s="16">
        <v>36.459611035193802</v>
      </c>
      <c r="R30" s="16">
        <v>45.887217264889294</v>
      </c>
      <c r="S30" s="16">
        <v>48.40705015078742</v>
      </c>
      <c r="T30" s="16">
        <v>44.789088484481795</v>
      </c>
      <c r="U30" s="16">
        <v>40.83492407544864</v>
      </c>
      <c r="V30" s="16"/>
    </row>
    <row r="31" spans="1:22">
      <c r="A31" s="11" t="s">
        <v>34</v>
      </c>
      <c r="B31" s="16">
        <v>0.73449940783736978</v>
      </c>
      <c r="C31" s="16">
        <v>0.60589087713007883</v>
      </c>
      <c r="D31" s="16">
        <v>1.2810260297129037</v>
      </c>
      <c r="E31" s="16">
        <v>0.89874007735938366</v>
      </c>
      <c r="F31" s="16">
        <v>1.3972143265734169</v>
      </c>
      <c r="G31" s="16">
        <v>1.6923770313546054</v>
      </c>
      <c r="H31" s="16">
        <v>1.5213411840873501</v>
      </c>
      <c r="I31" s="16">
        <v>1.4693464656550173</v>
      </c>
      <c r="J31" s="16">
        <v>1.2634069753033834</v>
      </c>
      <c r="K31" s="16">
        <v>1.4439082899561306</v>
      </c>
      <c r="L31" s="16">
        <v>22.388067901016662</v>
      </c>
      <c r="M31" s="16">
        <v>22.246581807581798</v>
      </c>
      <c r="N31" s="16">
        <v>16.409959283592435</v>
      </c>
      <c r="O31" s="16">
        <v>23.862305145440718</v>
      </c>
      <c r="P31" s="16">
        <v>3.5981579755200461</v>
      </c>
      <c r="Q31" s="16">
        <v>11.101472804785244</v>
      </c>
      <c r="R31" s="16">
        <v>7.8075406656518851</v>
      </c>
      <c r="S31" s="16">
        <v>13.094615212777834</v>
      </c>
      <c r="T31" s="16">
        <v>13.244448095583342</v>
      </c>
      <c r="U31" s="16">
        <v>17.645724284810239</v>
      </c>
      <c r="V31" s="16"/>
    </row>
    <row r="32" spans="1:22">
      <c r="A32" s="11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</row>
    <row r="33" spans="1:22">
      <c r="A33" s="11" t="s">
        <v>35</v>
      </c>
      <c r="B33" s="16">
        <v>1.735768418860705</v>
      </c>
      <c r="C33" s="16">
        <v>2.8607671854003613</v>
      </c>
      <c r="D33" s="16">
        <v>1.9172775723925624</v>
      </c>
      <c r="E33" s="16">
        <v>2.0561984150435344</v>
      </c>
      <c r="F33" s="16">
        <v>2.6714439276520983</v>
      </c>
      <c r="G33" s="16">
        <v>3.0630998119491188</v>
      </c>
      <c r="H33" s="16">
        <v>3.954530818292374</v>
      </c>
      <c r="I33" s="16">
        <v>3.7594239326533079</v>
      </c>
      <c r="J33" s="16">
        <v>3.9455261873969043</v>
      </c>
      <c r="K33" s="16">
        <v>6.549260286199873</v>
      </c>
      <c r="L33" s="16">
        <v>33.689106184693586</v>
      </c>
      <c r="M33" s="16">
        <v>34.371285795588634</v>
      </c>
      <c r="N33" s="16">
        <v>32.688447662509326</v>
      </c>
      <c r="O33" s="16">
        <v>48.074759632697152</v>
      </c>
      <c r="P33" s="16">
        <v>14.480414389926722</v>
      </c>
      <c r="Q33" s="16">
        <v>29.236469436239013</v>
      </c>
      <c r="R33" s="16">
        <v>22.240804247243457</v>
      </c>
      <c r="S33" s="16">
        <v>28.091000781860817</v>
      </c>
      <c r="T33" s="16">
        <v>26.019508382841043</v>
      </c>
      <c r="U33" s="16">
        <v>21.475518009949841</v>
      </c>
      <c r="V33" s="16"/>
    </row>
    <row r="34" spans="1:22">
      <c r="A34" s="11" t="s">
        <v>36</v>
      </c>
      <c r="B34" s="16">
        <v>0.52465727449015442</v>
      </c>
      <c r="C34" s="16">
        <v>0.64009914059116269</v>
      </c>
      <c r="D34" s="16">
        <v>0.55377143603204937</v>
      </c>
      <c r="E34" s="16">
        <v>0.56112657656957143</v>
      </c>
      <c r="F34" s="16">
        <v>0.85052337142312351</v>
      </c>
      <c r="G34" s="16">
        <v>0.92017666548690658</v>
      </c>
      <c r="H34" s="16">
        <v>1.1597860523714119</v>
      </c>
      <c r="I34" s="16">
        <v>1.2327014378907666</v>
      </c>
      <c r="J34" s="16">
        <v>1.2076185654433236</v>
      </c>
      <c r="K34" s="16">
        <v>1.8183155593935332</v>
      </c>
      <c r="L34" s="16">
        <v>19.364332550833097</v>
      </c>
      <c r="M34" s="16">
        <v>22.056440082730671</v>
      </c>
      <c r="N34" s="16">
        <v>18.277443725006357</v>
      </c>
      <c r="O34" s="16">
        <v>24.801003380946661</v>
      </c>
      <c r="P34" s="16">
        <v>7.3418500756277671</v>
      </c>
      <c r="Q34" s="16">
        <v>14.890295000095463</v>
      </c>
      <c r="R34" s="16">
        <v>17.428878218096113</v>
      </c>
      <c r="S34" s="16">
        <v>19.442671730146312</v>
      </c>
      <c r="T34" s="16">
        <v>20.632300756481207</v>
      </c>
      <c r="U34" s="16">
        <v>18.380997729851273</v>
      </c>
      <c r="V34" s="16"/>
    </row>
    <row r="35" spans="1:22">
      <c r="A35" s="11" t="s">
        <v>37</v>
      </c>
      <c r="B35" s="16">
        <v>0.47048268412353422</v>
      </c>
      <c r="C35" s="16">
        <v>0.52938207283002037</v>
      </c>
      <c r="D35" s="16">
        <v>0.41432506905982436</v>
      </c>
      <c r="E35" s="16">
        <v>0.39996089818643132</v>
      </c>
      <c r="F35" s="16">
        <v>0.50920446420059107</v>
      </c>
      <c r="G35" s="16">
        <v>0.50995720883028928</v>
      </c>
      <c r="H35" s="16">
        <v>0.68017713190841567</v>
      </c>
      <c r="I35" s="16">
        <v>0.64846788400132038</v>
      </c>
      <c r="J35" s="16">
        <v>0.55340215446808183</v>
      </c>
      <c r="K35" s="16">
        <v>0.94970434634140044</v>
      </c>
      <c r="L35" s="16">
        <v>11.038705079779721</v>
      </c>
      <c r="M35" s="16">
        <v>7.0035535320164932</v>
      </c>
      <c r="N35" s="16">
        <v>12.952872085646977</v>
      </c>
      <c r="O35" s="16">
        <v>17.388267314848154</v>
      </c>
      <c r="P35" s="16">
        <v>6.8645905495989803</v>
      </c>
      <c r="Q35" s="16">
        <v>18.237460893496657</v>
      </c>
      <c r="R35" s="16">
        <v>16.591547769895765</v>
      </c>
      <c r="S35" s="16">
        <v>15.478822740980672</v>
      </c>
      <c r="T35" s="16">
        <v>15.237677840890324</v>
      </c>
      <c r="U35" s="16">
        <v>14.983816430756336</v>
      </c>
      <c r="V35" s="16"/>
    </row>
    <row r="36" spans="1:22">
      <c r="A36" s="11" t="s">
        <v>38</v>
      </c>
      <c r="B36" s="16">
        <v>0.16055000845946613</v>
      </c>
      <c r="C36" s="16">
        <v>0.23136556684969617</v>
      </c>
      <c r="D36" s="16">
        <v>0.18189612852686118</v>
      </c>
      <c r="E36" s="16">
        <v>0.18493269378170085</v>
      </c>
      <c r="F36" s="16">
        <v>0.39104165247946826</v>
      </c>
      <c r="G36" s="16">
        <v>0.46071169369453874</v>
      </c>
      <c r="H36" s="16">
        <v>0.5873114375453854</v>
      </c>
      <c r="I36" s="16">
        <v>0.54704331566269782</v>
      </c>
      <c r="J36" s="16">
        <v>0.57469138909755513</v>
      </c>
      <c r="K36" s="16">
        <v>0.91902138050509918</v>
      </c>
      <c r="L36" s="16">
        <v>5.8541725501270818</v>
      </c>
      <c r="M36" s="16">
        <v>6.3887619549978503</v>
      </c>
      <c r="N36" s="16">
        <v>6.0924812416687857</v>
      </c>
      <c r="O36" s="16">
        <v>8.1204847357260022</v>
      </c>
      <c r="P36" s="16">
        <v>1.9192023921815966</v>
      </c>
      <c r="Q36" s="16">
        <v>6.0088812062395833</v>
      </c>
      <c r="R36" s="16">
        <v>4.5696952988871802</v>
      </c>
      <c r="S36" s="16">
        <v>5.520049145537806</v>
      </c>
      <c r="T36" s="16">
        <v>7.2558605125851283</v>
      </c>
      <c r="U36" s="16">
        <v>6.1228072624112322</v>
      </c>
      <c r="V36" s="16"/>
    </row>
    <row r="37" spans="1:22">
      <c r="A37" s="11" t="s">
        <v>39</v>
      </c>
      <c r="B37" s="16">
        <v>0.84035541470905939</v>
      </c>
      <c r="C37" s="16">
        <v>0.74132617397277867</v>
      </c>
      <c r="D37" s="16">
        <v>0.56179949974574994</v>
      </c>
      <c r="E37" s="16">
        <v>0.62113008684601678</v>
      </c>
      <c r="F37" s="16">
        <v>0.93861403272816424</v>
      </c>
      <c r="G37" s="16">
        <v>1.3142846391000844</v>
      </c>
      <c r="H37" s="16">
        <v>1.5515077472243854</v>
      </c>
      <c r="I37" s="16">
        <v>1.3577388558971661</v>
      </c>
      <c r="J37" s="16">
        <v>1.4346939059995198</v>
      </c>
      <c r="K37" s="16">
        <v>2.2000608017506296</v>
      </c>
      <c r="L37" s="16">
        <v>23.658312888308387</v>
      </c>
      <c r="M37" s="16">
        <v>21.454324620702106</v>
      </c>
      <c r="N37" s="16">
        <v>19.693743925374676</v>
      </c>
      <c r="O37" s="16">
        <v>34.098585904053131</v>
      </c>
      <c r="P37" s="16">
        <v>9.5558168217361494</v>
      </c>
      <c r="Q37" s="16">
        <v>26.672507384889816</v>
      </c>
      <c r="R37" s="16">
        <v>23.822428427177442</v>
      </c>
      <c r="S37" s="16">
        <v>16.297756059421417</v>
      </c>
      <c r="T37" s="16">
        <v>20.07689559307536</v>
      </c>
      <c r="U37" s="16">
        <v>22.566271432981065</v>
      </c>
      <c r="V37" s="16"/>
    </row>
    <row r="38" spans="1:22">
      <c r="A38" s="10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</row>
    <row r="39" spans="1:22"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</row>
    <row r="40" spans="1:22"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</row>
  </sheetData>
  <phoneticPr fontId="6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EB990-95C2-C142-80CA-00749C7E7477}">
  <dimension ref="A1:U38"/>
  <sheetViews>
    <sheetView workbookViewId="0">
      <selection sqref="A1:A1048576"/>
    </sheetView>
  </sheetViews>
  <sheetFormatPr baseColWidth="10" defaultRowHeight="16"/>
  <cols>
    <col min="1" max="1" width="19" customWidth="1"/>
  </cols>
  <sheetData>
    <row r="1" spans="1:21" ht="17">
      <c r="A1" s="23" t="s">
        <v>1</v>
      </c>
      <c r="B1" s="9">
        <v>1997</v>
      </c>
      <c r="C1" s="9">
        <v>1998</v>
      </c>
      <c r="D1" s="9">
        <v>1999</v>
      </c>
      <c r="E1" s="9">
        <v>2000</v>
      </c>
      <c r="F1" s="9">
        <v>2001</v>
      </c>
      <c r="G1" s="9">
        <v>2002</v>
      </c>
      <c r="H1" s="9">
        <v>2003</v>
      </c>
      <c r="I1" s="9">
        <v>2004</v>
      </c>
      <c r="J1" s="9">
        <v>2005</v>
      </c>
      <c r="K1" s="9">
        <v>2006</v>
      </c>
      <c r="L1" s="9">
        <v>2007</v>
      </c>
      <c r="M1" s="9">
        <v>2008</v>
      </c>
      <c r="N1" s="9">
        <v>2009</v>
      </c>
      <c r="O1" s="9">
        <v>2010</v>
      </c>
      <c r="P1" s="9">
        <v>2011</v>
      </c>
      <c r="Q1" s="9">
        <v>2012</v>
      </c>
      <c r="R1" s="9">
        <v>2013</v>
      </c>
      <c r="S1" s="9">
        <v>2014</v>
      </c>
      <c r="T1" s="9">
        <v>2015</v>
      </c>
      <c r="U1" s="9">
        <v>2016</v>
      </c>
    </row>
    <row r="2" spans="1:21">
      <c r="A2" s="16" t="s">
        <v>9</v>
      </c>
      <c r="B2" s="11">
        <v>38.526948421886601</v>
      </c>
      <c r="C2" s="11">
        <v>45.504704430022436</v>
      </c>
      <c r="D2" s="11">
        <v>53.708766835807118</v>
      </c>
      <c r="E2" s="11">
        <v>65.267477736232337</v>
      </c>
      <c r="F2" s="11">
        <v>78.37477793231561</v>
      </c>
      <c r="G2" s="11">
        <v>93.229323864547652</v>
      </c>
      <c r="H2" s="11">
        <v>107.62302666717585</v>
      </c>
      <c r="I2" s="11">
        <v>129.8620856106437</v>
      </c>
      <c r="J2" s="11">
        <v>155.44792176216021</v>
      </c>
      <c r="K2" s="11">
        <v>186.71093005105115</v>
      </c>
      <c r="L2" s="11">
        <v>278.45297216622964</v>
      </c>
      <c r="M2" s="11">
        <v>334.55449622531432</v>
      </c>
      <c r="N2" s="11">
        <v>386.69971507367842</v>
      </c>
      <c r="O2" s="11">
        <v>477.66005545655287</v>
      </c>
      <c r="P2" s="11">
        <v>553.60537112158829</v>
      </c>
      <c r="Q2" s="11">
        <v>663.02981383945325</v>
      </c>
      <c r="R2" s="11">
        <v>717.25672443291808</v>
      </c>
      <c r="S2" s="11">
        <v>784.74526581023576</v>
      </c>
      <c r="T2" s="11">
        <v>902.31678167018742</v>
      </c>
      <c r="U2" s="11">
        <v>935.62015592077535</v>
      </c>
    </row>
    <row r="3" spans="1:21">
      <c r="A3" s="11" t="s">
        <v>10</v>
      </c>
      <c r="B3" s="11">
        <v>20.425602068539828</v>
      </c>
      <c r="C3" s="11">
        <v>23.948012495964285</v>
      </c>
      <c r="D3" s="11">
        <v>27.635246931443799</v>
      </c>
      <c r="E3" s="11">
        <v>33.543634495286859</v>
      </c>
      <c r="F3" s="11">
        <v>39.327151587537536</v>
      </c>
      <c r="G3" s="11">
        <v>45.163020572730119</v>
      </c>
      <c r="H3" s="11">
        <v>51.817776350201612</v>
      </c>
      <c r="I3" s="11">
        <v>59.266457477731443</v>
      </c>
      <c r="J3" s="11">
        <v>71.614891006388163</v>
      </c>
      <c r="K3" s="11">
        <v>87.278936922268997</v>
      </c>
      <c r="L3" s="11">
        <v>116.48439542862579</v>
      </c>
      <c r="M3" s="11">
        <v>149.87787579869439</v>
      </c>
      <c r="N3" s="11">
        <v>183.59432694489925</v>
      </c>
      <c r="O3" s="11">
        <v>243.5512467918046</v>
      </c>
      <c r="P3" s="11">
        <v>321.80813682025564</v>
      </c>
      <c r="Q3" s="11">
        <v>399.46320208652338</v>
      </c>
      <c r="R3" s="11">
        <v>485.79459523822061</v>
      </c>
      <c r="S3" s="11">
        <v>546.75715905471338</v>
      </c>
      <c r="T3" s="11">
        <v>535.10305104855831</v>
      </c>
      <c r="U3" s="11">
        <v>529.812560880614</v>
      </c>
    </row>
    <row r="4" spans="1:21">
      <c r="A4" s="11" t="s">
        <v>11</v>
      </c>
      <c r="B4" s="11">
        <v>61.901356209089101</v>
      </c>
      <c r="C4" s="11">
        <v>59.982823144811313</v>
      </c>
      <c r="D4" s="11">
        <v>68.538463175118409</v>
      </c>
      <c r="E4" s="11">
        <v>80.02452997552426</v>
      </c>
      <c r="F4" s="11">
        <v>97.149610972281636</v>
      </c>
      <c r="G4" s="11">
        <v>119.52106108094051</v>
      </c>
      <c r="H4" s="11">
        <v>129.67534554880007</v>
      </c>
      <c r="I4" s="11">
        <v>152.28977609396671</v>
      </c>
      <c r="J4" s="11">
        <v>181.73213428952732</v>
      </c>
      <c r="K4" s="11">
        <v>202.78722253774185</v>
      </c>
      <c r="L4" s="11">
        <v>300.04101818322363</v>
      </c>
      <c r="M4" s="11">
        <v>398.7364969554821</v>
      </c>
      <c r="N4" s="11">
        <v>464.59590839642061</v>
      </c>
      <c r="O4" s="11">
        <v>545.64560997135868</v>
      </c>
      <c r="P4" s="11">
        <v>694.1462824221253</v>
      </c>
      <c r="Q4" s="11">
        <v>912.87493051873116</v>
      </c>
      <c r="R4" s="11">
        <v>881.99264524317391</v>
      </c>
      <c r="S4" s="11">
        <v>918.86209703461986</v>
      </c>
      <c r="T4" s="11">
        <v>1097.9187541969829</v>
      </c>
      <c r="U4" s="11">
        <v>1196.6094356970464</v>
      </c>
    </row>
    <row r="5" spans="1:21">
      <c r="A5" s="11" t="s">
        <v>12</v>
      </c>
      <c r="B5" s="11">
        <v>33.452894689359404</v>
      </c>
      <c r="C5" s="11">
        <v>31.609380606668172</v>
      </c>
      <c r="D5" s="11">
        <v>35.520479032752071</v>
      </c>
      <c r="E5" s="11">
        <v>41.464056183684839</v>
      </c>
      <c r="F5" s="11">
        <v>54.646913786363811</v>
      </c>
      <c r="G5" s="11">
        <v>63.743160891194456</v>
      </c>
      <c r="H5" s="11">
        <v>73.417700878355191</v>
      </c>
      <c r="I5" s="11">
        <v>85.871859207199009</v>
      </c>
      <c r="J5" s="11">
        <v>108.79307421483998</v>
      </c>
      <c r="K5" s="11">
        <v>129.31003751947947</v>
      </c>
      <c r="L5" s="11">
        <v>191.8678616576583</v>
      </c>
      <c r="M5" s="11">
        <v>248.55188450201268</v>
      </c>
      <c r="N5" s="11">
        <v>294.06183107867133</v>
      </c>
      <c r="O5" s="11">
        <v>348.60632806608794</v>
      </c>
      <c r="P5" s="11">
        <v>448.97940602479372</v>
      </c>
      <c r="Q5" s="11">
        <v>588.54772451575616</v>
      </c>
      <c r="R5" s="11">
        <v>571.16876244368905</v>
      </c>
      <c r="S5" s="11">
        <v>536.46732489753583</v>
      </c>
      <c r="T5" s="11">
        <v>635.7143195739859</v>
      </c>
      <c r="U5" s="11">
        <v>639.97359166890146</v>
      </c>
    </row>
    <row r="6" spans="1:21">
      <c r="A6" s="11" t="s">
        <v>13</v>
      </c>
      <c r="B6" s="11">
        <v>27.509012354846824</v>
      </c>
      <c r="C6" s="11">
        <v>26.67671743747054</v>
      </c>
      <c r="D6" s="11">
        <v>30.023282822918922</v>
      </c>
      <c r="E6" s="11">
        <v>32.325876994620657</v>
      </c>
      <c r="F6" s="11">
        <v>43.104484553721271</v>
      </c>
      <c r="G6" s="11">
        <v>52.454306868595054</v>
      </c>
      <c r="H6" s="11">
        <v>59.192980493529546</v>
      </c>
      <c r="I6" s="11">
        <v>70.843395904443639</v>
      </c>
      <c r="J6" s="11">
        <v>83.828341922760188</v>
      </c>
      <c r="K6" s="11">
        <v>101.66844810819649</v>
      </c>
      <c r="L6" s="11">
        <v>162.59324310101857</v>
      </c>
      <c r="M6" s="11">
        <v>218.31188119160566</v>
      </c>
      <c r="N6" s="11">
        <v>257.48255702173878</v>
      </c>
      <c r="O6" s="11">
        <v>341.74199383214926</v>
      </c>
      <c r="P6" s="11">
        <v>415.87463936989178</v>
      </c>
      <c r="Q6" s="11">
        <v>464.03122118021838</v>
      </c>
      <c r="R6" s="11">
        <v>481.06679540160792</v>
      </c>
      <c r="S6" s="11">
        <v>505.25941061405075</v>
      </c>
      <c r="T6" s="11">
        <v>565.77889007386693</v>
      </c>
      <c r="U6" s="11">
        <v>585.14612611577218</v>
      </c>
    </row>
    <row r="7" spans="1:2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1:21">
      <c r="A8" s="11" t="s">
        <v>14</v>
      </c>
      <c r="B8" s="11">
        <v>55.463703420795873</v>
      </c>
      <c r="C8" s="11">
        <v>53.902854817952957</v>
      </c>
      <c r="D8" s="11">
        <v>60.649848586711734</v>
      </c>
      <c r="E8" s="11">
        <v>71.610725274052996</v>
      </c>
      <c r="F8" s="11">
        <v>81.347160635977815</v>
      </c>
      <c r="G8" s="11">
        <v>94.979332520180179</v>
      </c>
      <c r="H8" s="11">
        <v>107.09755657678205</v>
      </c>
      <c r="I8" s="11">
        <v>129.44988819107968</v>
      </c>
      <c r="J8" s="11">
        <v>151.52965583005872</v>
      </c>
      <c r="K8" s="11">
        <v>178.54102884717324</v>
      </c>
      <c r="L8" s="11">
        <v>266.94428848772424</v>
      </c>
      <c r="M8" s="11">
        <v>324.04083295474959</v>
      </c>
      <c r="N8" s="11">
        <v>366.67047394507756</v>
      </c>
      <c r="O8" s="11">
        <v>430.09775194689695</v>
      </c>
      <c r="P8" s="11">
        <v>579.16310254873281</v>
      </c>
      <c r="Q8" s="11">
        <v>768.64630243864656</v>
      </c>
      <c r="R8" s="11">
        <v>704.93706784308119</v>
      </c>
      <c r="S8" s="11">
        <v>639.27048814719967</v>
      </c>
      <c r="T8" s="11">
        <v>643.50718483342325</v>
      </c>
      <c r="U8" s="11">
        <v>668.43115503965066</v>
      </c>
    </row>
    <row r="9" spans="1:21">
      <c r="A9" s="11" t="s">
        <v>15</v>
      </c>
      <c r="B9" s="11">
        <v>34.652724759478872</v>
      </c>
      <c r="C9" s="11">
        <v>30.643159327578324</v>
      </c>
      <c r="D9" s="11">
        <v>35.974168753886744</v>
      </c>
      <c r="E9" s="11">
        <v>38.908264812506125</v>
      </c>
      <c r="F9" s="11">
        <v>48.022805501506397</v>
      </c>
      <c r="G9" s="11">
        <v>54.324031803233538</v>
      </c>
      <c r="H9" s="11">
        <v>58.472351356092105</v>
      </c>
      <c r="I9" s="11">
        <v>64.981163358414449</v>
      </c>
      <c r="J9" s="11">
        <v>79.014508885396637</v>
      </c>
      <c r="K9" s="11">
        <v>97.648063358544761</v>
      </c>
      <c r="L9" s="11">
        <v>152.90562068534933</v>
      </c>
      <c r="M9" s="11">
        <v>198.8817006805117</v>
      </c>
      <c r="N9" s="11">
        <v>229.46911470407056</v>
      </c>
      <c r="O9" s="11">
        <v>265.44921566174207</v>
      </c>
      <c r="P9" s="11">
        <v>340.43622095082748</v>
      </c>
      <c r="Q9" s="11">
        <v>475.71716779175284</v>
      </c>
      <c r="R9" s="11">
        <v>444.44477350463956</v>
      </c>
      <c r="S9" s="11">
        <v>430.52327701818888</v>
      </c>
      <c r="T9" s="11">
        <v>503.60469038558256</v>
      </c>
      <c r="U9" s="11">
        <v>526.87085647882111</v>
      </c>
    </row>
    <row r="10" spans="1:21">
      <c r="A10" s="11" t="s">
        <v>16</v>
      </c>
      <c r="B10" s="11">
        <v>41.14050435305829</v>
      </c>
      <c r="C10" s="11">
        <v>40.079457863641743</v>
      </c>
      <c r="D10" s="11">
        <v>47.132993691530416</v>
      </c>
      <c r="E10" s="11">
        <v>53.216589493112167</v>
      </c>
      <c r="F10" s="11">
        <v>70.467478486478583</v>
      </c>
      <c r="G10" s="11">
        <v>82.806185837772674</v>
      </c>
      <c r="H10" s="11">
        <v>88.320250453359264</v>
      </c>
      <c r="I10" s="11">
        <v>98.211571472865657</v>
      </c>
      <c r="J10" s="11">
        <v>113.56790468669593</v>
      </c>
      <c r="K10" s="11">
        <v>143.04086033649784</v>
      </c>
      <c r="L10" s="11">
        <v>211.48662049507365</v>
      </c>
      <c r="M10" s="11">
        <v>271.43020809781899</v>
      </c>
      <c r="N10" s="11">
        <v>281.94276543274924</v>
      </c>
      <c r="O10" s="11">
        <v>317.37201587951046</v>
      </c>
      <c r="P10" s="11">
        <v>397.92781088752372</v>
      </c>
      <c r="Q10" s="11">
        <v>574.58365112796582</v>
      </c>
      <c r="R10" s="11">
        <v>527.82884233790355</v>
      </c>
      <c r="S10" s="11">
        <v>535.05022543498512</v>
      </c>
      <c r="T10" s="11">
        <v>579.6246709745991</v>
      </c>
      <c r="U10" s="11">
        <v>589.25818603225684</v>
      </c>
    </row>
    <row r="11" spans="1:2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</row>
    <row r="12" spans="1:21">
      <c r="A12" s="11" t="s">
        <v>17</v>
      </c>
      <c r="B12" s="11">
        <v>72.143397879775961</v>
      </c>
      <c r="C12" s="11">
        <v>74.306183435395752</v>
      </c>
      <c r="D12" s="11">
        <v>81.869172167400308</v>
      </c>
      <c r="E12" s="11">
        <v>91.378641019164377</v>
      </c>
      <c r="F12" s="11">
        <v>108.18635658763873</v>
      </c>
      <c r="G12" s="11">
        <v>126.08872656513691</v>
      </c>
      <c r="H12" s="11">
        <v>143.07205575802698</v>
      </c>
      <c r="I12" s="11">
        <v>166.19483293348773</v>
      </c>
      <c r="J12" s="11">
        <v>194.95048737184666</v>
      </c>
      <c r="K12" s="11">
        <v>219.80528224146985</v>
      </c>
      <c r="L12" s="11">
        <v>299.977492790334</v>
      </c>
      <c r="M12" s="11">
        <v>344.87777122739794</v>
      </c>
      <c r="N12" s="11">
        <v>366.90312616515632</v>
      </c>
      <c r="O12" s="11">
        <v>442.7124249054026</v>
      </c>
      <c r="P12" s="11">
        <v>584.64508159287254</v>
      </c>
      <c r="Q12" s="11">
        <v>684.43998678296862</v>
      </c>
      <c r="R12" s="11">
        <v>715.52986658613747</v>
      </c>
      <c r="S12" s="11">
        <v>735.65440233889137</v>
      </c>
      <c r="T12" s="11">
        <v>809.15038848056884</v>
      </c>
      <c r="U12" s="11">
        <v>886.69718665798314</v>
      </c>
    </row>
    <row r="13" spans="1:21">
      <c r="A13" s="11" t="s">
        <v>18</v>
      </c>
      <c r="B13" s="11">
        <v>94.847841634787997</v>
      </c>
      <c r="C13" s="11">
        <v>98.837100971139293</v>
      </c>
      <c r="D13" s="11">
        <v>111.79370818954317</v>
      </c>
      <c r="E13" s="11">
        <v>127.58041588327694</v>
      </c>
      <c r="F13" s="11">
        <v>156.85553031638753</v>
      </c>
      <c r="G13" s="11">
        <v>176.43159459638181</v>
      </c>
      <c r="H13" s="11">
        <v>195.02465738738042</v>
      </c>
      <c r="I13" s="11">
        <v>229.33549683532817</v>
      </c>
      <c r="J13" s="11">
        <v>275.19176547616013</v>
      </c>
      <c r="K13" s="11">
        <v>319.0473778716966</v>
      </c>
      <c r="L13" s="11">
        <v>521.86110258834435</v>
      </c>
      <c r="M13" s="11">
        <v>626.80048834372826</v>
      </c>
      <c r="N13" s="11">
        <v>719.77309341919693</v>
      </c>
      <c r="O13" s="11">
        <v>918.10205141904532</v>
      </c>
      <c r="P13" s="11">
        <v>1163.6910933270703</v>
      </c>
      <c r="Q13" s="11">
        <v>1424.472595036513</v>
      </c>
      <c r="R13" s="11">
        <v>1510.9900863119781</v>
      </c>
      <c r="S13" s="11">
        <v>1591.4449979208832</v>
      </c>
      <c r="T13" s="11">
        <v>1841.4150437529829</v>
      </c>
      <c r="U13" s="11">
        <v>1943.1486416631551</v>
      </c>
    </row>
    <row r="14" spans="1:21">
      <c r="A14" s="11" t="s">
        <v>19</v>
      </c>
      <c r="B14" s="11">
        <v>58.774857392200381</v>
      </c>
      <c r="C14" s="11">
        <v>59.247693092754126</v>
      </c>
      <c r="D14" s="11">
        <v>69.60896578552061</v>
      </c>
      <c r="E14" s="11">
        <v>84.958686058478762</v>
      </c>
      <c r="F14" s="11">
        <v>117.46969686764204</v>
      </c>
      <c r="G14" s="11">
        <v>148.76388061965366</v>
      </c>
      <c r="H14" s="11">
        <v>178.83135724007641</v>
      </c>
      <c r="I14" s="11">
        <v>214.04706993809043</v>
      </c>
      <c r="J14" s="11">
        <v>246.74866503999905</v>
      </c>
      <c r="K14" s="11">
        <v>287.82638364525008</v>
      </c>
      <c r="L14" s="11">
        <v>406.44605127336081</v>
      </c>
      <c r="M14" s="11">
        <v>480.19094448729192</v>
      </c>
      <c r="N14" s="11">
        <v>549.196715697797</v>
      </c>
      <c r="O14" s="11">
        <v>643.50746309941258</v>
      </c>
      <c r="P14" s="11">
        <v>799.85799870824451</v>
      </c>
      <c r="Q14" s="11">
        <v>925.86869064996813</v>
      </c>
      <c r="R14" s="11">
        <v>1000.3877039578123</v>
      </c>
      <c r="S14" s="11">
        <v>1090.3099812650025</v>
      </c>
      <c r="T14" s="11">
        <v>1333.8875578646796</v>
      </c>
      <c r="U14" s="11">
        <v>1370.7182700583585</v>
      </c>
    </row>
    <row r="15" spans="1:21">
      <c r="A15" s="11" t="s">
        <v>20</v>
      </c>
      <c r="B15" s="11">
        <v>46.39482178921083</v>
      </c>
      <c r="C15" s="11">
        <v>43.21174633987043</v>
      </c>
      <c r="D15" s="11">
        <v>50.557161759988439</v>
      </c>
      <c r="E15" s="11">
        <v>58.661947310598656</v>
      </c>
      <c r="F15" s="11">
        <v>72.325448173411758</v>
      </c>
      <c r="G15" s="11">
        <v>83.552946002824385</v>
      </c>
      <c r="H15" s="11">
        <v>92.087952680771352</v>
      </c>
      <c r="I15" s="11">
        <v>112.93310656468691</v>
      </c>
      <c r="J15" s="11">
        <v>125.13983799553847</v>
      </c>
      <c r="K15" s="11">
        <v>162.70447870105974</v>
      </c>
      <c r="L15" s="11">
        <v>225.48338206175634</v>
      </c>
      <c r="M15" s="11">
        <v>302.78080964103214</v>
      </c>
      <c r="N15" s="11">
        <v>342.41119245140794</v>
      </c>
      <c r="O15" s="11">
        <v>409.85486211945476</v>
      </c>
      <c r="P15" s="11">
        <v>601.112307964298</v>
      </c>
      <c r="Q15" s="11">
        <v>757.20293414125047</v>
      </c>
      <c r="R15" s="11">
        <v>775.601354487864</v>
      </c>
      <c r="S15" s="11">
        <v>785.82395346083422</v>
      </c>
      <c r="T15" s="11">
        <v>903.43456748547896</v>
      </c>
      <c r="U15" s="11">
        <v>960.39795285343962</v>
      </c>
    </row>
    <row r="16" spans="1:21">
      <c r="A16" s="11" t="s">
        <v>21</v>
      </c>
      <c r="B16" s="11">
        <v>51.501864957695609</v>
      </c>
      <c r="C16" s="11">
        <v>50.593998545283199</v>
      </c>
      <c r="D16" s="11">
        <v>57.520284233276229</v>
      </c>
      <c r="E16" s="11">
        <v>67.327604428785136</v>
      </c>
      <c r="F16" s="11">
        <v>78.575337565168638</v>
      </c>
      <c r="G16" s="11">
        <v>88.266747329818656</v>
      </c>
      <c r="H16" s="11">
        <v>101.24637905417342</v>
      </c>
      <c r="I16" s="11">
        <v>107.93977291346674</v>
      </c>
      <c r="J16" s="11">
        <v>118.83218538635631</v>
      </c>
      <c r="K16" s="11">
        <v>145.75702713822503</v>
      </c>
      <c r="L16" s="11">
        <v>194.45122763517008</v>
      </c>
      <c r="M16" s="11">
        <v>246.75377307746939</v>
      </c>
      <c r="N16" s="11">
        <v>293.51192583121241</v>
      </c>
      <c r="O16" s="11">
        <v>347.74696010171544</v>
      </c>
      <c r="P16" s="11">
        <v>432.94860905299879</v>
      </c>
      <c r="Q16" s="11">
        <v>593.05124365215067</v>
      </c>
      <c r="R16" s="11">
        <v>605.35844188574083</v>
      </c>
      <c r="S16" s="11">
        <v>671.11292457809543</v>
      </c>
      <c r="T16" s="11">
        <v>798.80559711452281</v>
      </c>
      <c r="U16" s="11">
        <v>832.01733351211226</v>
      </c>
    </row>
    <row r="17" spans="1:21">
      <c r="A17" s="11" t="s">
        <v>22</v>
      </c>
      <c r="B17" s="11">
        <v>31.850871982809061</v>
      </c>
      <c r="C17" s="11">
        <v>30.677415462758091</v>
      </c>
      <c r="D17" s="11">
        <v>35.022598754364012</v>
      </c>
      <c r="E17" s="11">
        <v>41.443303892229871</v>
      </c>
      <c r="F17" s="11">
        <v>52.534800659855378</v>
      </c>
      <c r="G17" s="11">
        <v>64.328814666259007</v>
      </c>
      <c r="H17" s="11">
        <v>70.207704833928929</v>
      </c>
      <c r="I17" s="11">
        <v>78.858512144037988</v>
      </c>
      <c r="J17" s="11">
        <v>93.697056640050661</v>
      </c>
      <c r="K17" s="11">
        <v>111.00412811867038</v>
      </c>
      <c r="L17" s="11">
        <v>184.02247563578848</v>
      </c>
      <c r="M17" s="11">
        <v>218.79842898883501</v>
      </c>
      <c r="N17" s="11">
        <v>266.41851729294666</v>
      </c>
      <c r="O17" s="11">
        <v>315.63206098868216</v>
      </c>
      <c r="P17" s="11">
        <v>505.01268308955378</v>
      </c>
      <c r="Q17" s="11">
        <v>656.07941779522832</v>
      </c>
      <c r="R17" s="11">
        <v>699.72490543968854</v>
      </c>
      <c r="S17" s="11">
        <v>752.67017125862287</v>
      </c>
      <c r="T17" s="11">
        <v>836.51505065680647</v>
      </c>
      <c r="U17" s="11">
        <v>895.0372876680841</v>
      </c>
    </row>
    <row r="18" spans="1:21">
      <c r="A18" s="11" t="s">
        <v>23</v>
      </c>
      <c r="B18" s="11">
        <v>97.232292359747802</v>
      </c>
      <c r="C18" s="11">
        <v>97.614344197407362</v>
      </c>
      <c r="D18" s="11">
        <v>109.10179402164667</v>
      </c>
      <c r="E18" s="11">
        <v>128.32108798196018</v>
      </c>
      <c r="F18" s="11">
        <v>149.41952973736846</v>
      </c>
      <c r="G18" s="11">
        <v>176.83256808622846</v>
      </c>
      <c r="H18" s="11">
        <v>195.10285169305973</v>
      </c>
      <c r="I18" s="11">
        <v>219.12727208261086</v>
      </c>
      <c r="J18" s="11">
        <v>265.07720671890775</v>
      </c>
      <c r="K18" s="11">
        <v>312.69125442488831</v>
      </c>
      <c r="L18" s="11">
        <v>479.99786867407556</v>
      </c>
      <c r="M18" s="11">
        <v>582.78906694652517</v>
      </c>
      <c r="N18" s="11">
        <v>648.77186589151688</v>
      </c>
      <c r="O18" s="11">
        <v>817.40746685287445</v>
      </c>
      <c r="P18" s="11">
        <v>1115.449677738641</v>
      </c>
      <c r="Q18" s="11">
        <v>1383.5401412464723</v>
      </c>
      <c r="R18" s="11">
        <v>1473.7994648800941</v>
      </c>
      <c r="S18" s="11">
        <v>1545.1143057907757</v>
      </c>
      <c r="T18" s="11">
        <v>1782.7840141961881</v>
      </c>
      <c r="U18" s="11">
        <v>1925.2769966415099</v>
      </c>
    </row>
    <row r="19" spans="1:2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</row>
    <row r="20" spans="1:21">
      <c r="A20" s="11" t="s">
        <v>24</v>
      </c>
      <c r="B20" s="11">
        <v>64.350928937497628</v>
      </c>
      <c r="C20" s="11">
        <v>63.761902700704347</v>
      </c>
      <c r="D20" s="11">
        <v>73.791574751431043</v>
      </c>
      <c r="E20" s="11">
        <v>84.023311832636921</v>
      </c>
      <c r="F20" s="11">
        <v>104.13513877940314</v>
      </c>
      <c r="G20" s="11">
        <v>133.97109840916104</v>
      </c>
      <c r="H20" s="11">
        <v>142.83877970960759</v>
      </c>
      <c r="I20" s="11">
        <v>163.99081236825072</v>
      </c>
      <c r="J20" s="11">
        <v>199.61726155565694</v>
      </c>
      <c r="K20" s="11">
        <v>249.42700207668321</v>
      </c>
      <c r="L20" s="11">
        <v>387.6319474125475</v>
      </c>
      <c r="M20" s="11">
        <v>469.65612696467372</v>
      </c>
      <c r="N20" s="11">
        <v>556.39835941932654</v>
      </c>
      <c r="O20" s="11">
        <v>646.5099462341957</v>
      </c>
      <c r="P20" s="11">
        <v>912.39291609590475</v>
      </c>
      <c r="Q20" s="11">
        <v>1167.023175553159</v>
      </c>
      <c r="R20" s="11">
        <v>1233.5661613782734</v>
      </c>
      <c r="S20" s="11">
        <v>1270.50369576053</v>
      </c>
      <c r="T20" s="11">
        <v>1340.2884634296029</v>
      </c>
      <c r="U20" s="11">
        <v>1416.8260598398651</v>
      </c>
    </row>
    <row r="21" spans="1:21">
      <c r="A21" s="11" t="s">
        <v>25</v>
      </c>
      <c r="B21" s="11">
        <v>47.590474625556453</v>
      </c>
      <c r="C21" s="11">
        <v>47.679913939765527</v>
      </c>
      <c r="D21" s="11">
        <v>55.015388868175506</v>
      </c>
      <c r="E21" s="11">
        <v>62.645844016248866</v>
      </c>
      <c r="F21" s="11">
        <v>76.424934795395117</v>
      </c>
      <c r="G21" s="11">
        <v>90.516044568310889</v>
      </c>
      <c r="H21" s="11">
        <v>97.000907440946321</v>
      </c>
      <c r="I21" s="11">
        <v>111.80360218997706</v>
      </c>
      <c r="J21" s="11">
        <v>126.64761750200599</v>
      </c>
      <c r="K21" s="11">
        <v>155.62922203745629</v>
      </c>
      <c r="L21" s="11">
        <v>229.96192226047555</v>
      </c>
      <c r="M21" s="11">
        <v>300.59134455350005</v>
      </c>
      <c r="N21" s="11">
        <v>335.53737685817111</v>
      </c>
      <c r="O21" s="11">
        <v>388.91174654326454</v>
      </c>
      <c r="P21" s="11">
        <v>519.6277456674253</v>
      </c>
      <c r="Q21" s="11">
        <v>772.42208663262613</v>
      </c>
      <c r="R21" s="11">
        <v>727.20721629394029</v>
      </c>
      <c r="S21" s="11">
        <v>817.84617116682966</v>
      </c>
      <c r="T21" s="11">
        <v>962.82484778473554</v>
      </c>
      <c r="U21" s="11">
        <v>1104.3200499304039</v>
      </c>
    </row>
    <row r="22" spans="1:21">
      <c r="A22" s="11" t="s">
        <v>26</v>
      </c>
      <c r="B22" s="11">
        <v>49.278398395866468</v>
      </c>
      <c r="C22" s="11">
        <v>43.318039492437883</v>
      </c>
      <c r="D22" s="11">
        <v>48.59957462990733</v>
      </c>
      <c r="E22" s="11">
        <v>55.284756340469514</v>
      </c>
      <c r="F22" s="11">
        <v>70.607946157946756</v>
      </c>
      <c r="G22" s="11">
        <v>90.145814914179937</v>
      </c>
      <c r="H22" s="11">
        <v>98.077222654078298</v>
      </c>
      <c r="I22" s="11">
        <v>111.61157146894996</v>
      </c>
      <c r="J22" s="11">
        <v>131.07526120221226</v>
      </c>
      <c r="K22" s="11">
        <v>152.19488485721897</v>
      </c>
      <c r="L22" s="11">
        <v>241.94704638565321</v>
      </c>
      <c r="M22" s="11">
        <v>329.22362470784486</v>
      </c>
      <c r="N22" s="11">
        <v>378.14445843532673</v>
      </c>
      <c r="O22" s="11">
        <v>427.66818078836229</v>
      </c>
      <c r="P22" s="11">
        <v>575.69295659069485</v>
      </c>
      <c r="Q22" s="11">
        <v>851.74519535586683</v>
      </c>
      <c r="R22" s="11">
        <v>852.32017321739568</v>
      </c>
      <c r="S22" s="11">
        <v>881.2137829549157</v>
      </c>
      <c r="T22" s="11">
        <v>979.15928389687133</v>
      </c>
      <c r="U22" s="11">
        <v>1088.504434867001</v>
      </c>
    </row>
    <row r="23" spans="1:21">
      <c r="A23" s="11" t="s">
        <v>27</v>
      </c>
      <c r="B23" s="11">
        <v>125.02139359455914</v>
      </c>
      <c r="C23" s="11">
        <v>120.18164719344105</v>
      </c>
      <c r="D23" s="11">
        <v>132.05120519692676</v>
      </c>
      <c r="E23" s="11">
        <v>157.26825289608325</v>
      </c>
      <c r="F23" s="11">
        <v>195.54379805454468</v>
      </c>
      <c r="G23" s="11">
        <v>253.2515319420088</v>
      </c>
      <c r="H23" s="11">
        <v>288.86958602013578</v>
      </c>
      <c r="I23" s="11">
        <v>308.05386399633244</v>
      </c>
      <c r="J23" s="11">
        <v>350.81933846120643</v>
      </c>
      <c r="K23" s="11">
        <v>420.03659706090593</v>
      </c>
      <c r="L23" s="11">
        <v>609.73789608567165</v>
      </c>
      <c r="M23" s="11">
        <v>743.92100483765512</v>
      </c>
      <c r="N23" s="11">
        <v>849.39210530581818</v>
      </c>
      <c r="O23" s="11">
        <v>977.64245902470861</v>
      </c>
      <c r="P23" s="11">
        <v>1307.0208949374414</v>
      </c>
      <c r="Q23" s="11">
        <v>1583.3192032642394</v>
      </c>
      <c r="R23" s="11">
        <v>1836.9871529968943</v>
      </c>
      <c r="S23" s="11">
        <v>1913.0525483360184</v>
      </c>
      <c r="T23" s="11">
        <v>2151.8958716739726</v>
      </c>
      <c r="U23" s="11">
        <v>2444.5352704031461</v>
      </c>
    </row>
    <row r="24" spans="1:21">
      <c r="A24" s="11" t="s">
        <v>28</v>
      </c>
      <c r="B24" s="11">
        <v>36.404485230537965</v>
      </c>
      <c r="C24" s="11">
        <v>38.153734354484442</v>
      </c>
      <c r="D24" s="11">
        <v>42.845418513082329</v>
      </c>
      <c r="E24" s="11">
        <v>48.580679693109893</v>
      </c>
      <c r="F24" s="11">
        <v>67.262103845894629</v>
      </c>
      <c r="G24" s="11">
        <v>78.398845148778221</v>
      </c>
      <c r="H24" s="11">
        <v>86.141918277596289</v>
      </c>
      <c r="I24" s="11">
        <v>96.858263048914182</v>
      </c>
      <c r="J24" s="11">
        <v>112.17052588477999</v>
      </c>
      <c r="K24" s="11">
        <v>144.92192539911429</v>
      </c>
      <c r="L24" s="11">
        <v>200.50731509064855</v>
      </c>
      <c r="M24" s="11">
        <v>265.71856004338747</v>
      </c>
      <c r="N24" s="11">
        <v>313.65749306985265</v>
      </c>
      <c r="O24" s="11">
        <v>389.19820253138874</v>
      </c>
      <c r="P24" s="11">
        <v>486.34202048096915</v>
      </c>
      <c r="Q24" s="11">
        <v>621.46454705600809</v>
      </c>
      <c r="R24" s="11">
        <v>642.23317468711605</v>
      </c>
      <c r="S24" s="11">
        <v>698.53485671536293</v>
      </c>
      <c r="T24" s="11">
        <v>832.73988724289791</v>
      </c>
      <c r="U24" s="11">
        <v>901.01559016205033</v>
      </c>
    </row>
    <row r="25" spans="1:21">
      <c r="A25" s="11" t="s">
        <v>29</v>
      </c>
      <c r="B25" s="11">
        <v>9.0810920072316765</v>
      </c>
      <c r="C25" s="11">
        <v>8.5639236465978925</v>
      </c>
      <c r="D25" s="11">
        <v>9.2676873121731962</v>
      </c>
      <c r="E25" s="11">
        <v>10.460676003670624</v>
      </c>
      <c r="F25" s="11">
        <v>12.098767987052042</v>
      </c>
      <c r="G25" s="11">
        <v>15.345736711527394</v>
      </c>
      <c r="H25" s="11">
        <v>16.113581161569638</v>
      </c>
      <c r="I25" s="11">
        <v>19.176219896037814</v>
      </c>
      <c r="J25" s="11">
        <v>25.797959231161666</v>
      </c>
      <c r="K25" s="11">
        <v>29.792249193673843</v>
      </c>
      <c r="L25" s="11">
        <v>42.699651587315742</v>
      </c>
      <c r="M25" s="11">
        <v>58.840552086671622</v>
      </c>
      <c r="N25" s="11">
        <v>78.784501799406684</v>
      </c>
      <c r="O25" s="11">
        <v>104.32302708241046</v>
      </c>
      <c r="P25" s="11">
        <v>135.47407241702149</v>
      </c>
      <c r="Q25" s="11">
        <v>167.47395870447272</v>
      </c>
      <c r="R25" s="11">
        <v>183.81559409297765</v>
      </c>
      <c r="S25" s="11">
        <v>186.07361972820024</v>
      </c>
      <c r="T25" s="11">
        <v>218.11586607063657</v>
      </c>
      <c r="U25" s="11">
        <v>225.88915807889259</v>
      </c>
    </row>
    <row r="26" spans="1:2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</row>
    <row r="27" spans="1:21">
      <c r="A27" s="11" t="s">
        <v>30</v>
      </c>
      <c r="B27" s="11">
        <v>21.567272191500319</v>
      </c>
      <c r="C27" s="11">
        <v>19.585367010224243</v>
      </c>
      <c r="D27" s="11">
        <v>22.230687223112177</v>
      </c>
      <c r="E27" s="11">
        <v>70.41089514558611</v>
      </c>
      <c r="F27" s="11">
        <v>36.018839634039828</v>
      </c>
      <c r="G27" s="11">
        <v>42.795962493545993</v>
      </c>
      <c r="H27" s="11">
        <v>46.770867556620544</v>
      </c>
      <c r="I27" s="11">
        <v>53.260121655254629</v>
      </c>
      <c r="J27" s="11">
        <v>64.641743802684161</v>
      </c>
      <c r="K27" s="11">
        <v>84.128530054048028</v>
      </c>
      <c r="L27" s="11">
        <v>128.69185842891716</v>
      </c>
      <c r="M27" s="11">
        <v>162.35888451022998</v>
      </c>
      <c r="N27" s="11">
        <v>201.22302016632355</v>
      </c>
      <c r="O27" s="11">
        <v>255.11558112718825</v>
      </c>
      <c r="P27" s="11">
        <v>339.24402356647084</v>
      </c>
      <c r="Q27" s="11">
        <v>497.27499710039581</v>
      </c>
      <c r="R27" s="11">
        <v>460.43926782939371</v>
      </c>
      <c r="S27" s="11">
        <v>497.02119806683464</v>
      </c>
      <c r="T27" s="11">
        <v>565.47308074704188</v>
      </c>
      <c r="U27" s="11">
        <v>606.45503147786326</v>
      </c>
    </row>
    <row r="28" spans="1:21">
      <c r="A28" s="11" t="s">
        <v>31</v>
      </c>
      <c r="B28" s="11">
        <v>53.613938618888781</v>
      </c>
      <c r="C28" s="11">
        <v>53.207818763340896</v>
      </c>
      <c r="D28" s="11">
        <v>59.888134314647957</v>
      </c>
      <c r="E28" s="11">
        <v>27.655090306885175</v>
      </c>
      <c r="F28" s="11">
        <v>92.455604421868088</v>
      </c>
      <c r="G28" s="11">
        <v>111.08931970612403</v>
      </c>
      <c r="H28" s="11">
        <v>118.60224774343671</v>
      </c>
      <c r="I28" s="11">
        <v>131.07482112794918</v>
      </c>
      <c r="J28" s="11">
        <v>149.75066995961075</v>
      </c>
      <c r="K28" s="11">
        <v>194.56811399166696</v>
      </c>
      <c r="L28" s="11">
        <v>310.06744269430425</v>
      </c>
      <c r="M28" s="11">
        <v>390.59210991490374</v>
      </c>
      <c r="N28" s="11">
        <v>477.4023556016665</v>
      </c>
      <c r="O28" s="11">
        <v>573.60159251607058</v>
      </c>
      <c r="P28" s="11">
        <v>728.79451890498888</v>
      </c>
      <c r="Q28" s="11">
        <v>1047.5164417487395</v>
      </c>
      <c r="R28" s="11">
        <v>1091.3004518181988</v>
      </c>
      <c r="S28" s="11">
        <v>1117.7213380331466</v>
      </c>
      <c r="T28" s="11">
        <v>1320.6006698715928</v>
      </c>
      <c r="U28" s="11">
        <v>1372.6372313527179</v>
      </c>
    </row>
    <row r="29" spans="1:21">
      <c r="A29" s="11" t="s">
        <v>32</v>
      </c>
      <c r="B29" s="11">
        <v>23.204426505174318</v>
      </c>
      <c r="C29" s="11">
        <v>25.219014244643922</v>
      </c>
      <c r="D29" s="11">
        <v>29.789563875667724</v>
      </c>
      <c r="E29" s="11">
        <v>34.530183219952193</v>
      </c>
      <c r="F29" s="11">
        <v>48.179001213409236</v>
      </c>
      <c r="G29" s="11">
        <v>59.215017568575121</v>
      </c>
      <c r="H29" s="11">
        <v>65.480434323312792</v>
      </c>
      <c r="I29" s="11">
        <v>78.917565602537678</v>
      </c>
      <c r="J29" s="11">
        <v>99.499913749753247</v>
      </c>
      <c r="K29" s="11">
        <v>119.73364793777844</v>
      </c>
      <c r="L29" s="11">
        <v>176.03945126265779</v>
      </c>
      <c r="M29" s="11">
        <v>243.03062471606219</v>
      </c>
      <c r="N29" s="11">
        <v>271.48399063011658</v>
      </c>
      <c r="O29" s="11">
        <v>309.86050330203193</v>
      </c>
      <c r="P29" s="11">
        <v>401.15313059698843</v>
      </c>
      <c r="Q29" s="11">
        <v>527.88205221472163</v>
      </c>
      <c r="R29" s="11">
        <v>590.36426155759739</v>
      </c>
      <c r="S29" s="11">
        <v>673.68273927510882</v>
      </c>
      <c r="T29" s="11">
        <v>815.0451268838508</v>
      </c>
      <c r="U29" s="11">
        <v>889.40692870551277</v>
      </c>
    </row>
    <row r="30" spans="1:21">
      <c r="A30" s="11" t="s">
        <v>33</v>
      </c>
      <c r="B30" s="11">
        <v>57.424325580547425</v>
      </c>
      <c r="C30" s="11">
        <v>54.998940995360968</v>
      </c>
      <c r="D30" s="11">
        <v>61.093281734064149</v>
      </c>
      <c r="E30" s="11">
        <v>67.701254325715098</v>
      </c>
      <c r="F30" s="11">
        <v>82.74001420302254</v>
      </c>
      <c r="G30" s="11">
        <v>93.478642249591829</v>
      </c>
      <c r="H30" s="11">
        <v>101.4710515508537</v>
      </c>
      <c r="I30" s="11">
        <v>119.62957619292744</v>
      </c>
      <c r="J30" s="11">
        <v>130.30799761845608</v>
      </c>
      <c r="K30" s="11">
        <v>160.89541254574812</v>
      </c>
      <c r="L30" s="11">
        <v>201.73547268651478</v>
      </c>
      <c r="M30" s="11">
        <v>255.91356421661331</v>
      </c>
      <c r="N30" s="11">
        <v>325.9034599267269</v>
      </c>
      <c r="O30" s="11">
        <v>397.6327399594897</v>
      </c>
      <c r="P30" s="11">
        <v>514.13512200378239</v>
      </c>
      <c r="Q30" s="11">
        <v>711.72477368192142</v>
      </c>
      <c r="R30" s="11">
        <v>722.30041290003942</v>
      </c>
      <c r="S30" s="11">
        <v>713.77396362234435</v>
      </c>
      <c r="T30" s="11">
        <v>809.29802056938092</v>
      </c>
      <c r="U30" s="11">
        <v>918.50766042217367</v>
      </c>
    </row>
    <row r="31" spans="1:21">
      <c r="A31" s="11" t="s">
        <v>34</v>
      </c>
      <c r="B31" s="11">
        <v>6.1106503597916397</v>
      </c>
      <c r="C31" s="11">
        <v>5.7146062677223544</v>
      </c>
      <c r="D31" s="11">
        <v>6.7924705435488164</v>
      </c>
      <c r="E31" s="11">
        <v>7.5825178851260455</v>
      </c>
      <c r="F31" s="11">
        <v>9.7037670712084587</v>
      </c>
      <c r="G31" s="11">
        <v>13.058199790448864</v>
      </c>
      <c r="H31" s="11">
        <v>14.230056765018249</v>
      </c>
      <c r="I31" s="11">
        <v>16.168237844160842</v>
      </c>
      <c r="J31" s="11">
        <v>21.717182609445164</v>
      </c>
      <c r="K31" s="11">
        <v>22.034447168101863</v>
      </c>
      <c r="L31" s="11">
        <v>35.542457321750298</v>
      </c>
      <c r="M31" s="11">
        <v>49.797109333821673</v>
      </c>
      <c r="N31" s="11">
        <v>64.550415970950112</v>
      </c>
      <c r="O31" s="11">
        <v>64.505644733149154</v>
      </c>
      <c r="P31" s="11">
        <v>82.825784354273921</v>
      </c>
      <c r="Q31" s="11">
        <v>99.646952694745167</v>
      </c>
      <c r="R31" s="11">
        <v>112.85647805972015</v>
      </c>
      <c r="S31" s="11">
        <v>150.25484450686386</v>
      </c>
      <c r="T31" s="11">
        <v>176.3887106828243</v>
      </c>
      <c r="U31" s="11">
        <v>178.86406262370863</v>
      </c>
    </row>
    <row r="32" spans="1:2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</row>
    <row r="33" spans="1:21">
      <c r="A33" s="11" t="s">
        <v>35</v>
      </c>
      <c r="B33" s="11">
        <v>32.732268309091253</v>
      </c>
      <c r="C33" s="11">
        <v>28.815908438519784</v>
      </c>
      <c r="D33" s="11">
        <v>35.796315400002783</v>
      </c>
      <c r="E33" s="11">
        <v>41.782728805870242</v>
      </c>
      <c r="F33" s="11">
        <v>56.792218501651604</v>
      </c>
      <c r="G33" s="11">
        <v>66.265459045423512</v>
      </c>
      <c r="H33" s="11">
        <v>72.237598515763068</v>
      </c>
      <c r="I33" s="11">
        <v>79.539980496652291</v>
      </c>
      <c r="J33" s="11">
        <v>105.83271555418075</v>
      </c>
      <c r="K33" s="11">
        <v>136.94555908286807</v>
      </c>
      <c r="L33" s="11">
        <v>195.3617582665882</v>
      </c>
      <c r="M33" s="11">
        <v>280.19864557397415</v>
      </c>
      <c r="N33" s="11">
        <v>328.84333798044969</v>
      </c>
      <c r="O33" s="11">
        <v>400.81558427198058</v>
      </c>
      <c r="P33" s="11">
        <v>563.59002421557477</v>
      </c>
      <c r="Q33" s="11">
        <v>741.80448463507696</v>
      </c>
      <c r="R33" s="11">
        <v>747.71891803496794</v>
      </c>
      <c r="S33" s="11">
        <v>733.75083589665928</v>
      </c>
      <c r="T33" s="11">
        <v>799.39612546977116</v>
      </c>
      <c r="U33" s="11">
        <v>819.80767868316536</v>
      </c>
    </row>
    <row r="34" spans="1:21">
      <c r="A34" s="11" t="s">
        <v>36</v>
      </c>
      <c r="B34" s="11">
        <v>21.538031555083375</v>
      </c>
      <c r="C34" s="11">
        <v>21.335293761352883</v>
      </c>
      <c r="D34" s="11">
        <v>25.755566117113091</v>
      </c>
      <c r="E34" s="11">
        <v>29.930780068792167</v>
      </c>
      <c r="F34" s="11">
        <v>39.028427288523346</v>
      </c>
      <c r="G34" s="11">
        <v>45.880231892146959</v>
      </c>
      <c r="H34" s="11">
        <v>51.803509701115274</v>
      </c>
      <c r="I34" s="11">
        <v>57.403705993316969</v>
      </c>
      <c r="J34" s="11">
        <v>71.912951595800109</v>
      </c>
      <c r="K34" s="11">
        <v>93.59002093374994</v>
      </c>
      <c r="L34" s="11">
        <v>131.25404927546572</v>
      </c>
      <c r="M34" s="11">
        <v>193.4873664068819</v>
      </c>
      <c r="N34" s="11">
        <v>218.22778243390019</v>
      </c>
      <c r="O34" s="11">
        <v>242.14018581326695</v>
      </c>
      <c r="P34" s="11">
        <v>302.65846633402782</v>
      </c>
      <c r="Q34" s="11">
        <v>388.04092755557411</v>
      </c>
      <c r="R34" s="11">
        <v>397.02989006529276</v>
      </c>
      <c r="S34" s="11">
        <v>424.3472614500576</v>
      </c>
      <c r="T34" s="11">
        <v>525.49642012657273</v>
      </c>
      <c r="U34" s="11">
        <v>578.79879260365988</v>
      </c>
    </row>
    <row r="35" spans="1:21">
      <c r="A35" s="11" t="s">
        <v>37</v>
      </c>
      <c r="B35" s="11">
        <v>6.5982085171906606</v>
      </c>
      <c r="C35" s="11">
        <v>6.5223240788903727</v>
      </c>
      <c r="D35" s="11">
        <v>7.2556530510564423</v>
      </c>
      <c r="E35" s="11">
        <v>7.9002126506460293</v>
      </c>
      <c r="F35" s="11">
        <v>11.043687646997219</v>
      </c>
      <c r="G35" s="11">
        <v>12.506766185880567</v>
      </c>
      <c r="H35" s="11">
        <v>13.756861419368306</v>
      </c>
      <c r="I35" s="11">
        <v>16.328388256070358</v>
      </c>
      <c r="J35" s="11">
        <v>21.646636985494247</v>
      </c>
      <c r="K35" s="11">
        <v>26.077405126433113</v>
      </c>
      <c r="L35" s="11">
        <v>36.89766570339583</v>
      </c>
      <c r="M35" s="11">
        <v>51.626952136445119</v>
      </c>
      <c r="N35" s="11">
        <v>65.37527384213854</v>
      </c>
      <c r="O35" s="11">
        <v>87.496390150375177</v>
      </c>
      <c r="P35" s="11">
        <v>138.49714435592574</v>
      </c>
      <c r="Q35" s="11">
        <v>181.20600066134807</v>
      </c>
      <c r="R35" s="11">
        <v>127.94542497701619</v>
      </c>
      <c r="S35" s="11">
        <v>165.30359476962195</v>
      </c>
      <c r="T35" s="11">
        <v>172.08628980887246</v>
      </c>
      <c r="U35" s="11">
        <v>180.67758648431217</v>
      </c>
    </row>
    <row r="36" spans="1:21">
      <c r="A36" s="11" t="s">
        <v>38</v>
      </c>
      <c r="B36" s="11">
        <v>6.2401446067809658</v>
      </c>
      <c r="C36" s="11">
        <v>6.495558031145408</v>
      </c>
      <c r="D36" s="11">
        <v>7.6123417712077801</v>
      </c>
      <c r="E36" s="11">
        <v>8.7822393628523283</v>
      </c>
      <c r="F36" s="11">
        <v>11.810022858520538</v>
      </c>
      <c r="G36" s="11">
        <v>14.110551509805264</v>
      </c>
      <c r="H36" s="11">
        <v>15.010475141756453</v>
      </c>
      <c r="I36" s="11">
        <v>17.228632555481553</v>
      </c>
      <c r="J36" s="11">
        <v>20.801048577562966</v>
      </c>
      <c r="K36" s="11">
        <v>26.336729571168501</v>
      </c>
      <c r="L36" s="11">
        <v>50.089772293476514</v>
      </c>
      <c r="M36" s="11">
        <v>57.179943300475784</v>
      </c>
      <c r="N36" s="11">
        <v>67.151890795467438</v>
      </c>
      <c r="O36" s="11">
        <v>86.562755818711182</v>
      </c>
      <c r="P36" s="11">
        <v>109.66087012180053</v>
      </c>
      <c r="Q36" s="11">
        <v>112.27157191316282</v>
      </c>
      <c r="R36" s="11">
        <v>118.93206938650299</v>
      </c>
      <c r="S36" s="11">
        <v>129.73862840724985</v>
      </c>
      <c r="T36" s="11">
        <v>150.27892126148913</v>
      </c>
      <c r="U36" s="11">
        <v>160.8658926815564</v>
      </c>
    </row>
    <row r="37" spans="1:21">
      <c r="A37" s="11" t="s">
        <v>39</v>
      </c>
      <c r="B37" s="11">
        <v>27.093966691419492</v>
      </c>
      <c r="C37" s="11">
        <v>27.669814912649983</v>
      </c>
      <c r="D37" s="11">
        <v>30.166001955974274</v>
      </c>
      <c r="E37" s="11">
        <v>34.066135906841438</v>
      </c>
      <c r="F37" s="11">
        <v>46.47744417686765</v>
      </c>
      <c r="G37" s="11">
        <v>54.462976558994534</v>
      </c>
      <c r="H37" s="11">
        <v>57.748455047108173</v>
      </c>
      <c r="I37" s="11">
        <v>65.680176579133743</v>
      </c>
      <c r="J37" s="11">
        <v>77.4208384833031</v>
      </c>
      <c r="K37" s="11">
        <v>95.512060114490851</v>
      </c>
      <c r="L37" s="11">
        <v>151.15867238088444</v>
      </c>
      <c r="M37" s="11">
        <v>210.70692757839032</v>
      </c>
      <c r="N37" s="11">
        <v>253.961048417819</v>
      </c>
      <c r="O37" s="11">
        <v>332.96795301071592</v>
      </c>
      <c r="P37" s="11">
        <v>425.57188773729229</v>
      </c>
      <c r="Q37" s="11">
        <v>499.77460842434317</v>
      </c>
      <c r="R37" s="11">
        <v>560.88132271012432</v>
      </c>
      <c r="S37" s="11">
        <v>599.83493668562198</v>
      </c>
      <c r="T37" s="11">
        <v>683.25185217147327</v>
      </c>
      <c r="U37" s="11">
        <v>700.65283479548964</v>
      </c>
    </row>
    <row r="38" spans="1:21">
      <c r="A38" s="10"/>
    </row>
  </sheetData>
  <phoneticPr fontId="6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F23C2-E83F-E048-9383-F05AF6B53A0E}">
  <dimension ref="A1:V39"/>
  <sheetViews>
    <sheetView workbookViewId="0">
      <selection sqref="A1:A1048576"/>
    </sheetView>
  </sheetViews>
  <sheetFormatPr baseColWidth="10" defaultRowHeight="16"/>
  <cols>
    <col min="1" max="1" width="19" customWidth="1"/>
  </cols>
  <sheetData>
    <row r="1" spans="1:22" ht="17">
      <c r="A1" s="23" t="s">
        <v>1</v>
      </c>
      <c r="B1" s="23">
        <v>1997</v>
      </c>
      <c r="C1" s="23">
        <v>1998</v>
      </c>
      <c r="D1" s="23">
        <v>1999</v>
      </c>
      <c r="E1" s="23">
        <v>2000</v>
      </c>
      <c r="F1" s="23">
        <v>2001</v>
      </c>
      <c r="G1" s="23">
        <v>2002</v>
      </c>
      <c r="H1" s="23">
        <v>2003</v>
      </c>
      <c r="I1" s="23">
        <v>2004</v>
      </c>
      <c r="J1" s="23">
        <v>2005</v>
      </c>
      <c r="K1" s="23">
        <v>2006</v>
      </c>
      <c r="L1" s="23">
        <v>2007</v>
      </c>
      <c r="M1" s="23">
        <v>2008</v>
      </c>
      <c r="N1" s="23">
        <v>2009</v>
      </c>
      <c r="O1" s="23">
        <v>2010</v>
      </c>
      <c r="P1" s="23">
        <v>2011</v>
      </c>
      <c r="Q1" s="23">
        <v>2012</v>
      </c>
      <c r="R1" s="23">
        <v>2013</v>
      </c>
      <c r="S1" s="23">
        <v>2014</v>
      </c>
      <c r="T1" s="23">
        <v>2015</v>
      </c>
      <c r="U1" s="23">
        <v>2016</v>
      </c>
    </row>
    <row r="2" spans="1:22">
      <c r="A2" s="16" t="s">
        <v>9</v>
      </c>
      <c r="B2" s="11">
        <v>17.569511182587576</v>
      </c>
      <c r="C2" s="11">
        <v>20.81888913586009</v>
      </c>
      <c r="D2" s="11">
        <v>23.147730662610666</v>
      </c>
      <c r="E2" s="11">
        <v>28.963430523239904</v>
      </c>
      <c r="F2" s="11">
        <v>33.776933101049423</v>
      </c>
      <c r="G2" s="11">
        <v>38.987138045163803</v>
      </c>
      <c r="H2" s="11">
        <v>51.084855767626649</v>
      </c>
      <c r="I2" s="11">
        <v>55.520739817915512</v>
      </c>
      <c r="J2" s="11">
        <v>66.996677860710236</v>
      </c>
      <c r="K2" s="11">
        <v>88.685129838466437</v>
      </c>
      <c r="L2" s="11">
        <v>121.0306746772338</v>
      </c>
      <c r="M2" s="11">
        <v>147.55360259309958</v>
      </c>
      <c r="N2" s="11">
        <v>169.32188821329532</v>
      </c>
      <c r="O2" s="11">
        <v>189.72500594002477</v>
      </c>
      <c r="P2" s="11">
        <v>228.01932383378946</v>
      </c>
      <c r="Q2" s="11">
        <v>258.71279618341583</v>
      </c>
      <c r="R2" s="11">
        <v>278.71181189825461</v>
      </c>
      <c r="S2" s="11">
        <v>325.17370589180058</v>
      </c>
      <c r="T2" s="11">
        <v>373.15825621867282</v>
      </c>
      <c r="U2" s="11">
        <v>400.72610993900184</v>
      </c>
      <c r="V2" s="11"/>
    </row>
    <row r="3" spans="1:22">
      <c r="A3" s="11" t="s">
        <v>10</v>
      </c>
      <c r="B3" s="11">
        <v>7.9038899282084492</v>
      </c>
      <c r="C3" s="11">
        <v>8.1517833367550558</v>
      </c>
      <c r="D3" s="11">
        <v>8.3533605521896188</v>
      </c>
      <c r="E3" s="11">
        <v>8.8187176745003661</v>
      </c>
      <c r="F3" s="11">
        <v>10.216033509758383</v>
      </c>
      <c r="G3" s="11">
        <v>12.032035568516516</v>
      </c>
      <c r="H3" s="11">
        <v>15.760558685415578</v>
      </c>
      <c r="I3" s="11">
        <v>18.831140761380883</v>
      </c>
      <c r="J3" s="11">
        <v>19.377641719577134</v>
      </c>
      <c r="K3" s="11">
        <v>24.222961736220203</v>
      </c>
      <c r="L3" s="11">
        <v>33.678985555413526</v>
      </c>
      <c r="M3" s="11">
        <v>42.643550642555908</v>
      </c>
      <c r="N3" s="11">
        <v>55.095917775459839</v>
      </c>
      <c r="O3" s="11">
        <v>71.159571599494356</v>
      </c>
      <c r="P3" s="11">
        <v>91.545476015224438</v>
      </c>
      <c r="Q3" s="11">
        <v>107.0072336319049</v>
      </c>
      <c r="R3" s="11">
        <v>130.14558731815069</v>
      </c>
      <c r="S3" s="11">
        <v>162.77350824265162</v>
      </c>
      <c r="T3" s="11">
        <v>196.40862336112917</v>
      </c>
      <c r="U3" s="11">
        <v>204.64773796432553</v>
      </c>
      <c r="V3" s="11"/>
    </row>
    <row r="4" spans="1:22">
      <c r="A4" s="11" t="s">
        <v>11</v>
      </c>
      <c r="B4" s="11">
        <v>16.21726390596573</v>
      </c>
      <c r="C4" s="11">
        <v>15.815117338727346</v>
      </c>
      <c r="D4" s="11">
        <v>17.015604158891005</v>
      </c>
      <c r="E4" s="11">
        <v>17.727887379621322</v>
      </c>
      <c r="F4" s="11">
        <v>22.12044397187913</v>
      </c>
      <c r="G4" s="11">
        <v>25.323687067188875</v>
      </c>
      <c r="H4" s="11">
        <v>35.844245771137302</v>
      </c>
      <c r="I4" s="11">
        <v>36.087628552203604</v>
      </c>
      <c r="J4" s="11">
        <v>46.030870545279811</v>
      </c>
      <c r="K4" s="11">
        <v>51.141698782913757</v>
      </c>
      <c r="L4" s="11">
        <v>79.476300958711491</v>
      </c>
      <c r="M4" s="11">
        <v>122.31537522091894</v>
      </c>
      <c r="N4" s="11">
        <v>177.50193502429593</v>
      </c>
      <c r="O4" s="11">
        <v>239.14165720349553</v>
      </c>
      <c r="P4" s="11">
        <v>306.14595011166682</v>
      </c>
      <c r="Q4" s="11">
        <v>326.51805960553969</v>
      </c>
      <c r="R4" s="11">
        <v>384.31000753362702</v>
      </c>
      <c r="S4" s="11">
        <v>450.7876758676893</v>
      </c>
      <c r="T4" s="11">
        <v>538.90006293870681</v>
      </c>
      <c r="U4" s="11">
        <v>551.68188614444421</v>
      </c>
      <c r="V4" s="11"/>
    </row>
    <row r="5" spans="1:22">
      <c r="A5" s="11" t="s">
        <v>12</v>
      </c>
      <c r="B5" s="11">
        <v>9.034797235917269</v>
      </c>
      <c r="C5" s="11">
        <v>9.3815359793337834</v>
      </c>
      <c r="D5" s="11">
        <v>10.087537148464643</v>
      </c>
      <c r="E5" s="11">
        <v>10.60928211455191</v>
      </c>
      <c r="F5" s="11">
        <v>13.689484903076233</v>
      </c>
      <c r="G5" s="11">
        <v>15.499217331545447</v>
      </c>
      <c r="H5" s="11">
        <v>20.920627453565782</v>
      </c>
      <c r="I5" s="11">
        <v>22.992151480502876</v>
      </c>
      <c r="J5" s="11">
        <v>28.76329610103668</v>
      </c>
      <c r="K5" s="11">
        <v>36.125202439280528</v>
      </c>
      <c r="L5" s="11">
        <v>53.01133375942733</v>
      </c>
      <c r="M5" s="11">
        <v>72.734109516764008</v>
      </c>
      <c r="N5" s="11">
        <v>103.37343628361361</v>
      </c>
      <c r="O5" s="11">
        <v>115.63049553758282</v>
      </c>
      <c r="P5" s="11">
        <v>161.41045931238401</v>
      </c>
      <c r="Q5" s="11">
        <v>182.20833267092561</v>
      </c>
      <c r="R5" s="11">
        <v>203.51523787000713</v>
      </c>
      <c r="S5" s="11">
        <v>246.12266534874129</v>
      </c>
      <c r="T5" s="11">
        <v>292.77997588613403</v>
      </c>
      <c r="U5" s="11">
        <v>302.95880747894989</v>
      </c>
      <c r="V5" s="11"/>
    </row>
    <row r="6" spans="1:22">
      <c r="A6" s="11" t="s">
        <v>13</v>
      </c>
      <c r="B6" s="11">
        <v>7.6226952192017308</v>
      </c>
      <c r="C6" s="11">
        <v>7.8726840200163357</v>
      </c>
      <c r="D6" s="11">
        <v>8.4688232537116228</v>
      </c>
      <c r="E6" s="11">
        <v>9.2453954351045535</v>
      </c>
      <c r="F6" s="11">
        <v>11.457376032278448</v>
      </c>
      <c r="G6" s="11">
        <v>12.762065953367731</v>
      </c>
      <c r="H6" s="11">
        <v>17.586657178610007</v>
      </c>
      <c r="I6" s="11">
        <v>17.9448208325373</v>
      </c>
      <c r="J6" s="11">
        <v>21.313843861860349</v>
      </c>
      <c r="K6" s="11">
        <v>28.774291869664196</v>
      </c>
      <c r="L6" s="11">
        <v>44.637374511057139</v>
      </c>
      <c r="M6" s="11">
        <v>60.852509528570955</v>
      </c>
      <c r="N6" s="11">
        <v>104.60298369247208</v>
      </c>
      <c r="O6" s="11">
        <v>122.59716688298785</v>
      </c>
      <c r="P6" s="11">
        <v>166.43620785756977</v>
      </c>
      <c r="Q6" s="11">
        <v>179.7531577325295</v>
      </c>
      <c r="R6" s="11">
        <v>197.86287794305164</v>
      </c>
      <c r="S6" s="11">
        <v>229.81807294062594</v>
      </c>
      <c r="T6" s="11">
        <v>258.98101475394503</v>
      </c>
      <c r="U6" s="11">
        <v>286.6155865609702</v>
      </c>
      <c r="V6" s="11"/>
    </row>
    <row r="7" spans="1:22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</row>
    <row r="8" spans="1:22">
      <c r="A8" s="11" t="s">
        <v>14</v>
      </c>
      <c r="B8" s="11">
        <v>15.325979841021079</v>
      </c>
      <c r="C8" s="11">
        <v>15.696962230982486</v>
      </c>
      <c r="D8" s="11">
        <v>15.406342756428076</v>
      </c>
      <c r="E8" s="11">
        <v>17.392270754221027</v>
      </c>
      <c r="F8" s="11">
        <v>17.960716104607396</v>
      </c>
      <c r="G8" s="11">
        <v>20.26754308379525</v>
      </c>
      <c r="H8" s="11">
        <v>25.896985135070427</v>
      </c>
      <c r="I8" s="11">
        <v>26.179247449867891</v>
      </c>
      <c r="J8" s="11">
        <v>35.071752023727001</v>
      </c>
      <c r="K8" s="11">
        <v>44.547170017335688</v>
      </c>
      <c r="L8" s="11">
        <v>67.764967915122071</v>
      </c>
      <c r="M8" s="11">
        <v>85.348136901489525</v>
      </c>
      <c r="N8" s="11">
        <v>165.95841554939324</v>
      </c>
      <c r="O8" s="11">
        <v>153.7136114927853</v>
      </c>
      <c r="P8" s="11">
        <v>184.11228121166369</v>
      </c>
      <c r="Q8" s="11">
        <v>202.26397980144503</v>
      </c>
      <c r="R8" s="11">
        <v>231.64582200648039</v>
      </c>
      <c r="S8" s="11">
        <v>276.05813915745313</v>
      </c>
      <c r="T8" s="11">
        <v>283.96767225363539</v>
      </c>
      <c r="U8" s="11">
        <v>309.45380285300831</v>
      </c>
      <c r="V8" s="11"/>
    </row>
    <row r="9" spans="1:22">
      <c r="A9" s="11" t="s">
        <v>15</v>
      </c>
      <c r="B9" s="11">
        <v>9.182084838673422</v>
      </c>
      <c r="C9" s="11">
        <v>8.5727300559636195</v>
      </c>
      <c r="D9" s="11">
        <v>9.2458587758381352</v>
      </c>
      <c r="E9" s="11">
        <v>9.5211167764799924</v>
      </c>
      <c r="F9" s="11">
        <v>11.29941297541092</v>
      </c>
      <c r="G9" s="11">
        <v>13.098710491580592</v>
      </c>
      <c r="H9" s="11">
        <v>16.609334781530919</v>
      </c>
      <c r="I9" s="11">
        <v>17.477579994136384</v>
      </c>
      <c r="J9" s="11">
        <v>21.135588710770104</v>
      </c>
      <c r="K9" s="11">
        <v>27.422176625893165</v>
      </c>
      <c r="L9" s="11">
        <v>43.050086974306531</v>
      </c>
      <c r="M9" s="11">
        <v>60.547331446682435</v>
      </c>
      <c r="N9" s="11">
        <v>109.07406517923016</v>
      </c>
      <c r="O9" s="11">
        <v>112.63462374910688</v>
      </c>
      <c r="P9" s="11">
        <v>145.48379138749962</v>
      </c>
      <c r="Q9" s="11">
        <v>162.0213387330023</v>
      </c>
      <c r="R9" s="11">
        <v>183.20711613244555</v>
      </c>
      <c r="S9" s="11">
        <v>208.28713222347361</v>
      </c>
      <c r="T9" s="11">
        <v>247.56026924622685</v>
      </c>
      <c r="U9" s="11">
        <v>275.52878050385647</v>
      </c>
      <c r="V9" s="11"/>
    </row>
    <row r="10" spans="1:22">
      <c r="A10" s="11" t="s">
        <v>16</v>
      </c>
      <c r="B10" s="11">
        <v>11.417955590637481</v>
      </c>
      <c r="C10" s="11">
        <v>12.135356753273161</v>
      </c>
      <c r="D10" s="11">
        <v>13.550300157402274</v>
      </c>
      <c r="E10" s="11">
        <v>13.817943541964832</v>
      </c>
      <c r="F10" s="11">
        <v>16.594187604246613</v>
      </c>
      <c r="G10" s="11">
        <v>17.834656692826716</v>
      </c>
      <c r="H10" s="11">
        <v>23.734340281466498</v>
      </c>
      <c r="I10" s="11">
        <v>24.21488481299512</v>
      </c>
      <c r="J10" s="11">
        <v>28.598823564721453</v>
      </c>
      <c r="K10" s="11">
        <v>37.05812426572934</v>
      </c>
      <c r="L10" s="11">
        <v>58.546490297839703</v>
      </c>
      <c r="M10" s="11">
        <v>72.937561571356369</v>
      </c>
      <c r="N10" s="11">
        <v>137.68898669448191</v>
      </c>
      <c r="O10" s="11">
        <v>137.28201639531395</v>
      </c>
      <c r="P10" s="11">
        <v>172.69564115630209</v>
      </c>
      <c r="Q10" s="11">
        <v>175.12570867168424</v>
      </c>
      <c r="R10" s="11">
        <v>192.28117251518307</v>
      </c>
      <c r="S10" s="11">
        <v>237.41544799217971</v>
      </c>
      <c r="T10" s="11">
        <v>275.91070893249378</v>
      </c>
      <c r="U10" s="11">
        <v>282.51719413113796</v>
      </c>
      <c r="V10" s="11"/>
    </row>
    <row r="11" spans="1:22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</row>
    <row r="12" spans="1:22">
      <c r="A12" s="11" t="s">
        <v>17</v>
      </c>
      <c r="B12" s="11">
        <v>23.438544229999859</v>
      </c>
      <c r="C12" s="11">
        <v>26.170590450786037</v>
      </c>
      <c r="D12" s="11">
        <v>30.098361686890797</v>
      </c>
      <c r="E12" s="11">
        <v>33.075495565122644</v>
      </c>
      <c r="F12" s="11">
        <v>35.296829740657152</v>
      </c>
      <c r="G12" s="11">
        <v>31.303419195877929</v>
      </c>
      <c r="H12" s="11">
        <v>37.505879101049047</v>
      </c>
      <c r="I12" s="11">
        <v>46.226035913444385</v>
      </c>
      <c r="J12" s="11">
        <v>53.238055044744137</v>
      </c>
      <c r="K12" s="11">
        <v>62.646953642157634</v>
      </c>
      <c r="L12" s="11">
        <v>90.383815313818232</v>
      </c>
      <c r="M12" s="11">
        <v>124.39058617776089</v>
      </c>
      <c r="N12" s="11">
        <v>134.99617625359349</v>
      </c>
      <c r="O12" s="11">
        <v>162.55904989198032</v>
      </c>
      <c r="P12" s="11">
        <v>192.16156862004971</v>
      </c>
      <c r="Q12" s="11">
        <v>199.38445363912865</v>
      </c>
      <c r="R12" s="11">
        <v>216.92949919665691</v>
      </c>
      <c r="S12" s="11">
        <v>267.11886386438982</v>
      </c>
      <c r="T12" s="11">
        <v>305.62076117920344</v>
      </c>
      <c r="U12" s="11">
        <v>385.77251593826264</v>
      </c>
      <c r="V12" s="11"/>
    </row>
    <row r="13" spans="1:22">
      <c r="A13" s="11" t="s">
        <v>18</v>
      </c>
      <c r="B13" s="11">
        <v>27.454021017206944</v>
      </c>
      <c r="C13" s="11">
        <v>29.238742617671544</v>
      </c>
      <c r="D13" s="11">
        <v>31.570002932786128</v>
      </c>
      <c r="E13" s="11">
        <v>33.060877055123356</v>
      </c>
      <c r="F13" s="11">
        <v>38.191015185940422</v>
      </c>
      <c r="G13" s="11">
        <v>43.062027444807818</v>
      </c>
      <c r="H13" s="11">
        <v>57.190650684340419</v>
      </c>
      <c r="I13" s="11">
        <v>64.070631018887326</v>
      </c>
      <c r="J13" s="11">
        <v>76.627560691722323</v>
      </c>
      <c r="K13" s="11">
        <v>91.198660428747942</v>
      </c>
      <c r="L13" s="11">
        <v>117.3066539179343</v>
      </c>
      <c r="M13" s="11">
        <v>151.17504916484336</v>
      </c>
      <c r="N13" s="11">
        <v>201.41205942961815</v>
      </c>
      <c r="O13" s="11">
        <v>253.57261927612026</v>
      </c>
      <c r="P13" s="11">
        <v>353.78438350476551</v>
      </c>
      <c r="Q13" s="11">
        <v>422.47195421437743</v>
      </c>
      <c r="R13" s="11">
        <v>480.3092847930447</v>
      </c>
      <c r="S13" s="11">
        <v>565.94894922550395</v>
      </c>
      <c r="T13" s="11">
        <v>653.93335675630578</v>
      </c>
      <c r="U13" s="11">
        <v>717.74230275467357</v>
      </c>
      <c r="V13" s="11"/>
    </row>
    <row r="14" spans="1:22">
      <c r="A14" s="11" t="s">
        <v>19</v>
      </c>
      <c r="B14" s="11">
        <v>19.349627923804096</v>
      </c>
      <c r="C14" s="11">
        <v>21.746156532855178</v>
      </c>
      <c r="D14" s="11">
        <v>24.17957691776153</v>
      </c>
      <c r="E14" s="11">
        <v>27.655581465456482</v>
      </c>
      <c r="F14" s="11">
        <v>33.447222234452624</v>
      </c>
      <c r="G14" s="11">
        <v>38.269134350685377</v>
      </c>
      <c r="H14" s="11">
        <v>46.704504194113255</v>
      </c>
      <c r="I14" s="11">
        <v>54.190592437738133</v>
      </c>
      <c r="J14" s="11">
        <v>66.234856590701412</v>
      </c>
      <c r="K14" s="11">
        <v>85.09392071553566</v>
      </c>
      <c r="L14" s="11">
        <v>114.24400296561421</v>
      </c>
      <c r="M14" s="11">
        <v>145.335975198043</v>
      </c>
      <c r="N14" s="11">
        <v>179.91022209784518</v>
      </c>
      <c r="O14" s="11">
        <v>228.0213873445764</v>
      </c>
      <c r="P14" s="11">
        <v>282.10932175773019</v>
      </c>
      <c r="Q14" s="11">
        <v>309.07924502252888</v>
      </c>
      <c r="R14" s="11">
        <v>354.0093209251977</v>
      </c>
      <c r="S14" s="11">
        <v>437.68144719309657</v>
      </c>
      <c r="T14" s="11">
        <v>488.95696155178035</v>
      </c>
      <c r="U14" s="11">
        <v>546.22407607818116</v>
      </c>
      <c r="V14" s="11"/>
    </row>
    <row r="15" spans="1:22">
      <c r="A15" s="11" t="s">
        <v>20</v>
      </c>
      <c r="B15" s="11">
        <v>10.319835606427084</v>
      </c>
      <c r="C15" s="11">
        <v>10.644069771079408</v>
      </c>
      <c r="D15" s="11">
        <v>11.601053951602108</v>
      </c>
      <c r="E15" s="11">
        <v>11.890127535808874</v>
      </c>
      <c r="F15" s="11">
        <v>13.046604873316724</v>
      </c>
      <c r="G15" s="11">
        <v>14.700213363445124</v>
      </c>
      <c r="H15" s="11">
        <v>17.580173257904868</v>
      </c>
      <c r="I15" s="11">
        <v>22.712115048344792</v>
      </c>
      <c r="J15" s="11">
        <v>25.546127532218932</v>
      </c>
      <c r="K15" s="11">
        <v>35.414865695905597</v>
      </c>
      <c r="L15" s="11">
        <v>66.554152422344359</v>
      </c>
      <c r="M15" s="11">
        <v>105.63230674434651</v>
      </c>
      <c r="N15" s="11">
        <v>168.4175103671102</v>
      </c>
      <c r="O15" s="11">
        <v>187.08457656713074</v>
      </c>
      <c r="P15" s="11">
        <v>280.33969198829857</v>
      </c>
      <c r="Q15" s="11">
        <v>322.69889859025687</v>
      </c>
      <c r="R15" s="11">
        <v>365.18282528080437</v>
      </c>
      <c r="S15" s="11">
        <v>428.80270875303376</v>
      </c>
      <c r="T15" s="11">
        <v>489.05767359329462</v>
      </c>
      <c r="U15" s="11">
        <v>483.46933007642559</v>
      </c>
      <c r="V15" s="11"/>
    </row>
    <row r="16" spans="1:22">
      <c r="A16" s="11" t="s">
        <v>21</v>
      </c>
      <c r="B16" s="11">
        <v>12.851098693461042</v>
      </c>
      <c r="C16" s="11">
        <v>14.116931265530065</v>
      </c>
      <c r="D16" s="11">
        <v>14.807481631984725</v>
      </c>
      <c r="E16" s="11">
        <v>16.386029982603446</v>
      </c>
      <c r="F16" s="11">
        <v>17.293329847538125</v>
      </c>
      <c r="G16" s="11">
        <v>18.912330384009497</v>
      </c>
      <c r="H16" s="11">
        <v>21.32602687670126</v>
      </c>
      <c r="I16" s="11">
        <v>23.952716492019835</v>
      </c>
      <c r="J16" s="11">
        <v>26.47334017952798</v>
      </c>
      <c r="K16" s="11">
        <v>34.706158866182477</v>
      </c>
      <c r="L16" s="11">
        <v>52.899409638246198</v>
      </c>
      <c r="M16" s="11">
        <v>75.551920472868019</v>
      </c>
      <c r="N16" s="11">
        <v>94.898704556440322</v>
      </c>
      <c r="O16" s="11">
        <v>119.40834064033889</v>
      </c>
      <c r="P16" s="11">
        <v>161.0868698688308</v>
      </c>
      <c r="Q16" s="11">
        <v>187.91686699271074</v>
      </c>
      <c r="R16" s="11">
        <v>226.32654757522045</v>
      </c>
      <c r="S16" s="11">
        <v>294.75393725908532</v>
      </c>
      <c r="T16" s="11">
        <v>353.69061859396447</v>
      </c>
      <c r="U16" s="11">
        <v>380.21400826930096</v>
      </c>
      <c r="V16" s="11"/>
    </row>
    <row r="17" spans="1:22">
      <c r="A17" s="11" t="s">
        <v>22</v>
      </c>
      <c r="B17" s="11">
        <v>8.8594208046188552</v>
      </c>
      <c r="C17" s="11">
        <v>9.3472230007665651</v>
      </c>
      <c r="D17" s="11">
        <v>9.8150411072846335</v>
      </c>
      <c r="E17" s="11">
        <v>10.471929031016945</v>
      </c>
      <c r="F17" s="11">
        <v>12.012339971564174</v>
      </c>
      <c r="G17" s="11">
        <v>13.169020373760008</v>
      </c>
      <c r="H17" s="11">
        <v>15.500996018457547</v>
      </c>
      <c r="I17" s="11">
        <v>18.061066245519683</v>
      </c>
      <c r="J17" s="11">
        <v>22.295268127284473</v>
      </c>
      <c r="K17" s="11">
        <v>29.355967304150187</v>
      </c>
      <c r="L17" s="11">
        <v>59.085761063530612</v>
      </c>
      <c r="M17" s="11">
        <v>78.247660196216614</v>
      </c>
      <c r="N17" s="11">
        <v>122.49747118833795</v>
      </c>
      <c r="O17" s="11">
        <v>152.35277481598607</v>
      </c>
      <c r="P17" s="11">
        <v>198.52212361989243</v>
      </c>
      <c r="Q17" s="11">
        <v>221.42040648127619</v>
      </c>
      <c r="R17" s="11">
        <v>264.59100558073533</v>
      </c>
      <c r="S17" s="11">
        <v>341.47829829991593</v>
      </c>
      <c r="T17" s="11">
        <v>401.62955035475693</v>
      </c>
      <c r="U17" s="11">
        <v>441.78052255921324</v>
      </c>
      <c r="V17" s="11"/>
    </row>
    <row r="18" spans="1:22">
      <c r="A18" s="11" t="s">
        <v>23</v>
      </c>
      <c r="B18" s="11">
        <v>24.52675651832444</v>
      </c>
      <c r="C18" s="11">
        <v>25.83328161683507</v>
      </c>
      <c r="D18" s="11">
        <v>26.281181036925677</v>
      </c>
      <c r="E18" s="11">
        <v>28.68862283873942</v>
      </c>
      <c r="F18" s="11">
        <v>31.30537796757914</v>
      </c>
      <c r="G18" s="11">
        <v>34.50858357634057</v>
      </c>
      <c r="H18" s="11">
        <v>40.767085376980503</v>
      </c>
      <c r="I18" s="11">
        <v>46.43644832616603</v>
      </c>
      <c r="J18" s="11">
        <v>55.547510813823415</v>
      </c>
      <c r="K18" s="11">
        <v>74.691404311337479</v>
      </c>
      <c r="L18" s="11">
        <v>101.39307886999873</v>
      </c>
      <c r="M18" s="11">
        <v>142.84368752928674</v>
      </c>
      <c r="N18" s="11">
        <v>192.29715012593178</v>
      </c>
      <c r="O18" s="11">
        <v>254.66941301563008</v>
      </c>
      <c r="P18" s="11">
        <v>364.4021621213551</v>
      </c>
      <c r="Q18" s="11">
        <v>427.29137168604387</v>
      </c>
      <c r="R18" s="11">
        <v>490.4027846626081</v>
      </c>
      <c r="S18" s="11">
        <v>611.0892626128234</v>
      </c>
      <c r="T18" s="11">
        <v>706.42447279354326</v>
      </c>
      <c r="U18" s="11">
        <v>795.70238676391477</v>
      </c>
      <c r="V18" s="11"/>
    </row>
    <row r="19" spans="1:22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</row>
    <row r="20" spans="1:22">
      <c r="A20" s="11" t="s">
        <v>24</v>
      </c>
      <c r="B20" s="11">
        <v>14.222242091102228</v>
      </c>
      <c r="C20" s="11">
        <v>14.774800931988473</v>
      </c>
      <c r="D20" s="11">
        <v>15.799993322444555</v>
      </c>
      <c r="E20" s="11">
        <v>17.561500310948883</v>
      </c>
      <c r="F20" s="11">
        <v>19.839424755742275</v>
      </c>
      <c r="G20" s="11">
        <v>22.535756329659357</v>
      </c>
      <c r="H20" s="11">
        <v>31.070639260888534</v>
      </c>
      <c r="I20" s="11">
        <v>34.648116008752169</v>
      </c>
      <c r="J20" s="11">
        <v>42.680878407407995</v>
      </c>
      <c r="K20" s="11">
        <v>62.564439263535277</v>
      </c>
      <c r="L20" s="11">
        <v>100.50786082065704</v>
      </c>
      <c r="M20" s="11">
        <v>147.9808519077435</v>
      </c>
      <c r="N20" s="11">
        <v>226.75496222046965</v>
      </c>
      <c r="O20" s="11">
        <v>274.41170032680702</v>
      </c>
      <c r="P20" s="11">
        <v>365.53472517379134</v>
      </c>
      <c r="Q20" s="11">
        <v>430.40328066145946</v>
      </c>
      <c r="R20" s="11">
        <v>497.08468157625907</v>
      </c>
      <c r="S20" s="11">
        <v>608.34492527680402</v>
      </c>
      <c r="T20" s="11">
        <v>722.85060676452076</v>
      </c>
      <c r="U20" s="11">
        <v>783.43741875522755</v>
      </c>
      <c r="V20" s="11"/>
    </row>
    <row r="21" spans="1:22">
      <c r="A21" s="11" t="s">
        <v>25</v>
      </c>
      <c r="B21" s="11">
        <v>15.676834844812607</v>
      </c>
      <c r="C21" s="11">
        <v>16.194194054327099</v>
      </c>
      <c r="D21" s="11">
        <v>18.017466701938886</v>
      </c>
      <c r="E21" s="11">
        <v>19.377748660929729</v>
      </c>
      <c r="F21" s="11">
        <v>21.956354358184161</v>
      </c>
      <c r="G21" s="11">
        <v>22.983313679087999</v>
      </c>
      <c r="H21" s="11">
        <v>24.955272842181454</v>
      </c>
      <c r="I21" s="11">
        <v>27.083846251070891</v>
      </c>
      <c r="J21" s="11">
        <v>31.812010489270861</v>
      </c>
      <c r="K21" s="11">
        <v>45.814937229626089</v>
      </c>
      <c r="L21" s="11">
        <v>67.266396829860668</v>
      </c>
      <c r="M21" s="11">
        <v>96.72110675320171</v>
      </c>
      <c r="N21" s="11">
        <v>141.48940595822629</v>
      </c>
      <c r="O21" s="11">
        <v>181.91542829481125</v>
      </c>
      <c r="P21" s="11">
        <v>250.0739668459627</v>
      </c>
      <c r="Q21" s="11">
        <v>270.76639166286657</v>
      </c>
      <c r="R21" s="11">
        <v>325.09144379889847</v>
      </c>
      <c r="S21" s="11">
        <v>404.91083076886468</v>
      </c>
      <c r="T21" s="11">
        <v>518.91879390227564</v>
      </c>
      <c r="U21" s="11">
        <v>593.00818229194169</v>
      </c>
      <c r="V21" s="11"/>
    </row>
    <row r="22" spans="1:22">
      <c r="A22" s="11" t="s">
        <v>26</v>
      </c>
      <c r="B22" s="11">
        <v>11.439813806303096</v>
      </c>
      <c r="C22" s="11">
        <v>11.046226049644019</v>
      </c>
      <c r="D22" s="11">
        <v>11.883307404178343</v>
      </c>
      <c r="E22" s="11">
        <v>12.059255575106178</v>
      </c>
      <c r="F22" s="11">
        <v>13.798843942446059</v>
      </c>
      <c r="G22" s="11">
        <v>15.117447006378251</v>
      </c>
      <c r="H22" s="11">
        <v>17.321639784709561</v>
      </c>
      <c r="I22" s="11">
        <v>20.269318331008311</v>
      </c>
      <c r="J22" s="11">
        <v>24.963888628056466</v>
      </c>
      <c r="K22" s="11">
        <v>35.262366899859096</v>
      </c>
      <c r="L22" s="11">
        <v>60.23552703566407</v>
      </c>
      <c r="M22" s="11">
        <v>89.111999911447924</v>
      </c>
      <c r="N22" s="11">
        <v>161.77185742997429</v>
      </c>
      <c r="O22" s="11">
        <v>183.24579847884632</v>
      </c>
      <c r="P22" s="11">
        <v>259.64007977100437</v>
      </c>
      <c r="Q22" s="11">
        <v>297.21761795389921</v>
      </c>
      <c r="R22" s="11">
        <v>345.67209003293829</v>
      </c>
      <c r="S22" s="11">
        <v>426.17944512301517</v>
      </c>
      <c r="T22" s="11">
        <v>497.25563377255622</v>
      </c>
      <c r="U22" s="11">
        <v>550.08079426153677</v>
      </c>
      <c r="V22" s="11"/>
    </row>
    <row r="23" spans="1:22">
      <c r="A23" s="11" t="s">
        <v>27</v>
      </c>
      <c r="B23" s="11">
        <v>37.79070992075939</v>
      </c>
      <c r="C23" s="11">
        <v>40.120858677561031</v>
      </c>
      <c r="D23" s="11">
        <v>41.637212140841967</v>
      </c>
      <c r="E23" s="11">
        <v>48.455589328400158</v>
      </c>
      <c r="F23" s="11">
        <v>55.132068015900678</v>
      </c>
      <c r="G23" s="11">
        <v>66.217929270356706</v>
      </c>
      <c r="H23" s="11">
        <v>75.691231924245955</v>
      </c>
      <c r="I23" s="11">
        <v>74.871390777421709</v>
      </c>
      <c r="J23" s="11">
        <v>84.08752855550479</v>
      </c>
      <c r="K23" s="11">
        <v>105.49402185106307</v>
      </c>
      <c r="L23" s="11">
        <v>143.23235035152754</v>
      </c>
      <c r="M23" s="11">
        <v>204.6219039062529</v>
      </c>
      <c r="N23" s="11">
        <v>256.93476225608669</v>
      </c>
      <c r="O23" s="11">
        <v>308.76774866719376</v>
      </c>
      <c r="P23" s="11">
        <v>438.61537856626092</v>
      </c>
      <c r="Q23" s="11">
        <v>510.37327916929883</v>
      </c>
      <c r="R23" s="11">
        <v>574.64313457398441</v>
      </c>
      <c r="S23" s="11">
        <v>784.50716750805032</v>
      </c>
      <c r="T23" s="11">
        <v>924.89910445044904</v>
      </c>
      <c r="U23" s="11">
        <v>1129.6559163534878</v>
      </c>
      <c r="V23" s="11"/>
    </row>
    <row r="24" spans="1:22">
      <c r="A24" s="11" t="s">
        <v>28</v>
      </c>
      <c r="B24" s="11">
        <v>9.3980113242673937</v>
      </c>
      <c r="C24" s="11">
        <v>10.24344532191512</v>
      </c>
      <c r="D24" s="11">
        <v>10.85755953115012</v>
      </c>
      <c r="E24" s="11">
        <v>11.816730433520787</v>
      </c>
      <c r="F24" s="11">
        <v>15.95498350858357</v>
      </c>
      <c r="G24" s="11">
        <v>18.359102626860917</v>
      </c>
      <c r="H24" s="11">
        <v>21.629021520446084</v>
      </c>
      <c r="I24" s="11">
        <v>22.609219373602436</v>
      </c>
      <c r="J24" s="11">
        <v>26.537250674706957</v>
      </c>
      <c r="K24" s="11">
        <v>34.028624135050016</v>
      </c>
      <c r="L24" s="11">
        <v>51.637719544931613</v>
      </c>
      <c r="M24" s="11">
        <v>80.129591701195821</v>
      </c>
      <c r="N24" s="11">
        <v>118.02638970157987</v>
      </c>
      <c r="O24" s="11">
        <v>168.0633295847056</v>
      </c>
      <c r="P24" s="11">
        <v>235.4922175458463</v>
      </c>
      <c r="Q24" s="11">
        <v>255.79285561882131</v>
      </c>
      <c r="R24" s="11">
        <v>288.2804497746007</v>
      </c>
      <c r="S24" s="11">
        <v>358.50933294403643</v>
      </c>
      <c r="T24" s="11">
        <v>416.81692621510882</v>
      </c>
      <c r="U24" s="11">
        <v>471.44603631421506</v>
      </c>
      <c r="V24" s="11"/>
    </row>
    <row r="25" spans="1:22">
      <c r="A25" s="11" t="s">
        <v>29</v>
      </c>
      <c r="B25" s="11">
        <v>2.5491377961063071</v>
      </c>
      <c r="C25" s="11">
        <v>2.6121776153895766</v>
      </c>
      <c r="D25" s="11">
        <v>2.6893865160847015</v>
      </c>
      <c r="E25" s="11">
        <v>2.8446199214584578</v>
      </c>
      <c r="F25" s="11">
        <v>3.0034423753726438</v>
      </c>
      <c r="G25" s="11">
        <v>3.4872262469835871</v>
      </c>
      <c r="H25" s="11">
        <v>4.7826634153607079</v>
      </c>
      <c r="I25" s="11">
        <v>5.5730022637401451</v>
      </c>
      <c r="J25" s="11">
        <v>6.6555736281352402</v>
      </c>
      <c r="K25" s="11">
        <v>7.7531936328011275</v>
      </c>
      <c r="L25" s="11">
        <v>12.677950453790107</v>
      </c>
      <c r="M25" s="11">
        <v>18.96173148800673</v>
      </c>
      <c r="N25" s="11">
        <v>30.616746635459332</v>
      </c>
      <c r="O25" s="11">
        <v>35.361442601604018</v>
      </c>
      <c r="P25" s="11">
        <v>50.864215658519704</v>
      </c>
      <c r="Q25" s="11">
        <v>60.480153009213744</v>
      </c>
      <c r="R25" s="11">
        <v>70.240665592291805</v>
      </c>
      <c r="S25" s="11">
        <v>89.251500273631436</v>
      </c>
      <c r="T25" s="11">
        <v>101.25588653844696</v>
      </c>
      <c r="U25" s="11">
        <v>114.96645300096958</v>
      </c>
      <c r="V25" s="11"/>
    </row>
    <row r="26" spans="1:22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</row>
    <row r="27" spans="1:22">
      <c r="A27" s="11" t="s">
        <v>30</v>
      </c>
      <c r="B27" s="11">
        <v>6.3846417982535177</v>
      </c>
      <c r="C27" s="11">
        <v>7.0983953191334326</v>
      </c>
      <c r="D27" s="11">
        <v>7.3027109521606093</v>
      </c>
      <c r="E27" s="11">
        <v>22.227444453915716</v>
      </c>
      <c r="F27" s="11">
        <v>8.9094431570260664</v>
      </c>
      <c r="G27" s="11">
        <v>9.7067726375506886</v>
      </c>
      <c r="H27" s="11">
        <v>11.137729061405317</v>
      </c>
      <c r="I27" s="11">
        <v>12.380752624388556</v>
      </c>
      <c r="J27" s="11">
        <v>15.493394595648475</v>
      </c>
      <c r="K27" s="11">
        <v>20.15693839259955</v>
      </c>
      <c r="L27" s="11">
        <v>34.564203604755207</v>
      </c>
      <c r="M27" s="11">
        <v>52.531320495743969</v>
      </c>
      <c r="N27" s="11">
        <v>77.969564199760867</v>
      </c>
      <c r="O27" s="11">
        <v>96.345205617868274</v>
      </c>
      <c r="P27" s="11">
        <v>145.31188449561196</v>
      </c>
      <c r="Q27" s="11">
        <v>169.16458433566083</v>
      </c>
      <c r="R27" s="11">
        <v>199.90176491670346</v>
      </c>
      <c r="S27" s="11">
        <v>248.54413946875843</v>
      </c>
      <c r="T27" s="11">
        <v>316.21566794650465</v>
      </c>
      <c r="U27" s="11">
        <v>333.49032061715951</v>
      </c>
      <c r="V27" s="11"/>
    </row>
    <row r="28" spans="1:22">
      <c r="A28" s="11" t="s">
        <v>31</v>
      </c>
      <c r="B28" s="11">
        <v>17.337139964647044</v>
      </c>
      <c r="C28" s="11">
        <v>18.857841137567505</v>
      </c>
      <c r="D28" s="11">
        <v>20.438016206117162</v>
      </c>
      <c r="E28" s="11">
        <v>8.1620014162685131</v>
      </c>
      <c r="F28" s="11">
        <v>25.345157158002863</v>
      </c>
      <c r="G28" s="11">
        <v>26.138315453551289</v>
      </c>
      <c r="H28" s="11">
        <v>32.340870202837785</v>
      </c>
      <c r="I28" s="11">
        <v>35.175738740115662</v>
      </c>
      <c r="J28" s="11">
        <v>50.601696071889968</v>
      </c>
      <c r="K28" s="11">
        <v>58.569826511784093</v>
      </c>
      <c r="L28" s="11">
        <v>100.59943510162343</v>
      </c>
      <c r="M28" s="11">
        <v>146.0378847863866</v>
      </c>
      <c r="N28" s="11">
        <v>222.63953494288549</v>
      </c>
      <c r="O28" s="11">
        <v>267.43487348381393</v>
      </c>
      <c r="P28" s="11">
        <v>377.1434964612626</v>
      </c>
      <c r="Q28" s="11">
        <v>428.65535776293052</v>
      </c>
      <c r="R28" s="11">
        <v>491.7553136451296</v>
      </c>
      <c r="S28" s="11">
        <v>589.32626395916941</v>
      </c>
      <c r="T28" s="11">
        <v>691.30759536225139</v>
      </c>
      <c r="U28" s="11">
        <v>777.6271670795195</v>
      </c>
      <c r="V28" s="11"/>
    </row>
    <row r="29" spans="1:22">
      <c r="A29" s="11" t="s">
        <v>32</v>
      </c>
      <c r="B29" s="11">
        <v>7.8298375620515763</v>
      </c>
      <c r="C29" s="11">
        <v>8.6662737713432989</v>
      </c>
      <c r="D29" s="11">
        <v>9.678234068333385</v>
      </c>
      <c r="E29" s="11">
        <v>11.224376226258016</v>
      </c>
      <c r="F29" s="11">
        <v>13.837543359739396</v>
      </c>
      <c r="G29" s="11">
        <v>15.835656285307488</v>
      </c>
      <c r="H29" s="11">
        <v>17.804434578801597</v>
      </c>
      <c r="I29" s="11">
        <v>20.073282559468236</v>
      </c>
      <c r="J29" s="11">
        <v>26.356443187547264</v>
      </c>
      <c r="K29" s="11">
        <v>30.599082072457119</v>
      </c>
      <c r="L29" s="11">
        <v>49.643435203885979</v>
      </c>
      <c r="M29" s="11">
        <v>68.604032808539372</v>
      </c>
      <c r="N29" s="11">
        <v>104.50136820413667</v>
      </c>
      <c r="O29" s="11">
        <v>129.66539320427344</v>
      </c>
      <c r="P29" s="11">
        <v>175.20345934383946</v>
      </c>
      <c r="Q29" s="11">
        <v>203.13288945042473</v>
      </c>
      <c r="R29" s="11">
        <v>230.84843551678489</v>
      </c>
      <c r="S29" s="11">
        <v>305.96334453966466</v>
      </c>
      <c r="T29" s="11">
        <v>363.36904578348583</v>
      </c>
      <c r="U29" s="11">
        <v>395.24816035219908</v>
      </c>
      <c r="V29" s="11"/>
    </row>
    <row r="30" spans="1:22">
      <c r="A30" s="11" t="s">
        <v>33</v>
      </c>
      <c r="B30" s="11">
        <v>18.469579390276351</v>
      </c>
      <c r="C30" s="11">
        <v>18.521349279296711</v>
      </c>
      <c r="D30" s="11">
        <v>20.597590538326269</v>
      </c>
      <c r="E30" s="11">
        <v>22.718484265488989</v>
      </c>
      <c r="F30" s="11">
        <v>25.678748177257042</v>
      </c>
      <c r="G30" s="11">
        <v>29.57784610794533</v>
      </c>
      <c r="H30" s="11">
        <v>33.702287712164051</v>
      </c>
      <c r="I30" s="11">
        <v>37.168341207880793</v>
      </c>
      <c r="J30" s="11">
        <v>45.745315185829973</v>
      </c>
      <c r="K30" s="11">
        <v>58.188324847659743</v>
      </c>
      <c r="L30" s="11">
        <v>78.458808947973921</v>
      </c>
      <c r="M30" s="11">
        <v>106.39525194906781</v>
      </c>
      <c r="N30" s="11">
        <v>153.73407230264328</v>
      </c>
      <c r="O30" s="11">
        <v>186.5564906925519</v>
      </c>
      <c r="P30" s="11">
        <v>239.63820729137177</v>
      </c>
      <c r="Q30" s="11">
        <v>269.70551360306575</v>
      </c>
      <c r="R30" s="11">
        <v>303.38032557946758</v>
      </c>
      <c r="S30" s="11">
        <v>355.5632060980156</v>
      </c>
      <c r="T30" s="11">
        <v>425.66951466421318</v>
      </c>
      <c r="U30" s="11">
        <v>470.23766508183212</v>
      </c>
      <c r="V30" s="11"/>
    </row>
    <row r="31" spans="1:22">
      <c r="A31" s="11" t="s">
        <v>34</v>
      </c>
      <c r="B31" s="11">
        <v>2.2252480677153508</v>
      </c>
      <c r="C31" s="11">
        <v>2.4891206535636865</v>
      </c>
      <c r="D31" s="11">
        <v>2.9532431825909713</v>
      </c>
      <c r="E31" s="11">
        <v>3.2856116397702793</v>
      </c>
      <c r="F31" s="11">
        <v>3.9860399812137728</v>
      </c>
      <c r="G31" s="11">
        <v>4.9979635838124086</v>
      </c>
      <c r="H31" s="11">
        <v>5.4346576640439457</v>
      </c>
      <c r="I31" s="11">
        <v>6.5441443755549704</v>
      </c>
      <c r="J31" s="11">
        <v>7.2578228470821777</v>
      </c>
      <c r="K31" s="11">
        <v>8.2454275556446159</v>
      </c>
      <c r="L31" s="11">
        <v>17.460162904256681</v>
      </c>
      <c r="M31" s="11">
        <v>16.632205462924361</v>
      </c>
      <c r="N31" s="11">
        <v>22.44686137329229</v>
      </c>
      <c r="O31" s="11">
        <v>32.538214272125003</v>
      </c>
      <c r="P31" s="11">
        <v>35.695960491963135</v>
      </c>
      <c r="Q31" s="11">
        <v>36.494205257146682</v>
      </c>
      <c r="R31" s="11">
        <v>40.666710974471002</v>
      </c>
      <c r="S31" s="11">
        <v>49.297177293348774</v>
      </c>
      <c r="T31" s="11">
        <v>63.247162070961494</v>
      </c>
      <c r="U31" s="11">
        <v>70.458112608196913</v>
      </c>
      <c r="V31" s="11"/>
    </row>
    <row r="32" spans="1:2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</row>
    <row r="33" spans="1:22">
      <c r="A33" s="11" t="s">
        <v>35</v>
      </c>
      <c r="B33" s="11">
        <v>7.8610927676295113</v>
      </c>
      <c r="C33" s="11">
        <v>8.5745682512440045</v>
      </c>
      <c r="D33" s="11">
        <v>8.7555488531777943</v>
      </c>
      <c r="E33" s="11">
        <v>8.4147798183395164</v>
      </c>
      <c r="F33" s="11">
        <v>11.695801202146372</v>
      </c>
      <c r="G33" s="11">
        <v>14.88020255013542</v>
      </c>
      <c r="H33" s="11">
        <v>17.208737228939157</v>
      </c>
      <c r="I33" s="11">
        <v>18.577495734820385</v>
      </c>
      <c r="J33" s="11">
        <v>22.15815663363373</v>
      </c>
      <c r="K33" s="11">
        <v>29.374813180749118</v>
      </c>
      <c r="L33" s="11">
        <v>50.783026255912048</v>
      </c>
      <c r="M33" s="11">
        <v>79.743032797470363</v>
      </c>
      <c r="N33" s="11">
        <v>127.86276897244765</v>
      </c>
      <c r="O33" s="11">
        <v>159.0960252144539</v>
      </c>
      <c r="P33" s="11">
        <v>199.8265935642163</v>
      </c>
      <c r="Q33" s="11">
        <v>224.60304066067852</v>
      </c>
      <c r="R33" s="11">
        <v>259.54425564595363</v>
      </c>
      <c r="S33" s="11">
        <v>316.25460954973744</v>
      </c>
      <c r="T33" s="11">
        <v>372.01013894541012</v>
      </c>
      <c r="U33" s="11">
        <v>384.32247045940306</v>
      </c>
      <c r="V33" s="11"/>
    </row>
    <row r="34" spans="1:22">
      <c r="A34" s="11" t="s">
        <v>36</v>
      </c>
      <c r="B34" s="11">
        <v>6.0911901458829032</v>
      </c>
      <c r="C34" s="11">
        <v>6.5408094174161215</v>
      </c>
      <c r="D34" s="11">
        <v>7.1048184522809077</v>
      </c>
      <c r="E34" s="11">
        <v>8.1790563446010154</v>
      </c>
      <c r="F34" s="11">
        <v>10.091460187600408</v>
      </c>
      <c r="G34" s="11">
        <v>10.930822457715186</v>
      </c>
      <c r="H34" s="11">
        <v>12.144692238850748</v>
      </c>
      <c r="I34" s="11">
        <v>13.770871136351893</v>
      </c>
      <c r="J34" s="11">
        <v>18.216635088306656</v>
      </c>
      <c r="K34" s="11">
        <v>23.649945218009396</v>
      </c>
      <c r="L34" s="11">
        <v>41.747697200562442</v>
      </c>
      <c r="M34" s="11">
        <v>59.326619119128353</v>
      </c>
      <c r="N34" s="11">
        <v>89.797607042002696</v>
      </c>
      <c r="O34" s="11">
        <v>101.96119578406214</v>
      </c>
      <c r="P34" s="11">
        <v>144.78605164983802</v>
      </c>
      <c r="Q34" s="11">
        <v>149.74546404102188</v>
      </c>
      <c r="R34" s="11">
        <v>167.41078883657883</v>
      </c>
      <c r="S34" s="11">
        <v>206.01700023595754</v>
      </c>
      <c r="T34" s="11">
        <v>251.880815827189</v>
      </c>
      <c r="U34" s="11">
        <v>275.15619937387174</v>
      </c>
      <c r="V34" s="11"/>
    </row>
    <row r="35" spans="1:22">
      <c r="A35" s="11" t="s">
        <v>37</v>
      </c>
      <c r="B35" s="11">
        <v>2.4329011165386918</v>
      </c>
      <c r="C35" s="11">
        <v>2.5229230223307981</v>
      </c>
      <c r="D35" s="11">
        <v>2.5212744489038967</v>
      </c>
      <c r="E35" s="11">
        <v>2.8648218901380282</v>
      </c>
      <c r="F35" s="11">
        <v>4.241415291637618</v>
      </c>
      <c r="G35" s="11">
        <v>4.5455749997895722</v>
      </c>
      <c r="H35" s="11">
        <v>5.4518451998813733</v>
      </c>
      <c r="I35" s="11">
        <v>6.5103592687782896</v>
      </c>
      <c r="J35" s="11">
        <v>9.0466020579940771</v>
      </c>
      <c r="K35" s="11">
        <v>11.795073880454497</v>
      </c>
      <c r="L35" s="11">
        <v>19.841094209382589</v>
      </c>
      <c r="M35" s="11">
        <v>25.085638331236371</v>
      </c>
      <c r="N35" s="11">
        <v>33.004710611341487</v>
      </c>
      <c r="O35" s="11">
        <v>39.545507607882264</v>
      </c>
      <c r="P35" s="11">
        <v>47.972135006762919</v>
      </c>
      <c r="Q35" s="11">
        <v>60.732743023452024</v>
      </c>
      <c r="R35" s="11">
        <v>69.281783104683285</v>
      </c>
      <c r="S35" s="11">
        <v>80.846967182071978</v>
      </c>
      <c r="T35" s="11">
        <v>100.13798287763856</v>
      </c>
      <c r="U35" s="11">
        <v>103.77894934115726</v>
      </c>
      <c r="V35" s="11"/>
    </row>
    <row r="36" spans="1:22">
      <c r="A36" s="11" t="s">
        <v>38</v>
      </c>
      <c r="B36" s="11">
        <v>1.746512288160506</v>
      </c>
      <c r="C36" s="11">
        <v>1.9642137790532512</v>
      </c>
      <c r="D36" s="11">
        <v>2.0248661441209155</v>
      </c>
      <c r="E36" s="11">
        <v>2.3875884491196415</v>
      </c>
      <c r="F36" s="11">
        <v>4.0277005676403732</v>
      </c>
      <c r="G36" s="11">
        <v>3.828393643114421</v>
      </c>
      <c r="H36" s="11">
        <v>4.6120230895017009</v>
      </c>
      <c r="I36" s="11">
        <v>4.4710327171730651</v>
      </c>
      <c r="J36" s="11">
        <v>5.5138626575497858</v>
      </c>
      <c r="K36" s="11">
        <v>7.1395311428985666</v>
      </c>
      <c r="L36" s="11">
        <v>11.619758762623034</v>
      </c>
      <c r="M36" s="11">
        <v>17.405323270375277</v>
      </c>
      <c r="N36" s="11">
        <v>23.290269926476203</v>
      </c>
      <c r="O36" s="11">
        <v>34.549002794559705</v>
      </c>
      <c r="P36" s="11">
        <v>41.550906986253977</v>
      </c>
      <c r="Q36" s="11">
        <v>46.56749502496929</v>
      </c>
      <c r="R36" s="11">
        <v>54.272748798642489</v>
      </c>
      <c r="S36" s="11">
        <v>65.854006588965902</v>
      </c>
      <c r="T36" s="11">
        <v>74.637693966225427</v>
      </c>
      <c r="U36" s="11">
        <v>82.602243493645744</v>
      </c>
      <c r="V36" s="11"/>
    </row>
    <row r="37" spans="1:22">
      <c r="A37" s="11" t="s">
        <v>39</v>
      </c>
      <c r="B37" s="11">
        <v>8.5548357620260358</v>
      </c>
      <c r="C37" s="11">
        <v>9.0789486117901212</v>
      </c>
      <c r="D37" s="11">
        <v>9.7948148065778717</v>
      </c>
      <c r="E37" s="11">
        <v>10.810083592181003</v>
      </c>
      <c r="F37" s="11">
        <v>14.090365938151809</v>
      </c>
      <c r="G37" s="11">
        <v>16.164694198840117</v>
      </c>
      <c r="H37" s="11">
        <v>18.752733711771977</v>
      </c>
      <c r="I37" s="11">
        <v>20.016289446212742</v>
      </c>
      <c r="J37" s="11">
        <v>26.433727923730149</v>
      </c>
      <c r="K37" s="11">
        <v>30.505667646288352</v>
      </c>
      <c r="L37" s="11">
        <v>46.6214839319954</v>
      </c>
      <c r="M37" s="11">
        <v>59.652142406476109</v>
      </c>
      <c r="N37" s="11">
        <v>86.312195792098095</v>
      </c>
      <c r="O37" s="11">
        <v>105.1703330218872</v>
      </c>
      <c r="P37" s="11">
        <v>133.91546878047248</v>
      </c>
      <c r="Q37" s="11">
        <v>147.3913251083211</v>
      </c>
      <c r="R37" s="11">
        <v>162.41450640114491</v>
      </c>
      <c r="S37" s="11">
        <v>204.13026831744421</v>
      </c>
      <c r="T37" s="11">
        <v>245.74745249896998</v>
      </c>
      <c r="U37" s="11">
        <v>258.21886259997046</v>
      </c>
      <c r="V37" s="11"/>
    </row>
    <row r="38" spans="1:22">
      <c r="A38" s="10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</row>
    <row r="39" spans="1:22"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</row>
  </sheetData>
  <phoneticPr fontId="6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C329D-03EB-D041-89EE-DDEE93A0EE20}">
  <dimension ref="A1:U38"/>
  <sheetViews>
    <sheetView workbookViewId="0">
      <selection sqref="A1:A1048576"/>
    </sheetView>
  </sheetViews>
  <sheetFormatPr baseColWidth="10" defaultRowHeight="16"/>
  <cols>
    <col min="1" max="1" width="19" customWidth="1"/>
  </cols>
  <sheetData>
    <row r="1" spans="1:21" ht="17">
      <c r="A1" s="23" t="s">
        <v>1</v>
      </c>
      <c r="B1" s="9">
        <v>1997</v>
      </c>
      <c r="C1" s="9">
        <v>1998</v>
      </c>
      <c r="D1" s="9">
        <v>1999</v>
      </c>
      <c r="E1" s="9">
        <v>2000</v>
      </c>
      <c r="F1" s="9">
        <v>2001</v>
      </c>
      <c r="G1" s="9">
        <v>2002</v>
      </c>
      <c r="H1" s="9">
        <v>2003</v>
      </c>
      <c r="I1" s="9">
        <v>2004</v>
      </c>
      <c r="J1" s="9">
        <v>2005</v>
      </c>
      <c r="K1" s="9">
        <v>2006</v>
      </c>
      <c r="L1" s="9">
        <v>2007</v>
      </c>
      <c r="M1" s="9">
        <v>2008</v>
      </c>
      <c r="N1" s="9">
        <v>2009</v>
      </c>
      <c r="O1" s="9">
        <v>2010</v>
      </c>
      <c r="P1" s="9">
        <v>2011</v>
      </c>
      <c r="Q1" s="9">
        <v>2012</v>
      </c>
      <c r="R1" s="9">
        <v>2013</v>
      </c>
      <c r="S1" s="9">
        <v>2014</v>
      </c>
      <c r="T1" s="9">
        <v>2015</v>
      </c>
      <c r="U1" s="9">
        <v>2016</v>
      </c>
    </row>
    <row r="2" spans="1:21">
      <c r="A2" s="16" t="s">
        <v>9</v>
      </c>
      <c r="B2" s="16">
        <v>4.9019244816950165</v>
      </c>
      <c r="C2" s="16">
        <v>2.1072667240452025</v>
      </c>
      <c r="D2" s="16">
        <v>2.2355287055234117</v>
      </c>
      <c r="E2" s="16">
        <v>2.9562083213547004</v>
      </c>
      <c r="F2" s="16">
        <v>4.307791095092818</v>
      </c>
      <c r="G2" s="16">
        <v>4.3151342691814021</v>
      </c>
      <c r="H2" s="16">
        <v>6.167093719980052</v>
      </c>
      <c r="I2" s="16">
        <v>8.4677819203906282</v>
      </c>
      <c r="J2" s="16">
        <v>9.4852727206548604</v>
      </c>
      <c r="K2" s="16">
        <v>12.649407963430548</v>
      </c>
      <c r="L2" s="16">
        <v>55.933699255153911</v>
      </c>
      <c r="M2" s="16">
        <v>131.27629197262669</v>
      </c>
      <c r="N2" s="16">
        <v>191.01414988779931</v>
      </c>
      <c r="O2" s="16">
        <v>212.72366647661346</v>
      </c>
      <c r="P2" s="16">
        <v>208.31960472631678</v>
      </c>
      <c r="Q2" s="16">
        <v>272.46883737422502</v>
      </c>
      <c r="R2" s="16">
        <v>251.21791036920504</v>
      </c>
      <c r="S2" s="16">
        <v>230.77365129007038</v>
      </c>
      <c r="T2" s="16">
        <v>317.55181955376128</v>
      </c>
      <c r="U2" s="16">
        <v>383.11562797640863</v>
      </c>
    </row>
    <row r="3" spans="1:21">
      <c r="A3" s="11" t="s">
        <v>10</v>
      </c>
      <c r="B3" s="16">
        <v>1.6601087002355635</v>
      </c>
      <c r="C3" s="16">
        <v>0.92337196045799175</v>
      </c>
      <c r="D3" s="16">
        <v>0.85258204444566621</v>
      </c>
      <c r="E3" s="16">
        <v>1.0244722532642239</v>
      </c>
      <c r="F3" s="16">
        <v>1.9603645894338284</v>
      </c>
      <c r="G3" s="16">
        <v>1.7166736242649598</v>
      </c>
      <c r="H3" s="16">
        <v>2.4292756787023508</v>
      </c>
      <c r="I3" s="16">
        <v>2.519006323026189</v>
      </c>
      <c r="J3" s="16">
        <v>2.4757813935118138</v>
      </c>
      <c r="K3" s="16">
        <v>3.4018077636710489</v>
      </c>
      <c r="L3" s="16">
        <v>14.351076055492799</v>
      </c>
      <c r="M3" s="16">
        <v>23.13468941297317</v>
      </c>
      <c r="N3" s="16">
        <v>64.212548925360693</v>
      </c>
      <c r="O3" s="16">
        <v>64.438842125795219</v>
      </c>
      <c r="P3" s="16">
        <v>101.86862149558792</v>
      </c>
      <c r="Q3" s="16">
        <v>97.481158957196271</v>
      </c>
      <c r="R3" s="16">
        <v>97.565193888588112</v>
      </c>
      <c r="S3" s="16">
        <v>102.12984474477828</v>
      </c>
      <c r="T3" s="16">
        <v>106.21223799166496</v>
      </c>
      <c r="U3" s="16">
        <v>120.86979413808162</v>
      </c>
    </row>
    <row r="4" spans="1:21">
      <c r="A4" s="11" t="s">
        <v>11</v>
      </c>
      <c r="B4" s="16">
        <v>4.8785255488892068</v>
      </c>
      <c r="C4" s="16">
        <v>5.8130777630938084</v>
      </c>
      <c r="D4" s="16">
        <v>5.9561403323117519</v>
      </c>
      <c r="E4" s="16">
        <v>9.2397850191176776</v>
      </c>
      <c r="F4" s="16">
        <v>11.080539462089536</v>
      </c>
      <c r="G4" s="16">
        <v>13.051187659853909</v>
      </c>
      <c r="H4" s="16">
        <v>15.941225890865187</v>
      </c>
      <c r="I4" s="16">
        <v>18.042634333380178</v>
      </c>
      <c r="J4" s="16">
        <v>20.258288430769706</v>
      </c>
      <c r="K4" s="16">
        <v>23.889242636567786</v>
      </c>
      <c r="L4" s="16">
        <v>55.764664201496757</v>
      </c>
      <c r="M4" s="16">
        <v>47.249662275648596</v>
      </c>
      <c r="N4" s="16">
        <v>209.18432706146024</v>
      </c>
      <c r="O4" s="16">
        <v>213.7255909654703</v>
      </c>
      <c r="P4" s="16">
        <v>273.43517422293172</v>
      </c>
      <c r="Q4" s="16">
        <v>320.8461399733244</v>
      </c>
      <c r="R4" s="16">
        <v>310.58939805212947</v>
      </c>
      <c r="S4" s="16">
        <v>333.68869652630406</v>
      </c>
      <c r="T4" s="16">
        <v>347.83218958799506</v>
      </c>
      <c r="U4" s="16">
        <v>272.91081567404012</v>
      </c>
    </row>
    <row r="5" spans="1:21">
      <c r="A5" s="11" t="s">
        <v>12</v>
      </c>
      <c r="B5" s="16">
        <v>2.5316429766909168</v>
      </c>
      <c r="C5" s="16">
        <v>2.6107821483475773</v>
      </c>
      <c r="D5" s="16">
        <v>2.5352730563610626</v>
      </c>
      <c r="E5" s="16">
        <v>2.7803956636977434</v>
      </c>
      <c r="F5" s="16">
        <v>4.2083303045367249</v>
      </c>
      <c r="G5" s="16">
        <v>5.214971292604611</v>
      </c>
      <c r="H5" s="16">
        <v>6.7832208540757133</v>
      </c>
      <c r="I5" s="16">
        <v>11.156401244570528</v>
      </c>
      <c r="J5" s="16">
        <v>12.932073186862546</v>
      </c>
      <c r="K5" s="16">
        <v>16.542802567802426</v>
      </c>
      <c r="L5" s="16">
        <v>47.583367604490249</v>
      </c>
      <c r="M5" s="16">
        <v>54.895873183326174</v>
      </c>
      <c r="N5" s="16">
        <v>121.67135079546503</v>
      </c>
      <c r="O5" s="16">
        <v>180.68953281918937</v>
      </c>
      <c r="P5" s="16">
        <v>187.19680028967389</v>
      </c>
      <c r="Q5" s="16">
        <v>217.76492819677765</v>
      </c>
      <c r="R5" s="16">
        <v>195.67229620801709</v>
      </c>
      <c r="S5" s="16">
        <v>183.2313749581146</v>
      </c>
      <c r="T5" s="16">
        <v>224.32609003013059</v>
      </c>
      <c r="U5" s="16">
        <v>209.36529890291629</v>
      </c>
    </row>
    <row r="6" spans="1:21">
      <c r="A6" s="11" t="s">
        <v>13</v>
      </c>
      <c r="B6" s="16">
        <v>2.6220479443497271</v>
      </c>
      <c r="C6" s="16">
        <v>2.3879232015001968</v>
      </c>
      <c r="D6" s="16">
        <v>2.15757037642758</v>
      </c>
      <c r="E6" s="16">
        <v>2.1380992961673559</v>
      </c>
      <c r="F6" s="16">
        <v>3.7286407818394776</v>
      </c>
      <c r="G6" s="16">
        <v>4.5653191436649028</v>
      </c>
      <c r="H6" s="16">
        <v>5.6799546750190295</v>
      </c>
      <c r="I6" s="16">
        <v>7.2481836739996535</v>
      </c>
      <c r="J6" s="16">
        <v>9.4321832660868754</v>
      </c>
      <c r="K6" s="16">
        <v>11.464636731804243</v>
      </c>
      <c r="L6" s="16">
        <v>81.965097518356401</v>
      </c>
      <c r="M6" s="16">
        <v>80.562961508030156</v>
      </c>
      <c r="N6" s="16">
        <v>172.61018916222568</v>
      </c>
      <c r="O6" s="16">
        <v>166.14104024126755</v>
      </c>
      <c r="P6" s="16">
        <v>294.48474456791712</v>
      </c>
      <c r="Q6" s="16">
        <v>336.71854516988657</v>
      </c>
      <c r="R6" s="16">
        <v>319.97525207429317</v>
      </c>
      <c r="S6" s="16">
        <v>314.85464090249081</v>
      </c>
      <c r="T6" s="16">
        <v>314.49048381067627</v>
      </c>
      <c r="U6" s="16">
        <v>324.53409665320822</v>
      </c>
    </row>
    <row r="7" spans="1:21">
      <c r="A7" s="11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</row>
    <row r="8" spans="1:21">
      <c r="A8" s="11" t="s">
        <v>14</v>
      </c>
      <c r="B8" s="16">
        <v>7.4714007977927297</v>
      </c>
      <c r="C8" s="16">
        <v>6.1003297545520736</v>
      </c>
      <c r="D8" s="16">
        <v>5.9869826931270014</v>
      </c>
      <c r="E8" s="16">
        <v>5.9774834825941392</v>
      </c>
      <c r="F8" s="16">
        <v>6.8536836362583919</v>
      </c>
      <c r="G8" s="16">
        <v>9.6076318031989967</v>
      </c>
      <c r="H8" s="16">
        <v>13.237999814521562</v>
      </c>
      <c r="I8" s="16">
        <v>17.1477512110704</v>
      </c>
      <c r="J8" s="16">
        <v>30.510768513169204</v>
      </c>
      <c r="K8" s="16">
        <v>27.512230946027557</v>
      </c>
      <c r="L8" s="16">
        <v>45.5042364445072</v>
      </c>
      <c r="M8" s="16">
        <v>60.859264169014871</v>
      </c>
      <c r="N8" s="16">
        <v>138.45181463275588</v>
      </c>
      <c r="O8" s="16">
        <v>192.54792676949543</v>
      </c>
      <c r="P8" s="16">
        <v>230.71877476041905</v>
      </c>
      <c r="Q8" s="16">
        <v>286.26218104504034</v>
      </c>
      <c r="R8" s="16">
        <v>327.86543882733605</v>
      </c>
      <c r="S8" s="16">
        <v>334.39860381994862</v>
      </c>
      <c r="T8" s="16">
        <v>289.99979786599624</v>
      </c>
      <c r="U8" s="16">
        <v>204.16286873915382</v>
      </c>
    </row>
    <row r="9" spans="1:21">
      <c r="A9" s="11" t="s">
        <v>15</v>
      </c>
      <c r="B9" s="16">
        <v>5.2114285474445898</v>
      </c>
      <c r="C9" s="16">
        <v>4.7765406676323172</v>
      </c>
      <c r="D9" s="16">
        <v>4.2554708588156069</v>
      </c>
      <c r="E9" s="16">
        <v>3.9787711639676786</v>
      </c>
      <c r="F9" s="16">
        <v>5.8400946637974478</v>
      </c>
      <c r="G9" s="16">
        <v>6.0859579017615371</v>
      </c>
      <c r="H9" s="16">
        <v>8.5680039624143696</v>
      </c>
      <c r="I9" s="16">
        <v>8.7588208553807743</v>
      </c>
      <c r="J9" s="16">
        <v>10.472995548568464</v>
      </c>
      <c r="K9" s="16">
        <v>13.83149659292479</v>
      </c>
      <c r="L9" s="16">
        <v>39.706334104066642</v>
      </c>
      <c r="M9" s="16">
        <v>47.870508460460023</v>
      </c>
      <c r="N9" s="16">
        <v>74.888664462708292</v>
      </c>
      <c r="O9" s="16">
        <v>123.22298713639819</v>
      </c>
      <c r="P9" s="16">
        <v>156.7104941339644</v>
      </c>
      <c r="Q9" s="16">
        <v>143.25404577404282</v>
      </c>
      <c r="R9" s="16">
        <v>184.30305732897588</v>
      </c>
      <c r="S9" s="16">
        <v>246.43463643471463</v>
      </c>
      <c r="T9" s="16">
        <v>206.05474933192852</v>
      </c>
      <c r="U9" s="16">
        <v>218.9897947058769</v>
      </c>
    </row>
    <row r="10" spans="1:21">
      <c r="A10" s="11" t="s">
        <v>16</v>
      </c>
      <c r="B10" s="16">
        <v>3.7790795892603821</v>
      </c>
      <c r="C10" s="16">
        <v>3.8675746982867345</v>
      </c>
      <c r="D10" s="16">
        <v>4.4161921058779878</v>
      </c>
      <c r="E10" s="16">
        <v>5.9006664233171229</v>
      </c>
      <c r="F10" s="16">
        <v>9.0860089522356766</v>
      </c>
      <c r="G10" s="16">
        <v>10.261130674040876</v>
      </c>
      <c r="H10" s="16">
        <v>12.454068731135006</v>
      </c>
      <c r="I10" s="16">
        <v>12.462927865241248</v>
      </c>
      <c r="J10" s="16">
        <v>13.641529580955183</v>
      </c>
      <c r="K10" s="16">
        <v>19.244585305111229</v>
      </c>
      <c r="L10" s="16">
        <v>71.941318836486872</v>
      </c>
      <c r="M10" s="16">
        <v>85.497054871531489</v>
      </c>
      <c r="N10" s="16">
        <v>134.78920565278992</v>
      </c>
      <c r="O10" s="16">
        <v>202.74559656703877</v>
      </c>
      <c r="P10" s="16">
        <v>261.42478319110103</v>
      </c>
      <c r="Q10" s="16">
        <v>253.18721838544349</v>
      </c>
      <c r="R10" s="16">
        <v>264.66807762267513</v>
      </c>
      <c r="S10" s="16">
        <v>254.88898693175472</v>
      </c>
      <c r="T10" s="16">
        <v>292.24477741092522</v>
      </c>
      <c r="U10" s="16">
        <v>271.39344020960937</v>
      </c>
    </row>
    <row r="11" spans="1:21">
      <c r="A11" s="11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</row>
    <row r="12" spans="1:21">
      <c r="A12" s="11" t="s">
        <v>17</v>
      </c>
      <c r="B12" s="16">
        <v>4.201475908741882</v>
      </c>
      <c r="C12" s="16">
        <v>6.0985940929722657</v>
      </c>
      <c r="D12" s="16">
        <v>5.0900744416805246</v>
      </c>
      <c r="E12" s="16">
        <v>4.8121554743649853</v>
      </c>
      <c r="F12" s="16">
        <v>5.7788997041117902</v>
      </c>
      <c r="G12" s="16">
        <v>5.4737373159467992</v>
      </c>
      <c r="H12" s="16">
        <v>5.9492770277955191</v>
      </c>
      <c r="I12" s="16">
        <v>8.5285633348476484</v>
      </c>
      <c r="J12" s="16">
        <v>9.5432826612559722</v>
      </c>
      <c r="K12" s="16">
        <v>10.862794943475562</v>
      </c>
      <c r="L12" s="16">
        <v>27.434389208556905</v>
      </c>
      <c r="M12" s="16">
        <v>27.905402201524133</v>
      </c>
      <c r="N12" s="16">
        <v>106.29358826965048</v>
      </c>
      <c r="O12" s="16">
        <v>110.39011868323131</v>
      </c>
      <c r="P12" s="16">
        <v>143.37142743920475</v>
      </c>
      <c r="Q12" s="16">
        <v>129.00241434755213</v>
      </c>
      <c r="R12" s="16">
        <v>156.56818383854076</v>
      </c>
      <c r="S12" s="16">
        <v>169.08700994080195</v>
      </c>
      <c r="T12" s="16">
        <v>295.1020241044713</v>
      </c>
      <c r="U12" s="16">
        <v>437.74114469591467</v>
      </c>
    </row>
    <row r="13" spans="1:21">
      <c r="A13" s="11" t="s">
        <v>18</v>
      </c>
      <c r="B13" s="16">
        <v>7.0620714148131754</v>
      </c>
      <c r="C13" s="16">
        <v>4.7234294232901846</v>
      </c>
      <c r="D13" s="16">
        <v>4.3961988167062929</v>
      </c>
      <c r="E13" s="16">
        <v>5.5556506064113655</v>
      </c>
      <c r="F13" s="16">
        <v>7.3932014818244962</v>
      </c>
      <c r="G13" s="16">
        <v>9.6598584505630853</v>
      </c>
      <c r="H13" s="16">
        <v>14.782273881661258</v>
      </c>
      <c r="I13" s="16">
        <v>23.52418703087568</v>
      </c>
      <c r="J13" s="16">
        <v>24.942850107258742</v>
      </c>
      <c r="K13" s="16">
        <v>39.454504987445887</v>
      </c>
      <c r="L13" s="16">
        <v>133.79124496964135</v>
      </c>
      <c r="M13" s="16">
        <v>191.4983718993351</v>
      </c>
      <c r="N13" s="16">
        <v>299.8533812782772</v>
      </c>
      <c r="O13" s="16">
        <v>378.80980674588886</v>
      </c>
      <c r="P13" s="16">
        <v>409.78659087610998</v>
      </c>
      <c r="Q13" s="16">
        <v>487.99821554331783</v>
      </c>
      <c r="R13" s="16">
        <v>486.17856781318432</v>
      </c>
      <c r="S13" s="16">
        <v>534.50641125879588</v>
      </c>
      <c r="T13" s="16">
        <v>588.43169593663004</v>
      </c>
      <c r="U13" s="16">
        <v>554.71995460734888</v>
      </c>
    </row>
    <row r="14" spans="1:21">
      <c r="A14" s="11" t="s">
        <v>19</v>
      </c>
      <c r="B14" s="16">
        <v>7.2355881762692453</v>
      </c>
      <c r="C14" s="16">
        <v>8.8990840519928849</v>
      </c>
      <c r="D14" s="16">
        <v>8.7547358561356727</v>
      </c>
      <c r="E14" s="16">
        <v>9.3685967992055232</v>
      </c>
      <c r="F14" s="16">
        <v>16.078785846737397</v>
      </c>
      <c r="G14" s="16">
        <v>18.752769273083139</v>
      </c>
      <c r="H14" s="16">
        <v>24.738542011741135</v>
      </c>
      <c r="I14" s="16">
        <v>30.622470594896868</v>
      </c>
      <c r="J14" s="16">
        <v>31.36188311042617</v>
      </c>
      <c r="K14" s="16">
        <v>40.298585748299999</v>
      </c>
      <c r="L14" s="16">
        <v>76.184098683281547</v>
      </c>
      <c r="M14" s="16">
        <v>97.080737635513117</v>
      </c>
      <c r="N14" s="16">
        <v>319.9717547178775</v>
      </c>
      <c r="O14" s="16">
        <v>320.30016159524666</v>
      </c>
      <c r="P14" s="16">
        <v>286.64869676056418</v>
      </c>
      <c r="Q14" s="16">
        <v>321.51680498162983</v>
      </c>
      <c r="R14" s="16">
        <v>403.73261914505616</v>
      </c>
      <c r="S14" s="16">
        <v>417.69439294091364</v>
      </c>
      <c r="T14" s="16">
        <v>594.70474882772362</v>
      </c>
      <c r="U14" s="16">
        <v>502.63062259267713</v>
      </c>
    </row>
    <row r="15" spans="1:21">
      <c r="A15" s="11" t="s">
        <v>20</v>
      </c>
      <c r="B15" s="16">
        <v>3.0479389096398863</v>
      </c>
      <c r="C15" s="16">
        <v>2.9235483650290242</v>
      </c>
      <c r="D15" s="16">
        <v>2.6680966906257302</v>
      </c>
      <c r="E15" s="16">
        <v>3.3232557996209793</v>
      </c>
      <c r="F15" s="16">
        <v>3.6808084932514333</v>
      </c>
      <c r="G15" s="16">
        <v>4.6400343190724529</v>
      </c>
      <c r="H15" s="16">
        <v>5.1242907077052289</v>
      </c>
      <c r="I15" s="16">
        <v>6.5266097199389481</v>
      </c>
      <c r="J15" s="16">
        <v>11.097508815352327</v>
      </c>
      <c r="K15" s="16">
        <v>23.565720819440799</v>
      </c>
      <c r="L15" s="16">
        <v>83.672351560293691</v>
      </c>
      <c r="M15" s="16">
        <v>84.66381393928458</v>
      </c>
      <c r="N15" s="16">
        <v>185.37736869168148</v>
      </c>
      <c r="O15" s="16">
        <v>171.37026257352056</v>
      </c>
      <c r="P15" s="16">
        <v>229.73534552958972</v>
      </c>
      <c r="Q15" s="16">
        <v>265.10270003300354</v>
      </c>
      <c r="R15" s="16">
        <v>299.14429199277055</v>
      </c>
      <c r="S15" s="16">
        <v>363.96731821735727</v>
      </c>
      <c r="T15" s="16">
        <v>412.44248606047336</v>
      </c>
      <c r="U15" s="16">
        <v>369.99033020908286</v>
      </c>
    </row>
    <row r="16" spans="1:21">
      <c r="A16" s="11" t="s">
        <v>21</v>
      </c>
      <c r="B16" s="16">
        <v>4.8235228626833422</v>
      </c>
      <c r="C16" s="16">
        <v>5.5270407347414077</v>
      </c>
      <c r="D16" s="16">
        <v>5.4310452647636849</v>
      </c>
      <c r="E16" s="16">
        <v>5.2776110400415899</v>
      </c>
      <c r="F16" s="16">
        <v>6.4221300992195909</v>
      </c>
      <c r="G16" s="16">
        <v>8.1577135477653488</v>
      </c>
      <c r="H16" s="16">
        <v>10.483268077585981</v>
      </c>
      <c r="I16" s="16">
        <v>12.270727176282563</v>
      </c>
      <c r="J16" s="16">
        <v>14.335188625151982</v>
      </c>
      <c r="K16" s="16">
        <v>19.632087183087954</v>
      </c>
      <c r="L16" s="16">
        <v>45.014034788901441</v>
      </c>
      <c r="M16" s="16">
        <v>74.517880234866254</v>
      </c>
      <c r="N16" s="16">
        <v>165.75253830611922</v>
      </c>
      <c r="O16" s="16">
        <v>171.85063732845197</v>
      </c>
      <c r="P16" s="16">
        <v>251.14062431976873</v>
      </c>
      <c r="Q16" s="16">
        <v>304.12422576624198</v>
      </c>
      <c r="R16" s="16">
        <v>302.72088763632024</v>
      </c>
      <c r="S16" s="16">
        <v>334.44162850441194</v>
      </c>
      <c r="T16" s="16">
        <v>371.87173131790468</v>
      </c>
      <c r="U16" s="16">
        <v>311.77730435581566</v>
      </c>
    </row>
    <row r="17" spans="1:21">
      <c r="A17" s="11" t="s">
        <v>22</v>
      </c>
      <c r="B17" s="16">
        <v>3.970221520881867</v>
      </c>
      <c r="C17" s="16">
        <v>3.4779186736197811</v>
      </c>
      <c r="D17" s="16">
        <v>3.4038187347965314</v>
      </c>
      <c r="E17" s="16">
        <v>3.2269040006043008</v>
      </c>
      <c r="F17" s="16">
        <v>4.2818249955735936</v>
      </c>
      <c r="G17" s="16">
        <v>6.0337312543974475</v>
      </c>
      <c r="H17" s="16">
        <v>7.5507298427807763</v>
      </c>
      <c r="I17" s="16">
        <v>10.174863538136217</v>
      </c>
      <c r="J17" s="16">
        <v>12.655619563685363</v>
      </c>
      <c r="K17" s="16">
        <v>15.49484404491141</v>
      </c>
      <c r="L17" s="16">
        <v>52.383963128353571</v>
      </c>
      <c r="M17" s="16">
        <v>61.431096181341189</v>
      </c>
      <c r="N17" s="16">
        <v>146.71216680033868</v>
      </c>
      <c r="O17" s="16">
        <v>147.28289986196134</v>
      </c>
      <c r="P17" s="16">
        <v>228.12419551312465</v>
      </c>
      <c r="Q17" s="16">
        <v>215.48466716853915</v>
      </c>
      <c r="R17" s="16">
        <v>224.27422318779759</v>
      </c>
      <c r="S17" s="16">
        <v>311.34812911873109</v>
      </c>
      <c r="T17" s="16">
        <v>265.50911192131622</v>
      </c>
      <c r="U17" s="16">
        <v>242.22731610401598</v>
      </c>
    </row>
    <row r="18" spans="1:21">
      <c r="A18" s="11" t="s">
        <v>23</v>
      </c>
      <c r="B18" s="16">
        <v>5.9986355011257597</v>
      </c>
      <c r="C18" s="16">
        <v>5.4916332385133195</v>
      </c>
      <c r="D18" s="16">
        <v>4.8321765100394432</v>
      </c>
      <c r="E18" s="16">
        <v>6.6252143265934542</v>
      </c>
      <c r="F18" s="16">
        <v>12.003323010500797</v>
      </c>
      <c r="G18" s="16">
        <v>12.105929727816603</v>
      </c>
      <c r="H18" s="16">
        <v>13.292342018740323</v>
      </c>
      <c r="I18" s="16">
        <v>16.981834377012049</v>
      </c>
      <c r="J18" s="16">
        <v>21.857187418587902</v>
      </c>
      <c r="K18" s="16">
        <v>26.120362829805867</v>
      </c>
      <c r="L18" s="16">
        <v>45.639464487432932</v>
      </c>
      <c r="M18" s="16">
        <v>49.095862772587836</v>
      </c>
      <c r="N18" s="16">
        <v>226.3154662266202</v>
      </c>
      <c r="O18" s="16">
        <v>316.36108860480931</v>
      </c>
      <c r="P18" s="16">
        <v>308.53522815306394</v>
      </c>
      <c r="Q18" s="16">
        <v>360.96308522012839</v>
      </c>
      <c r="R18" s="16">
        <v>402.258628213169</v>
      </c>
      <c r="S18" s="16">
        <v>429.32181391712271</v>
      </c>
      <c r="T18" s="16">
        <v>494.85149595853699</v>
      </c>
      <c r="U18" s="16">
        <v>404.09876297025062</v>
      </c>
    </row>
    <row r="19" spans="1:21">
      <c r="A19" s="11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</row>
    <row r="20" spans="1:21">
      <c r="A20" s="11" t="s">
        <v>24</v>
      </c>
      <c r="B20" s="16">
        <v>3.2749389460806642</v>
      </c>
      <c r="C20" s="16">
        <v>2.9688491322620201</v>
      </c>
      <c r="D20" s="16">
        <v>2.8292828979014057</v>
      </c>
      <c r="E20" s="16">
        <v>5.278786061980818</v>
      </c>
      <c r="F20" s="16">
        <v>7.7629526650368419</v>
      </c>
      <c r="G20" s="16">
        <v>6.1398120083919299</v>
      </c>
      <c r="H20" s="16">
        <v>8.8886826840129842</v>
      </c>
      <c r="I20" s="16">
        <v>16.271622714392635</v>
      </c>
      <c r="J20" s="16">
        <v>12.659892617345713</v>
      </c>
      <c r="K20" s="16">
        <v>23.838407326165161</v>
      </c>
      <c r="L20" s="16">
        <v>68.121126623835067</v>
      </c>
      <c r="M20" s="16">
        <v>70.53139420607711</v>
      </c>
      <c r="N20" s="16">
        <v>230.69241383743059</v>
      </c>
      <c r="O20" s="16">
        <v>238.5952782779178</v>
      </c>
      <c r="P20" s="16">
        <v>294.20227021438097</v>
      </c>
      <c r="Q20" s="16">
        <v>335.81314740867424</v>
      </c>
      <c r="R20" s="16">
        <v>375.2065593455934</v>
      </c>
      <c r="S20" s="16">
        <v>392.43890316095167</v>
      </c>
      <c r="T20" s="16">
        <v>398.52146457612884</v>
      </c>
      <c r="U20" s="16">
        <v>377.14367168425633</v>
      </c>
    </row>
    <row r="21" spans="1:21">
      <c r="A21" s="11" t="s">
        <v>25</v>
      </c>
      <c r="B21" s="16">
        <v>3.6067783567812381</v>
      </c>
      <c r="C21" s="16">
        <v>2.5649606826406393</v>
      </c>
      <c r="D21" s="16">
        <v>5.6914229842090078</v>
      </c>
      <c r="E21" s="16">
        <v>5.8069584236637066</v>
      </c>
      <c r="F21" s="16">
        <v>6.294881026721872</v>
      </c>
      <c r="G21" s="16">
        <v>8.1958848651022755</v>
      </c>
      <c r="H21" s="16">
        <v>6.7890432330991528</v>
      </c>
      <c r="I21" s="16">
        <v>9.8620582858067323</v>
      </c>
      <c r="J21" s="16">
        <v>13.617056637264088</v>
      </c>
      <c r="K21" s="16">
        <v>18.861375590545812</v>
      </c>
      <c r="L21" s="16">
        <v>51.06548970982773</v>
      </c>
      <c r="M21" s="16">
        <v>62.59109826348886</v>
      </c>
      <c r="N21" s="16">
        <v>110.29388460237926</v>
      </c>
      <c r="O21" s="16">
        <v>170.23108815468331</v>
      </c>
      <c r="P21" s="16">
        <v>266.96965013088351</v>
      </c>
      <c r="Q21" s="16">
        <v>237.72838994400303</v>
      </c>
      <c r="R21" s="16">
        <v>334.70432322454764</v>
      </c>
      <c r="S21" s="16">
        <v>425.98740087121638</v>
      </c>
      <c r="T21" s="16">
        <v>485.57081496897405</v>
      </c>
      <c r="U21" s="16">
        <v>424.64836211711241</v>
      </c>
    </row>
    <row r="22" spans="1:21">
      <c r="A22" s="11" t="s">
        <v>26</v>
      </c>
      <c r="B22" s="16">
        <v>3.4799075198146721</v>
      </c>
      <c r="C22" s="16">
        <v>3.4770508428298772</v>
      </c>
      <c r="D22" s="16">
        <v>3.2480570633426327</v>
      </c>
      <c r="E22" s="16">
        <v>4.5183999895580387</v>
      </c>
      <c r="F22" s="16">
        <v>7.3752833546708807</v>
      </c>
      <c r="G22" s="16">
        <v>7.6878216723309354</v>
      </c>
      <c r="H22" s="16">
        <v>8.7920909089318364</v>
      </c>
      <c r="I22" s="16">
        <v>15.308292053279906</v>
      </c>
      <c r="J22" s="16">
        <v>16.221288613535513</v>
      </c>
      <c r="K22" s="16">
        <v>20.591385705514238</v>
      </c>
      <c r="L22" s="16">
        <v>82.353878141767865</v>
      </c>
      <c r="M22" s="16">
        <v>93.06157549173389</v>
      </c>
      <c r="N22" s="16">
        <v>152.27102014581894</v>
      </c>
      <c r="O22" s="16">
        <v>210.03356784899771</v>
      </c>
      <c r="P22" s="16">
        <v>315.23091653317857</v>
      </c>
      <c r="Q22" s="16">
        <v>306.06915429032779</v>
      </c>
      <c r="R22" s="16">
        <v>365.20292971227116</v>
      </c>
      <c r="S22" s="16">
        <v>346.52080866748577</v>
      </c>
      <c r="T22" s="16">
        <v>342.57958194459661</v>
      </c>
      <c r="U22" s="16">
        <v>352.25871406759239</v>
      </c>
    </row>
    <row r="23" spans="1:21">
      <c r="A23" s="11" t="s">
        <v>27</v>
      </c>
      <c r="B23" s="16">
        <v>10.433644914559391</v>
      </c>
      <c r="C23" s="16">
        <v>5.7368822197402256</v>
      </c>
      <c r="D23" s="16">
        <v>5.5516249467449112</v>
      </c>
      <c r="E23" s="16">
        <v>6.9546611028044456</v>
      </c>
      <c r="F23" s="16">
        <v>9.8447960826307828</v>
      </c>
      <c r="G23" s="16">
        <v>13.952652142543419</v>
      </c>
      <c r="H23" s="16">
        <v>17.605381249179786</v>
      </c>
      <c r="I23" s="16">
        <v>26.74587578725296</v>
      </c>
      <c r="J23" s="16">
        <v>26.673954785598674</v>
      </c>
      <c r="K23" s="16">
        <v>33.015991610277773</v>
      </c>
      <c r="L23" s="16">
        <v>96.552822648969212</v>
      </c>
      <c r="M23" s="16">
        <v>172.92200052747742</v>
      </c>
      <c r="N23" s="16">
        <v>323.56942382231216</v>
      </c>
      <c r="O23" s="16">
        <v>436.68810221862122</v>
      </c>
      <c r="P23" s="16">
        <v>558.0437784301796</v>
      </c>
      <c r="Q23" s="16">
        <v>562.87796372062064</v>
      </c>
      <c r="R23" s="16">
        <v>745.70935351148819</v>
      </c>
      <c r="S23" s="16">
        <v>949.61932313191107</v>
      </c>
      <c r="T23" s="16">
        <v>2129.6477488816217</v>
      </c>
      <c r="U23" s="16">
        <v>1099.5769686958981</v>
      </c>
    </row>
    <row r="24" spans="1:21">
      <c r="A24" s="11" t="s">
        <v>28</v>
      </c>
      <c r="B24" s="16">
        <v>2.5447099131928628</v>
      </c>
      <c r="C24" s="16">
        <v>1.8673982937157017</v>
      </c>
      <c r="D24" s="16">
        <v>1.9632170072701784</v>
      </c>
      <c r="E24" s="16">
        <v>2.3745724614369474</v>
      </c>
      <c r="F24" s="16">
        <v>3.1686233840213553</v>
      </c>
      <c r="G24" s="16">
        <v>3.5392800516820104</v>
      </c>
      <c r="H24" s="16">
        <v>4.5205547905056038</v>
      </c>
      <c r="I24" s="16">
        <v>5.5376796793139178</v>
      </c>
      <c r="J24" s="16">
        <v>6.7067519496309833</v>
      </c>
      <c r="K24" s="16">
        <v>8.5778885774895866</v>
      </c>
      <c r="L24" s="16">
        <v>69.760766644309513</v>
      </c>
      <c r="M24" s="16">
        <v>95.544960230979584</v>
      </c>
      <c r="N24" s="16">
        <v>105.91693699156887</v>
      </c>
      <c r="O24" s="16">
        <v>128.61690938462769</v>
      </c>
      <c r="P24" s="16">
        <v>260.48320201264744</v>
      </c>
      <c r="Q24" s="16">
        <v>271.3287068601058</v>
      </c>
      <c r="R24" s="16">
        <v>259.02139177331344</v>
      </c>
      <c r="S24" s="16">
        <v>220.41545850552885</v>
      </c>
      <c r="T24" s="16">
        <v>255.46578237821279</v>
      </c>
      <c r="U24" s="16">
        <v>235.32325774085618</v>
      </c>
    </row>
    <row r="25" spans="1:21">
      <c r="A25" s="11" t="s">
        <v>29</v>
      </c>
      <c r="B25" s="16">
        <v>0.24280191314080454</v>
      </c>
      <c r="C25" s="16">
        <v>0.17998810582611605</v>
      </c>
      <c r="D25" s="16">
        <v>0.26425238788944932</v>
      </c>
      <c r="E25" s="16">
        <v>0.59397359027964458</v>
      </c>
      <c r="F25" s="16">
        <v>0.46177139554363067</v>
      </c>
      <c r="G25" s="16">
        <v>0.61799066866799424</v>
      </c>
      <c r="H25" s="16">
        <v>0.78990275417982669</v>
      </c>
      <c r="I25" s="16">
        <v>0.7801650472760312</v>
      </c>
      <c r="J25" s="16">
        <v>1.0875568997963245</v>
      </c>
      <c r="K25" s="16">
        <v>1.2851005513655198</v>
      </c>
      <c r="L25" s="16">
        <v>15.382189882801466</v>
      </c>
      <c r="M25" s="16">
        <v>18.674399716827917</v>
      </c>
      <c r="N25" s="16">
        <v>37.01572905284749</v>
      </c>
      <c r="O25" s="16">
        <v>36.000656633857474</v>
      </c>
      <c r="P25" s="16">
        <v>55.647447646609031</v>
      </c>
      <c r="Q25" s="16">
        <v>75.46099118450087</v>
      </c>
      <c r="R25" s="16">
        <v>80.007360729344299</v>
      </c>
      <c r="S25" s="16">
        <v>92.922562269630291</v>
      </c>
      <c r="T25" s="16">
        <v>106.83524666920508</v>
      </c>
      <c r="U25" s="16">
        <v>123.81783789754702</v>
      </c>
    </row>
    <row r="26" spans="1:21">
      <c r="A26" s="11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</row>
    <row r="27" spans="1:21">
      <c r="A27" s="11" t="s">
        <v>30</v>
      </c>
      <c r="B27" s="16">
        <v>1.0500650949412393</v>
      </c>
      <c r="C27" s="16">
        <v>0.73036639278331372</v>
      </c>
      <c r="D27" s="16">
        <v>0.85537180572543736</v>
      </c>
      <c r="E27" s="16">
        <v>5.1996189588253463</v>
      </c>
      <c r="F27" s="16">
        <v>0.73236548527028322</v>
      </c>
      <c r="G27" s="16">
        <v>1.4002067723902076</v>
      </c>
      <c r="H27" s="16">
        <v>1.6229508298410309</v>
      </c>
      <c r="I27" s="16">
        <v>2.174852097924953</v>
      </c>
      <c r="J27" s="16">
        <v>3.8887378038675102</v>
      </c>
      <c r="K27" s="16">
        <v>5.3774101038299822</v>
      </c>
      <c r="L27" s="16">
        <v>60.987847359502958</v>
      </c>
      <c r="M27" s="16">
        <v>78.308309573714979</v>
      </c>
      <c r="N27" s="16">
        <v>83.824391335816756</v>
      </c>
      <c r="O27" s="16">
        <v>112.33906768895289</v>
      </c>
      <c r="P27" s="16">
        <v>194.83406984824214</v>
      </c>
      <c r="Q27" s="16">
        <v>231.9047821218841</v>
      </c>
      <c r="R27" s="16">
        <v>275.24613019268872</v>
      </c>
      <c r="S27" s="16">
        <v>280.59623589858148</v>
      </c>
      <c r="T27" s="16">
        <v>315.86539951283373</v>
      </c>
      <c r="U27" s="16">
        <v>290.46901747673849</v>
      </c>
    </row>
    <row r="28" spans="1:21">
      <c r="A28" s="11" t="s">
        <v>31</v>
      </c>
      <c r="B28" s="16">
        <v>4.3654203795046653</v>
      </c>
      <c r="C28" s="16">
        <v>4.1754810625447192</v>
      </c>
      <c r="D28" s="16">
        <v>4.4019333260036007</v>
      </c>
      <c r="E28" s="16">
        <v>0.96454613436360681</v>
      </c>
      <c r="F28" s="16">
        <v>6.7287122917886757</v>
      </c>
      <c r="G28" s="16">
        <v>6.5318817407285801</v>
      </c>
      <c r="H28" s="16">
        <v>9.3946324919728088</v>
      </c>
      <c r="I28" s="16">
        <v>12.042933767146344</v>
      </c>
      <c r="J28" s="16">
        <v>23.466704297319694</v>
      </c>
      <c r="K28" s="16">
        <v>32.397651818836898</v>
      </c>
      <c r="L28" s="16">
        <v>123.51391370728606</v>
      </c>
      <c r="M28" s="16">
        <v>172.13777376771563</v>
      </c>
      <c r="N28" s="16">
        <v>221.61381923815327</v>
      </c>
      <c r="O28" s="16">
        <v>264.8649148761653</v>
      </c>
      <c r="P28" s="16">
        <v>381.74839578437991</v>
      </c>
      <c r="Q28" s="16">
        <v>486.77984077822964</v>
      </c>
      <c r="R28" s="16">
        <v>573.12235645729163</v>
      </c>
      <c r="S28" s="16">
        <v>584.95285379202505</v>
      </c>
      <c r="T28" s="16">
        <v>645.71626968355054</v>
      </c>
      <c r="U28" s="16">
        <v>616.82396468726358</v>
      </c>
    </row>
    <row r="29" spans="1:21">
      <c r="A29" s="11" t="s">
        <v>32</v>
      </c>
      <c r="B29" s="16">
        <v>2.3277379908117184</v>
      </c>
      <c r="C29" s="16">
        <v>2.0510312888594147</v>
      </c>
      <c r="D29" s="16">
        <v>2.336425071808474</v>
      </c>
      <c r="E29" s="16">
        <v>2.7668829113966233</v>
      </c>
      <c r="F29" s="16">
        <v>4.1506278611606717</v>
      </c>
      <c r="G29" s="16">
        <v>5.6281979954032</v>
      </c>
      <c r="H29" s="16">
        <v>6.1223061890305264</v>
      </c>
      <c r="I29" s="16">
        <v>7.2611887063722138</v>
      </c>
      <c r="J29" s="16">
        <v>9.1048414584091635</v>
      </c>
      <c r="K29" s="16">
        <v>10.182889433103803</v>
      </c>
      <c r="L29" s="16">
        <v>82.556720206156456</v>
      </c>
      <c r="M29" s="16">
        <v>80.677327910495421</v>
      </c>
      <c r="N29" s="16">
        <v>156.89473928364833</v>
      </c>
      <c r="O29" s="16">
        <v>150.43964825151042</v>
      </c>
      <c r="P29" s="16">
        <v>319.25879157434127</v>
      </c>
      <c r="Q29" s="16">
        <v>322.54515799436484</v>
      </c>
      <c r="R29" s="16">
        <v>324.91745696356179</v>
      </c>
      <c r="S29" s="16">
        <v>464.67734837484642</v>
      </c>
      <c r="T29" s="16">
        <v>421.33647200880444</v>
      </c>
      <c r="U29" s="16">
        <v>314.28097387212637</v>
      </c>
    </row>
    <row r="30" spans="1:21">
      <c r="A30" s="11" t="s">
        <v>33</v>
      </c>
      <c r="B30" s="16">
        <v>7.8621933638741748</v>
      </c>
      <c r="C30" s="16">
        <v>6.688545463949092</v>
      </c>
      <c r="D30" s="16">
        <v>8.8198302859970035</v>
      </c>
      <c r="E30" s="16">
        <v>10.782441947581354</v>
      </c>
      <c r="F30" s="16">
        <v>9.3701175615951406</v>
      </c>
      <c r="G30" s="16">
        <v>10.278884775127818</v>
      </c>
      <c r="H30" s="16">
        <v>9.6157336030936413</v>
      </c>
      <c r="I30" s="16">
        <v>11.219646770424454</v>
      </c>
      <c r="J30" s="16">
        <v>13.423862817226453</v>
      </c>
      <c r="K30" s="16">
        <v>18.413917554917447</v>
      </c>
      <c r="L30" s="16">
        <v>104.19320707427281</v>
      </c>
      <c r="M30" s="16">
        <v>99.400741799808458</v>
      </c>
      <c r="N30" s="16">
        <v>207.1841788950959</v>
      </c>
      <c r="O30" s="16">
        <v>191.98520205657582</v>
      </c>
      <c r="P30" s="16">
        <v>288.9503396412286</v>
      </c>
      <c r="Q30" s="16">
        <v>346.0296110351938</v>
      </c>
      <c r="R30" s="16">
        <v>593.3572172648893</v>
      </c>
      <c r="S30" s="16">
        <v>688.5670501507874</v>
      </c>
      <c r="T30" s="16">
        <v>648.79908848448179</v>
      </c>
      <c r="U30" s="16">
        <v>527.89492407544867</v>
      </c>
    </row>
    <row r="31" spans="1:21">
      <c r="A31" s="11" t="s">
        <v>34</v>
      </c>
      <c r="B31" s="16">
        <v>2.1485994078373696</v>
      </c>
      <c r="C31" s="16">
        <v>1.4294908771300787</v>
      </c>
      <c r="D31" s="16">
        <v>3.6107260297129038</v>
      </c>
      <c r="E31" s="16">
        <v>2.8159400773593837</v>
      </c>
      <c r="F31" s="16">
        <v>4.092014326573417</v>
      </c>
      <c r="G31" s="16">
        <v>5.2217770313546055</v>
      </c>
      <c r="H31" s="16">
        <v>4.6077411840873497</v>
      </c>
      <c r="I31" s="16">
        <v>5.4518464656550174</v>
      </c>
      <c r="J31" s="16">
        <v>5.5481069753033836</v>
      </c>
      <c r="K31" s="16">
        <v>5.6745082899561305</v>
      </c>
      <c r="L31" s="16">
        <v>54.818067901016661</v>
      </c>
      <c r="M31" s="16">
        <v>57.346581807581799</v>
      </c>
      <c r="N31" s="16">
        <v>71.329959283592444</v>
      </c>
      <c r="O31" s="16">
        <v>87.922305145440717</v>
      </c>
      <c r="P31" s="16">
        <v>81.478157975520048</v>
      </c>
      <c r="Q31" s="16">
        <v>105.36147280478525</v>
      </c>
      <c r="R31" s="16">
        <v>100.95754066565189</v>
      </c>
      <c r="S31" s="16">
        <v>186.26461521277781</v>
      </c>
      <c r="T31" s="16">
        <v>191.85444809558336</v>
      </c>
      <c r="U31" s="16">
        <v>228.11572428481023</v>
      </c>
    </row>
    <row r="32" spans="1:21">
      <c r="A32" s="11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</row>
    <row r="33" spans="1:21">
      <c r="A33" s="11" t="s">
        <v>35</v>
      </c>
      <c r="B33" s="16">
        <v>5.0775684188607055</v>
      </c>
      <c r="C33" s="16">
        <v>6.7494671854003609</v>
      </c>
      <c r="D33" s="16">
        <v>5.4040775723925627</v>
      </c>
      <c r="E33" s="16">
        <v>6.4424984150435343</v>
      </c>
      <c r="F33" s="16">
        <v>7.8238439276520984</v>
      </c>
      <c r="G33" s="16">
        <v>9.4510998119491187</v>
      </c>
      <c r="H33" s="16">
        <v>11.977230818292375</v>
      </c>
      <c r="I33" s="16">
        <v>13.948923932653308</v>
      </c>
      <c r="J33" s="16">
        <v>17.326326187396905</v>
      </c>
      <c r="K33" s="16">
        <v>25.738360286199871</v>
      </c>
      <c r="L33" s="16">
        <v>82.489106184693583</v>
      </c>
      <c r="M33" s="16">
        <v>88.601285795588637</v>
      </c>
      <c r="N33" s="16">
        <v>142.08844766250934</v>
      </c>
      <c r="O33" s="16">
        <v>177.13475963269715</v>
      </c>
      <c r="P33" s="16">
        <v>327.90041438992671</v>
      </c>
      <c r="Q33" s="16">
        <v>277.47646943623903</v>
      </c>
      <c r="R33" s="16">
        <v>287.59080424724345</v>
      </c>
      <c r="S33" s="16">
        <v>399.58100078186084</v>
      </c>
      <c r="T33" s="16">
        <v>376.90950838284101</v>
      </c>
      <c r="U33" s="16">
        <v>277.62551800994981</v>
      </c>
    </row>
    <row r="34" spans="1:21">
      <c r="A34" s="11" t="s">
        <v>36</v>
      </c>
      <c r="B34" s="16">
        <v>1.5347572744901545</v>
      </c>
      <c r="C34" s="16">
        <v>1.5101991405911628</v>
      </c>
      <c r="D34" s="16">
        <v>1.5608714360320495</v>
      </c>
      <c r="E34" s="16">
        <v>1.7581265765695715</v>
      </c>
      <c r="F34" s="16">
        <v>2.4909233714231238</v>
      </c>
      <c r="G34" s="16">
        <v>2.8391766654869066</v>
      </c>
      <c r="H34" s="16">
        <v>3.5126860523714116</v>
      </c>
      <c r="I34" s="16">
        <v>4.5738014378907668</v>
      </c>
      <c r="J34" s="16">
        <v>5.3031185654433237</v>
      </c>
      <c r="K34" s="16">
        <v>7.1459155593935337</v>
      </c>
      <c r="L34" s="16">
        <v>47.414332550833095</v>
      </c>
      <c r="M34" s="16">
        <v>56.856440082730671</v>
      </c>
      <c r="N34" s="16">
        <v>79.447443725006366</v>
      </c>
      <c r="O34" s="16">
        <v>91.381003380946652</v>
      </c>
      <c r="P34" s="16">
        <v>166.25185007562777</v>
      </c>
      <c r="Q34" s="16">
        <v>141.32029500009548</v>
      </c>
      <c r="R34" s="16">
        <v>225.36887821809611</v>
      </c>
      <c r="S34" s="16">
        <v>276.56267173014629</v>
      </c>
      <c r="T34" s="16">
        <v>298.8723007564812</v>
      </c>
      <c r="U34" s="16">
        <v>237.6209977298513</v>
      </c>
    </row>
    <row r="35" spans="1:21">
      <c r="A35" s="11" t="s">
        <v>37</v>
      </c>
      <c r="B35" s="16">
        <v>1.3762826841235343</v>
      </c>
      <c r="C35" s="16">
        <v>1.2489820728300205</v>
      </c>
      <c r="D35" s="16">
        <v>1.1678250690598242</v>
      </c>
      <c r="E35" s="16">
        <v>1.2531608981864313</v>
      </c>
      <c r="F35" s="16">
        <v>1.491304464200591</v>
      </c>
      <c r="G35" s="16">
        <v>1.5734572088302892</v>
      </c>
      <c r="H35" s="16">
        <v>2.0600771319084155</v>
      </c>
      <c r="I35" s="16">
        <v>2.4060678840013203</v>
      </c>
      <c r="J35" s="16">
        <v>2.4302021544680819</v>
      </c>
      <c r="K35" s="16">
        <v>3.7323043463414005</v>
      </c>
      <c r="L35" s="16">
        <v>27.028705079779719</v>
      </c>
      <c r="M35" s="16">
        <v>18.053553532016494</v>
      </c>
      <c r="N35" s="16">
        <v>56.302872085646982</v>
      </c>
      <c r="O35" s="16">
        <v>64.068267314848157</v>
      </c>
      <c r="P35" s="16">
        <v>155.44459054959898</v>
      </c>
      <c r="Q35" s="16">
        <v>173.08746089349665</v>
      </c>
      <c r="R35" s="16">
        <v>214.54154776989574</v>
      </c>
      <c r="S35" s="16">
        <v>220.17882274098065</v>
      </c>
      <c r="T35" s="16">
        <v>220.72767784089032</v>
      </c>
      <c r="U35" s="16">
        <v>193.70381643075635</v>
      </c>
    </row>
    <row r="36" spans="1:21">
      <c r="A36" s="11" t="s">
        <v>38</v>
      </c>
      <c r="B36" s="16">
        <v>0.46965000845946614</v>
      </c>
      <c r="C36" s="16">
        <v>0.54586556684969612</v>
      </c>
      <c r="D36" s="16">
        <v>0.51269612852686119</v>
      </c>
      <c r="E36" s="16">
        <v>0.57943269378170092</v>
      </c>
      <c r="F36" s="16">
        <v>1.1452416524794682</v>
      </c>
      <c r="G36" s="16">
        <v>1.4215116936945387</v>
      </c>
      <c r="H36" s="16">
        <v>1.7788114375453854</v>
      </c>
      <c r="I36" s="16">
        <v>2.0297433156626976</v>
      </c>
      <c r="J36" s="16">
        <v>2.5236913890975554</v>
      </c>
      <c r="K36" s="16">
        <v>3.6117213805050992</v>
      </c>
      <c r="L36" s="16">
        <v>14.334172550127082</v>
      </c>
      <c r="M36" s="16">
        <v>16.468761954997852</v>
      </c>
      <c r="N36" s="16">
        <v>26.482481241668786</v>
      </c>
      <c r="O36" s="16">
        <v>29.920484735726003</v>
      </c>
      <c r="P36" s="16">
        <v>43.459202392181595</v>
      </c>
      <c r="Q36" s="16">
        <v>57.028881206239589</v>
      </c>
      <c r="R36" s="16">
        <v>59.089695298887186</v>
      </c>
      <c r="S36" s="16">
        <v>78.520049145537811</v>
      </c>
      <c r="T36" s="16">
        <v>105.10586051258512</v>
      </c>
      <c r="U36" s="16">
        <v>79.15280726241123</v>
      </c>
    </row>
    <row r="37" spans="1:21">
      <c r="A37" s="11" t="s">
        <v>39</v>
      </c>
      <c r="B37" s="16">
        <v>2.4582554147090594</v>
      </c>
      <c r="C37" s="16">
        <v>1.7490261739727786</v>
      </c>
      <c r="D37" s="16">
        <v>1.5834994997457499</v>
      </c>
      <c r="E37" s="16">
        <v>1.9461300868460167</v>
      </c>
      <c r="F37" s="16">
        <v>2.7489140327281643</v>
      </c>
      <c r="G37" s="16">
        <v>4.0551846391000845</v>
      </c>
      <c r="H37" s="16">
        <v>4.6991077472243852</v>
      </c>
      <c r="I37" s="16">
        <v>5.0377388558971665</v>
      </c>
      <c r="J37" s="16">
        <v>6.3002939059995198</v>
      </c>
      <c r="K37" s="16">
        <v>8.6461608017506304</v>
      </c>
      <c r="L37" s="16">
        <v>57.92831288830839</v>
      </c>
      <c r="M37" s="16">
        <v>55.304324620702104</v>
      </c>
      <c r="N37" s="16">
        <v>85.603743925374673</v>
      </c>
      <c r="O37" s="16">
        <v>125.63858590405314</v>
      </c>
      <c r="P37" s="16">
        <v>216.38581682173617</v>
      </c>
      <c r="Q37" s="16">
        <v>253.14250738488983</v>
      </c>
      <c r="R37" s="16">
        <v>308.04242842717747</v>
      </c>
      <c r="S37" s="16">
        <v>231.8277560594214</v>
      </c>
      <c r="T37" s="16">
        <v>290.82689559307534</v>
      </c>
      <c r="U37" s="16">
        <v>291.72627143298109</v>
      </c>
    </row>
    <row r="38" spans="1:21">
      <c r="A38" s="10"/>
    </row>
  </sheetData>
  <phoneticPr fontId="6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F5ED6-87D7-354A-9686-38DA968D4785}">
  <dimension ref="A1:U41"/>
  <sheetViews>
    <sheetView workbookViewId="0">
      <selection sqref="A1:A1048576"/>
    </sheetView>
  </sheetViews>
  <sheetFormatPr baseColWidth="10" defaultRowHeight="16"/>
  <cols>
    <col min="1" max="1" width="19" customWidth="1"/>
    <col min="20" max="20" width="17.1640625" customWidth="1"/>
    <col min="21" max="21" width="18" customWidth="1"/>
  </cols>
  <sheetData>
    <row r="1" spans="1:21" ht="17">
      <c r="A1" s="23" t="s">
        <v>6</v>
      </c>
      <c r="B1" s="8">
        <v>1997</v>
      </c>
      <c r="C1" s="8">
        <v>1998</v>
      </c>
      <c r="D1" s="8">
        <v>1999</v>
      </c>
      <c r="E1" s="8">
        <v>2000</v>
      </c>
      <c r="F1" s="8">
        <v>2001</v>
      </c>
      <c r="G1" s="8">
        <v>2002</v>
      </c>
      <c r="H1" s="8">
        <v>2003</v>
      </c>
      <c r="I1" s="8">
        <v>2004</v>
      </c>
      <c r="J1" s="8">
        <v>2005</v>
      </c>
      <c r="K1" s="8">
        <v>2006</v>
      </c>
      <c r="L1" s="8">
        <v>2007</v>
      </c>
      <c r="M1" s="8">
        <v>2008</v>
      </c>
      <c r="N1" s="8">
        <v>2009</v>
      </c>
      <c r="O1" s="8">
        <v>2010</v>
      </c>
      <c r="P1" s="8">
        <v>2011</v>
      </c>
      <c r="Q1" s="8">
        <v>2012</v>
      </c>
      <c r="R1" s="8">
        <v>2013</v>
      </c>
      <c r="S1" s="8">
        <v>2014</v>
      </c>
      <c r="T1" s="8" t="s">
        <v>47</v>
      </c>
      <c r="U1" s="8" t="s">
        <v>48</v>
      </c>
    </row>
    <row r="2" spans="1:21">
      <c r="A2" s="16" t="s">
        <v>9</v>
      </c>
      <c r="B2" s="11">
        <v>332.46</v>
      </c>
      <c r="C2" s="11">
        <v>459.68</v>
      </c>
      <c r="D2" s="11">
        <v>493.2</v>
      </c>
      <c r="E2" s="11">
        <v>616.27</v>
      </c>
      <c r="F2" s="11">
        <v>751.91</v>
      </c>
      <c r="G2" s="11">
        <v>880.32</v>
      </c>
      <c r="H2" s="26">
        <v>971</v>
      </c>
      <c r="I2" s="26">
        <v>974.45</v>
      </c>
      <c r="J2" s="11">
        <v>924.75</v>
      </c>
      <c r="K2" s="11">
        <v>974.61</v>
      </c>
      <c r="L2" s="11">
        <v>876.92</v>
      </c>
      <c r="M2" s="11">
        <v>809.25</v>
      </c>
      <c r="N2" s="11">
        <v>924.67</v>
      </c>
      <c r="O2" s="11">
        <v>1028.8900000000001</v>
      </c>
      <c r="P2" s="11">
        <v>1171.28</v>
      </c>
      <c r="Q2" s="11">
        <v>1214.24</v>
      </c>
      <c r="R2" s="11">
        <v>1598.1630502222001</v>
      </c>
      <c r="S2" s="11">
        <v>1440.9767756228271</v>
      </c>
      <c r="T2" s="11">
        <v>1443.1498054419999</v>
      </c>
      <c r="U2" s="11">
        <v>1456.4236614819999</v>
      </c>
    </row>
    <row r="3" spans="1:21">
      <c r="A3" s="11" t="s">
        <v>10</v>
      </c>
      <c r="B3" s="11">
        <v>282.17</v>
      </c>
      <c r="C3" s="11">
        <v>309.20999999999998</v>
      </c>
      <c r="D3" s="11">
        <v>360.45</v>
      </c>
      <c r="E3" s="11">
        <v>393.82</v>
      </c>
      <c r="F3" s="11">
        <v>497.07</v>
      </c>
      <c r="G3" s="11">
        <v>660.6</v>
      </c>
      <c r="H3" s="26">
        <v>638.4</v>
      </c>
      <c r="I3" s="26">
        <v>699.44</v>
      </c>
      <c r="J3" s="11">
        <v>716.38</v>
      </c>
      <c r="K3" s="11">
        <v>749.54</v>
      </c>
      <c r="L3" s="11">
        <v>773.62</v>
      </c>
      <c r="M3" s="11">
        <v>715.24</v>
      </c>
      <c r="N3" s="11">
        <v>717.22</v>
      </c>
      <c r="O3" s="11">
        <v>752.54</v>
      </c>
      <c r="P3" s="11">
        <v>780.85</v>
      </c>
      <c r="Q3" s="11">
        <v>925.25</v>
      </c>
      <c r="R3" s="11">
        <v>943.86399308627165</v>
      </c>
      <c r="S3" s="11">
        <v>803.31293628108892</v>
      </c>
      <c r="T3" s="11">
        <v>832.23518192000006</v>
      </c>
      <c r="U3" s="11">
        <v>949.72128308000003</v>
      </c>
    </row>
    <row r="4" spans="1:21">
      <c r="A4" s="11" t="s">
        <v>11</v>
      </c>
      <c r="B4" s="11">
        <v>219.7</v>
      </c>
      <c r="C4" s="11">
        <v>248.61</v>
      </c>
      <c r="D4" s="11">
        <v>324.73</v>
      </c>
      <c r="E4" s="11">
        <v>319.14999999999998</v>
      </c>
      <c r="F4" s="11">
        <v>338.24</v>
      </c>
      <c r="G4" s="11">
        <v>336.84</v>
      </c>
      <c r="H4" s="26">
        <v>361.99</v>
      </c>
      <c r="I4" s="26">
        <v>381.62</v>
      </c>
      <c r="J4" s="11">
        <v>408.63</v>
      </c>
      <c r="K4" s="11">
        <v>416.11</v>
      </c>
      <c r="L4" s="11">
        <v>395.69</v>
      </c>
      <c r="M4" s="11">
        <v>386.6</v>
      </c>
      <c r="N4" s="11">
        <v>360.98</v>
      </c>
      <c r="O4" s="11">
        <v>420.52</v>
      </c>
      <c r="P4" s="11">
        <v>523.54</v>
      </c>
      <c r="Q4" s="11">
        <v>481.39</v>
      </c>
      <c r="R4" s="11">
        <v>621.89295091752319</v>
      </c>
      <c r="S4" s="11">
        <v>635.25776834588305</v>
      </c>
      <c r="T4" s="11">
        <v>531.50286952199997</v>
      </c>
      <c r="U4" s="11">
        <v>572.51916948400003</v>
      </c>
    </row>
    <row r="5" spans="1:21">
      <c r="A5" s="11" t="s">
        <v>12</v>
      </c>
      <c r="B5" s="11">
        <v>193.85</v>
      </c>
      <c r="C5" s="11">
        <v>187.94</v>
      </c>
      <c r="D5" s="11">
        <v>245.43</v>
      </c>
      <c r="E5" s="11">
        <v>309.52999999999997</v>
      </c>
      <c r="F5" s="11">
        <v>382.24</v>
      </c>
      <c r="G5" s="11">
        <v>490.92</v>
      </c>
      <c r="H5" s="26">
        <v>467.46</v>
      </c>
      <c r="I5" s="26">
        <v>541.44000000000005</v>
      </c>
      <c r="J5" s="11">
        <v>548.83000000000004</v>
      </c>
      <c r="K5" s="11">
        <v>539.9</v>
      </c>
      <c r="L5" s="11">
        <v>582.34</v>
      </c>
      <c r="M5" s="11">
        <v>570.79</v>
      </c>
      <c r="N5" s="11">
        <v>548.13</v>
      </c>
      <c r="O5" s="11">
        <v>607.82000000000005</v>
      </c>
      <c r="P5" s="11">
        <v>722.92</v>
      </c>
      <c r="Q5" s="11">
        <v>719.76</v>
      </c>
      <c r="R5" s="11">
        <v>828.3628259088</v>
      </c>
      <c r="S5" s="11">
        <v>808.70165674303541</v>
      </c>
      <c r="T5" s="11">
        <v>646.41167756000004</v>
      </c>
      <c r="U5" s="11">
        <v>715.33291483900007</v>
      </c>
    </row>
    <row r="6" spans="1:21">
      <c r="A6" s="11" t="s">
        <v>13</v>
      </c>
      <c r="B6" s="11">
        <v>180.08</v>
      </c>
      <c r="C6" s="11">
        <v>221.7</v>
      </c>
      <c r="D6" s="11">
        <v>279.43</v>
      </c>
      <c r="E6" s="11">
        <v>302.16000000000003</v>
      </c>
      <c r="F6" s="11">
        <v>355.08</v>
      </c>
      <c r="G6" s="11">
        <v>402.12</v>
      </c>
      <c r="H6" s="26">
        <v>432.52</v>
      </c>
      <c r="I6" s="26">
        <v>440.15</v>
      </c>
      <c r="J6" s="11">
        <v>504.77</v>
      </c>
      <c r="K6" s="11">
        <v>515.70000000000005</v>
      </c>
      <c r="L6" s="11">
        <v>553.34</v>
      </c>
      <c r="M6" s="11">
        <v>568.35</v>
      </c>
      <c r="N6" s="11">
        <v>629.46</v>
      </c>
      <c r="O6" s="11">
        <v>645.02</v>
      </c>
      <c r="P6" s="11">
        <v>740.41</v>
      </c>
      <c r="Q6" s="11">
        <v>786.53</v>
      </c>
      <c r="R6" s="11">
        <v>846.63510796497724</v>
      </c>
      <c r="S6" s="11">
        <v>869.06217095004911</v>
      </c>
      <c r="T6" s="11">
        <v>820.76018346699993</v>
      </c>
      <c r="U6" s="11">
        <v>855.61828406600011</v>
      </c>
    </row>
    <row r="7" spans="1:2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1:21">
      <c r="A8" s="11" t="s">
        <v>14</v>
      </c>
      <c r="B8" s="11">
        <v>230.54</v>
      </c>
      <c r="C8" s="11">
        <v>255.26</v>
      </c>
      <c r="D8" s="11">
        <v>277.45</v>
      </c>
      <c r="E8" s="11">
        <v>321.29000000000002</v>
      </c>
      <c r="F8" s="11">
        <v>385.53</v>
      </c>
      <c r="G8" s="11">
        <v>433.56</v>
      </c>
      <c r="H8" s="26">
        <v>476.16</v>
      </c>
      <c r="I8" s="26">
        <v>572.15</v>
      </c>
      <c r="J8" s="11">
        <v>529.13</v>
      </c>
      <c r="K8" s="11">
        <v>511.24</v>
      </c>
      <c r="L8" s="11">
        <v>609.51</v>
      </c>
      <c r="M8" s="11">
        <v>670.13</v>
      </c>
      <c r="N8" s="11">
        <v>734.09</v>
      </c>
      <c r="O8" s="11">
        <v>732.35</v>
      </c>
      <c r="P8" s="11">
        <v>757.94</v>
      </c>
      <c r="Q8" s="11">
        <v>816.58</v>
      </c>
      <c r="R8" s="11">
        <v>905.77542591029101</v>
      </c>
      <c r="S8" s="11">
        <v>908.22911492971991</v>
      </c>
      <c r="T8" s="11">
        <v>783.51607084099999</v>
      </c>
      <c r="U8" s="11">
        <v>956.87184681700001</v>
      </c>
    </row>
    <row r="9" spans="1:21">
      <c r="A9" s="11" t="s">
        <v>15</v>
      </c>
      <c r="B9" s="11">
        <v>177.14</v>
      </c>
      <c r="C9" s="11">
        <v>209.19</v>
      </c>
      <c r="D9" s="11">
        <v>279.52999999999997</v>
      </c>
      <c r="E9" s="11">
        <v>295.3</v>
      </c>
      <c r="F9" s="11">
        <v>343.53</v>
      </c>
      <c r="G9" s="11">
        <v>414.96</v>
      </c>
      <c r="H9" s="26">
        <v>471.74</v>
      </c>
      <c r="I9" s="26">
        <v>481.26</v>
      </c>
      <c r="J9" s="11">
        <v>502.08</v>
      </c>
      <c r="K9" s="11">
        <v>491.85</v>
      </c>
      <c r="L9" s="11">
        <v>580.57000000000005</v>
      </c>
      <c r="M9" s="11">
        <v>576.16999999999996</v>
      </c>
      <c r="N9" s="11">
        <v>661.37</v>
      </c>
      <c r="O9" s="11">
        <v>664.24</v>
      </c>
      <c r="P9" s="11">
        <v>739.14</v>
      </c>
      <c r="Q9" s="11">
        <v>883.1</v>
      </c>
      <c r="R9" s="11">
        <v>776.06393637942824</v>
      </c>
      <c r="S9" s="11">
        <v>790.44060297072917</v>
      </c>
      <c r="T9" s="11">
        <v>668.48814517199992</v>
      </c>
      <c r="U9" s="11">
        <v>730.898230377</v>
      </c>
    </row>
    <row r="10" spans="1:21">
      <c r="A10" s="11" t="s">
        <v>16</v>
      </c>
      <c r="B10" s="11">
        <v>158.08000000000001</v>
      </c>
      <c r="C10" s="11">
        <v>192.54</v>
      </c>
      <c r="D10" s="11">
        <v>240.23</v>
      </c>
      <c r="E10" s="11">
        <v>314.39</v>
      </c>
      <c r="F10" s="11">
        <v>377.97</v>
      </c>
      <c r="G10" s="11">
        <v>381.84</v>
      </c>
      <c r="H10" s="26">
        <v>396.55</v>
      </c>
      <c r="I10" s="26">
        <v>475.29</v>
      </c>
      <c r="J10" s="11">
        <v>479.85</v>
      </c>
      <c r="K10" s="11">
        <v>484.25</v>
      </c>
      <c r="L10" s="11">
        <v>557.20000000000005</v>
      </c>
      <c r="M10" s="11">
        <v>551.73</v>
      </c>
      <c r="N10" s="11">
        <v>523.91999999999996</v>
      </c>
      <c r="O10" s="11">
        <v>528.5</v>
      </c>
      <c r="P10" s="11">
        <v>598.70000000000005</v>
      </c>
      <c r="Q10" s="11">
        <v>627.29</v>
      </c>
      <c r="R10" s="11">
        <v>560.03123367113994</v>
      </c>
      <c r="S10" s="11">
        <v>687.65443028658376</v>
      </c>
      <c r="T10" s="11">
        <v>605.99109477399998</v>
      </c>
      <c r="U10" s="11">
        <v>666.97772139099993</v>
      </c>
    </row>
    <row r="11" spans="1:2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</row>
    <row r="12" spans="1:21">
      <c r="A12" s="11" t="s">
        <v>17</v>
      </c>
      <c r="B12" s="11">
        <v>309.95999999999998</v>
      </c>
      <c r="C12" s="11">
        <v>374.6</v>
      </c>
      <c r="D12" s="11">
        <v>462.76</v>
      </c>
      <c r="E12" s="11">
        <v>585.45000000000005</v>
      </c>
      <c r="F12" s="11">
        <v>731.48</v>
      </c>
      <c r="G12" s="11">
        <v>820.8</v>
      </c>
      <c r="H12" s="26">
        <v>936.67</v>
      </c>
      <c r="I12" s="26">
        <v>1102.19</v>
      </c>
      <c r="J12" s="11">
        <v>1136.1500000000001</v>
      </c>
      <c r="K12" s="11">
        <v>1225.29</v>
      </c>
      <c r="L12" s="11">
        <v>1203.57</v>
      </c>
      <c r="M12" s="11">
        <v>1165.96</v>
      </c>
      <c r="N12" s="11">
        <v>1191.24</v>
      </c>
      <c r="O12" s="11">
        <v>1167.8900000000001</v>
      </c>
      <c r="P12" s="11">
        <v>1285.6099999999999</v>
      </c>
      <c r="Q12" s="11">
        <v>1241.3599999999999</v>
      </c>
      <c r="R12" s="11">
        <v>1653.1923240538999</v>
      </c>
      <c r="S12" s="11">
        <v>1438.5887231036318</v>
      </c>
      <c r="T12" s="11">
        <v>1476.3042127369999</v>
      </c>
      <c r="U12" s="11">
        <v>1649.2123412420001</v>
      </c>
    </row>
    <row r="13" spans="1:21">
      <c r="A13" s="11" t="s">
        <v>18</v>
      </c>
      <c r="B13" s="11">
        <v>232.26</v>
      </c>
      <c r="C13" s="11">
        <v>284.36</v>
      </c>
      <c r="D13" s="11">
        <v>333.97</v>
      </c>
      <c r="E13" s="11">
        <v>378.43</v>
      </c>
      <c r="F13" s="11">
        <v>419.63</v>
      </c>
      <c r="G13" s="11">
        <v>471.96</v>
      </c>
      <c r="H13" s="26">
        <v>549.97</v>
      </c>
      <c r="I13" s="26">
        <v>557.73</v>
      </c>
      <c r="J13" s="11">
        <v>656.29</v>
      </c>
      <c r="K13" s="11">
        <v>721.73</v>
      </c>
      <c r="L13" s="11">
        <v>726.46</v>
      </c>
      <c r="M13" s="11">
        <v>750.97</v>
      </c>
      <c r="N13" s="11">
        <v>844.28</v>
      </c>
      <c r="O13" s="11">
        <v>831.71</v>
      </c>
      <c r="P13" s="11">
        <v>1005.65</v>
      </c>
      <c r="Q13" s="11">
        <v>1111.6500000000001</v>
      </c>
      <c r="R13" s="11">
        <v>1319.4833533000001</v>
      </c>
      <c r="S13" s="11">
        <v>1132.8487259926114</v>
      </c>
      <c r="T13" s="11">
        <v>962.39104672600013</v>
      </c>
      <c r="U13" s="11">
        <v>993.37527716500006</v>
      </c>
    </row>
    <row r="14" spans="1:21">
      <c r="A14" s="11" t="s">
        <v>19</v>
      </c>
      <c r="B14" s="11">
        <v>320.7</v>
      </c>
      <c r="C14" s="11">
        <v>384.94</v>
      </c>
      <c r="D14" s="11">
        <v>412.63</v>
      </c>
      <c r="E14" s="11">
        <v>489.63</v>
      </c>
      <c r="F14" s="11">
        <v>636.4</v>
      </c>
      <c r="G14" s="11">
        <v>735</v>
      </c>
      <c r="H14" s="26">
        <v>801.66</v>
      </c>
      <c r="I14" s="26">
        <v>859.55</v>
      </c>
      <c r="J14" s="11">
        <v>972.69</v>
      </c>
      <c r="K14" s="11">
        <v>1052.6300000000001</v>
      </c>
      <c r="L14" s="11">
        <v>1197.9000000000001</v>
      </c>
      <c r="M14" s="11">
        <v>1178.54</v>
      </c>
      <c r="N14" s="11">
        <v>1181.49</v>
      </c>
      <c r="O14" s="11">
        <v>1234.0899999999999</v>
      </c>
      <c r="P14" s="11">
        <v>1332.63</v>
      </c>
      <c r="Q14" s="11">
        <v>1457.04</v>
      </c>
      <c r="R14" s="11">
        <v>1142.5150789060308</v>
      </c>
      <c r="S14" s="11">
        <v>1054.658453330369</v>
      </c>
      <c r="T14" s="11">
        <v>964.17781119100005</v>
      </c>
      <c r="U14" s="11">
        <v>1103.912721011</v>
      </c>
    </row>
    <row r="15" spans="1:21">
      <c r="A15" s="11" t="s">
        <v>20</v>
      </c>
      <c r="B15" s="11">
        <v>238.93</v>
      </c>
      <c r="C15" s="11">
        <v>327.81</v>
      </c>
      <c r="D15" s="11">
        <v>340.57</v>
      </c>
      <c r="E15" s="11">
        <v>316.58</v>
      </c>
      <c r="F15" s="11">
        <v>414.08</v>
      </c>
      <c r="G15" s="11">
        <v>273.83999999999997</v>
      </c>
      <c r="H15" s="26">
        <v>300.98</v>
      </c>
      <c r="I15" s="26">
        <v>363.05</v>
      </c>
      <c r="J15" s="11">
        <v>352.79</v>
      </c>
      <c r="K15" s="11">
        <v>543.11</v>
      </c>
      <c r="L15" s="11">
        <v>667.93</v>
      </c>
      <c r="M15" s="11">
        <v>633.45000000000005</v>
      </c>
      <c r="N15" s="11">
        <v>637.88</v>
      </c>
      <c r="O15" s="11">
        <v>696.88</v>
      </c>
      <c r="P15" s="11">
        <v>776.9</v>
      </c>
      <c r="Q15" s="11">
        <v>948.12</v>
      </c>
      <c r="R15" s="11">
        <v>763.67486008753303</v>
      </c>
      <c r="S15" s="11">
        <v>658.79381751317283</v>
      </c>
      <c r="T15" s="11">
        <v>531.78081066100003</v>
      </c>
      <c r="U15" s="11">
        <v>615.81761067599996</v>
      </c>
    </row>
    <row r="16" spans="1:21">
      <c r="A16" s="11" t="s">
        <v>21</v>
      </c>
      <c r="B16" s="11">
        <v>247.34</v>
      </c>
      <c r="C16" s="11">
        <v>271.7</v>
      </c>
      <c r="D16" s="11">
        <v>276.56</v>
      </c>
      <c r="E16" s="11">
        <v>324.58</v>
      </c>
      <c r="F16" s="11">
        <v>351.86</v>
      </c>
      <c r="G16" s="11">
        <v>423.96</v>
      </c>
      <c r="H16" s="26">
        <v>472.05</v>
      </c>
      <c r="I16" s="26">
        <v>499.87</v>
      </c>
      <c r="J16" s="11">
        <v>531.4</v>
      </c>
      <c r="K16" s="11">
        <v>632.87</v>
      </c>
      <c r="L16" s="11">
        <v>628.76</v>
      </c>
      <c r="M16" s="11">
        <v>686.35</v>
      </c>
      <c r="N16" s="11">
        <v>597.47</v>
      </c>
      <c r="O16" s="11">
        <v>605.27</v>
      </c>
      <c r="P16" s="11">
        <v>629.11</v>
      </c>
      <c r="Q16" s="11">
        <v>756.09</v>
      </c>
      <c r="R16" s="11">
        <v>981.93720364091223</v>
      </c>
      <c r="S16" s="11">
        <v>865.96778073070186</v>
      </c>
      <c r="T16" s="11">
        <v>708.63078681900004</v>
      </c>
      <c r="U16" s="11">
        <v>752.74498035800002</v>
      </c>
    </row>
    <row r="17" spans="1:21">
      <c r="A17" s="11" t="s">
        <v>22</v>
      </c>
      <c r="B17" s="11">
        <v>215.59</v>
      </c>
      <c r="C17" s="11">
        <v>203.81</v>
      </c>
      <c r="D17" s="11">
        <v>254.4</v>
      </c>
      <c r="E17" s="11">
        <v>265.3</v>
      </c>
      <c r="F17" s="11">
        <v>329.38</v>
      </c>
      <c r="G17" s="11">
        <v>399.48</v>
      </c>
      <c r="H17" s="26">
        <v>371.16</v>
      </c>
      <c r="I17" s="26">
        <v>428.3</v>
      </c>
      <c r="J17" s="11">
        <v>392.81</v>
      </c>
      <c r="K17" s="11">
        <v>420.53</v>
      </c>
      <c r="L17" s="11">
        <v>473.6</v>
      </c>
      <c r="M17" s="11">
        <v>388.48</v>
      </c>
      <c r="N17" s="11">
        <v>424</v>
      </c>
      <c r="O17" s="11">
        <v>473.81</v>
      </c>
      <c r="P17" s="11">
        <v>610.69000000000005</v>
      </c>
      <c r="Q17" s="11">
        <v>548.65</v>
      </c>
      <c r="R17" s="11">
        <v>670.26545877479998</v>
      </c>
      <c r="S17" s="11">
        <v>659.97781464968625</v>
      </c>
      <c r="T17" s="11">
        <v>537.61757458</v>
      </c>
      <c r="U17" s="11">
        <v>562.72171198800004</v>
      </c>
    </row>
    <row r="18" spans="1:21">
      <c r="A18" s="11" t="s">
        <v>23</v>
      </c>
      <c r="B18" s="11">
        <v>239.38</v>
      </c>
      <c r="C18" s="11">
        <v>271.27999999999997</v>
      </c>
      <c r="D18" s="11">
        <v>342.36</v>
      </c>
      <c r="E18" s="11">
        <v>405.76</v>
      </c>
      <c r="F18" s="11">
        <v>466.14</v>
      </c>
      <c r="G18" s="11">
        <v>514.91999999999996</v>
      </c>
      <c r="H18" s="26">
        <v>500.3</v>
      </c>
      <c r="I18" s="26">
        <v>555.96</v>
      </c>
      <c r="J18" s="11">
        <v>546.64</v>
      </c>
      <c r="K18" s="11">
        <v>632.53</v>
      </c>
      <c r="L18" s="11">
        <v>576.35</v>
      </c>
      <c r="M18" s="11">
        <v>580.1</v>
      </c>
      <c r="N18" s="11">
        <v>572.65</v>
      </c>
      <c r="O18" s="11">
        <v>606.57000000000005</v>
      </c>
      <c r="P18" s="11">
        <v>656.83</v>
      </c>
      <c r="Q18" s="11">
        <v>692.03</v>
      </c>
      <c r="R18" s="11">
        <v>765.95808129679995</v>
      </c>
      <c r="S18" s="11">
        <v>706.25830724146101</v>
      </c>
      <c r="T18" s="11">
        <v>618.33962252100002</v>
      </c>
      <c r="U18" s="11">
        <v>693.17011784199997</v>
      </c>
    </row>
    <row r="19" spans="1:2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</row>
    <row r="20" spans="1:21">
      <c r="A20" s="11" t="s">
        <v>24</v>
      </c>
      <c r="B20" s="11">
        <v>164.3</v>
      </c>
      <c r="C20" s="11">
        <v>183.57</v>
      </c>
      <c r="D20" s="11">
        <v>190.87</v>
      </c>
      <c r="E20" s="11">
        <v>234.2</v>
      </c>
      <c r="F20" s="11">
        <v>253.86</v>
      </c>
      <c r="G20" s="11">
        <v>279.48</v>
      </c>
      <c r="H20" s="26">
        <v>332.79</v>
      </c>
      <c r="I20" s="26">
        <v>370.3</v>
      </c>
      <c r="J20" s="11">
        <v>421.72</v>
      </c>
      <c r="K20" s="11">
        <v>423.26</v>
      </c>
      <c r="L20" s="11">
        <v>455.28</v>
      </c>
      <c r="M20" s="11">
        <v>464.35</v>
      </c>
      <c r="N20" s="11">
        <v>477.64</v>
      </c>
      <c r="O20" s="11">
        <v>396.34</v>
      </c>
      <c r="P20" s="11">
        <v>544.6</v>
      </c>
      <c r="Q20" s="11">
        <v>549.85</v>
      </c>
      <c r="R20" s="11">
        <v>766.48747887320008</v>
      </c>
      <c r="S20" s="11">
        <v>687.14672916759514</v>
      </c>
      <c r="T20" s="11">
        <v>530.94698724400007</v>
      </c>
      <c r="U20" s="11">
        <v>568.68709941500003</v>
      </c>
    </row>
    <row r="21" spans="1:21">
      <c r="A21" s="11" t="s">
        <v>25</v>
      </c>
      <c r="B21" s="11">
        <v>266.18</v>
      </c>
      <c r="C21" s="11">
        <v>328.73</v>
      </c>
      <c r="D21" s="11">
        <v>407.06</v>
      </c>
      <c r="E21" s="11">
        <v>417.24</v>
      </c>
      <c r="F21" s="11">
        <v>480.43</v>
      </c>
      <c r="G21" s="11">
        <v>521.88</v>
      </c>
      <c r="H21" s="26">
        <v>524.78</v>
      </c>
      <c r="I21" s="26">
        <v>559.72</v>
      </c>
      <c r="J21" s="11">
        <v>517.28</v>
      </c>
      <c r="K21" s="11">
        <v>557.04999999999995</v>
      </c>
      <c r="L21" s="11">
        <v>591.5</v>
      </c>
      <c r="M21" s="11">
        <v>570.99</v>
      </c>
      <c r="N21" s="11">
        <v>628.42999999999995</v>
      </c>
      <c r="O21" s="11">
        <v>607.29999999999995</v>
      </c>
      <c r="P21" s="11">
        <v>690.86</v>
      </c>
      <c r="Q21" s="11">
        <v>725.83</v>
      </c>
      <c r="R21" s="11">
        <v>771.16783471910003</v>
      </c>
      <c r="S21" s="11">
        <v>756.15104411431082</v>
      </c>
      <c r="T21" s="11">
        <v>626.39991555199992</v>
      </c>
      <c r="U21" s="11">
        <v>687.20473041499997</v>
      </c>
    </row>
    <row r="22" spans="1:21">
      <c r="A22" s="11" t="s">
        <v>26</v>
      </c>
      <c r="B22" s="11">
        <v>342.95</v>
      </c>
      <c r="C22" s="11">
        <v>387.84</v>
      </c>
      <c r="D22" s="11">
        <v>433.56</v>
      </c>
      <c r="E22" s="11">
        <v>473.47</v>
      </c>
      <c r="F22" s="11">
        <v>567.47</v>
      </c>
      <c r="G22" s="11">
        <v>471.24</v>
      </c>
      <c r="H22" s="26">
        <v>545.95000000000005</v>
      </c>
      <c r="I22" s="26">
        <v>608.33000000000004</v>
      </c>
      <c r="J22" s="11">
        <v>582.16</v>
      </c>
      <c r="K22" s="11">
        <v>573.25</v>
      </c>
      <c r="L22" s="11">
        <v>622.45000000000005</v>
      </c>
      <c r="M22" s="11">
        <v>543.5</v>
      </c>
      <c r="N22" s="11">
        <v>576.9</v>
      </c>
      <c r="O22" s="11">
        <v>605.47</v>
      </c>
      <c r="P22" s="11">
        <v>626.86</v>
      </c>
      <c r="Q22" s="11">
        <v>787.2</v>
      </c>
      <c r="R22" s="11">
        <v>834.38672863420004</v>
      </c>
      <c r="S22" s="11">
        <v>1012.6174159825313</v>
      </c>
      <c r="T22" s="11">
        <v>813.8513608689999</v>
      </c>
      <c r="U22" s="11">
        <v>945.25711897899998</v>
      </c>
    </row>
    <row r="23" spans="1:21">
      <c r="A23" s="11" t="s">
        <v>27</v>
      </c>
      <c r="B23" s="11">
        <v>396.8</v>
      </c>
      <c r="C23" s="11">
        <v>443.8</v>
      </c>
      <c r="D23" s="11">
        <v>518.76</v>
      </c>
      <c r="E23" s="11">
        <v>525.44000000000005</v>
      </c>
      <c r="F23" s="11">
        <v>565.87</v>
      </c>
      <c r="G23" s="11">
        <v>691.32</v>
      </c>
      <c r="H23" s="26">
        <v>678.88</v>
      </c>
      <c r="I23" s="26">
        <v>720.99</v>
      </c>
      <c r="J23" s="11">
        <v>755.94</v>
      </c>
      <c r="K23" s="11">
        <v>803.63</v>
      </c>
      <c r="L23" s="11">
        <v>812.03</v>
      </c>
      <c r="M23" s="11">
        <v>720.58</v>
      </c>
      <c r="N23" s="11">
        <v>778.59</v>
      </c>
      <c r="O23" s="11">
        <v>825.4</v>
      </c>
      <c r="P23" s="11">
        <v>929.03</v>
      </c>
      <c r="Q23" s="11">
        <v>1078.3800000000001</v>
      </c>
      <c r="R23" s="11">
        <v>1292.3733688580153</v>
      </c>
      <c r="S23" s="11">
        <v>985.02818431589174</v>
      </c>
      <c r="T23" s="11">
        <v>840.69253372100013</v>
      </c>
      <c r="U23" s="11">
        <v>968.36805702399988</v>
      </c>
    </row>
    <row r="24" spans="1:21">
      <c r="A24" s="11" t="s">
        <v>28</v>
      </c>
      <c r="B24" s="11">
        <v>305.74</v>
      </c>
      <c r="C24" s="11">
        <v>314.82</v>
      </c>
      <c r="D24" s="11">
        <v>380.19</v>
      </c>
      <c r="E24" s="11">
        <v>348.93</v>
      </c>
      <c r="F24" s="11">
        <v>419.41</v>
      </c>
      <c r="G24" s="11">
        <v>446.76</v>
      </c>
      <c r="H24" s="26">
        <v>442.08</v>
      </c>
      <c r="I24" s="26">
        <v>516.97</v>
      </c>
      <c r="J24" s="11">
        <v>528.13</v>
      </c>
      <c r="K24" s="11">
        <v>398.29</v>
      </c>
      <c r="L24" s="11">
        <v>449.39</v>
      </c>
      <c r="M24" s="11">
        <v>483.61</v>
      </c>
      <c r="N24" s="11">
        <v>403.58</v>
      </c>
      <c r="O24" s="11">
        <v>454.47</v>
      </c>
      <c r="P24" s="11">
        <v>561.80999999999995</v>
      </c>
      <c r="Q24" s="11">
        <v>679.88</v>
      </c>
      <c r="R24" s="11">
        <v>835.80335745219065</v>
      </c>
      <c r="S24" s="11">
        <v>673.97799292425702</v>
      </c>
      <c r="T24" s="11">
        <v>508.274931477</v>
      </c>
      <c r="U24" s="11">
        <v>570.46486388000005</v>
      </c>
    </row>
    <row r="25" spans="1:21">
      <c r="A25" s="11" t="s">
        <v>29</v>
      </c>
      <c r="B25" s="11">
        <v>257.43</v>
      </c>
      <c r="C25" s="11">
        <v>252.47</v>
      </c>
      <c r="D25" s="11">
        <v>305.19</v>
      </c>
      <c r="E25" s="11">
        <v>328.01</v>
      </c>
      <c r="F25" s="11">
        <v>332.03</v>
      </c>
      <c r="G25" s="11">
        <v>471.96</v>
      </c>
      <c r="H25" s="26">
        <v>382.17</v>
      </c>
      <c r="I25" s="26">
        <v>372.9</v>
      </c>
      <c r="J25" s="11">
        <v>347.11</v>
      </c>
      <c r="K25" s="11">
        <v>439.09</v>
      </c>
      <c r="L25" s="11">
        <v>432.85</v>
      </c>
      <c r="M25" s="11">
        <v>459.74</v>
      </c>
      <c r="N25" s="11">
        <v>458.47</v>
      </c>
      <c r="O25" s="11">
        <v>481.67</v>
      </c>
      <c r="P25" s="11">
        <v>565.08000000000004</v>
      </c>
      <c r="Q25" s="11">
        <v>572.28</v>
      </c>
      <c r="R25" s="11">
        <v>771.42843471513822</v>
      </c>
      <c r="S25" s="11">
        <v>763.31522061060184</v>
      </c>
      <c r="T25" s="11">
        <v>507.44110806000003</v>
      </c>
      <c r="U25" s="11">
        <v>610.32629377300009</v>
      </c>
    </row>
    <row r="26" spans="1:2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</row>
    <row r="27" spans="1:21">
      <c r="A27" s="11" t="s">
        <v>30</v>
      </c>
      <c r="B27" s="11">
        <v>298.63</v>
      </c>
      <c r="C27" s="11">
        <v>289.77</v>
      </c>
      <c r="D27" s="11">
        <v>428.3</v>
      </c>
      <c r="E27" s="11">
        <v>496.94</v>
      </c>
      <c r="F27" s="11">
        <v>543.30999999999995</v>
      </c>
      <c r="G27" s="11">
        <v>633</v>
      </c>
      <c r="H27" s="26">
        <v>565.07000000000005</v>
      </c>
      <c r="I27" s="26">
        <v>667.79</v>
      </c>
      <c r="J27" s="11">
        <v>772.52</v>
      </c>
      <c r="K27" s="11">
        <v>816.61</v>
      </c>
      <c r="L27" s="11">
        <v>596.13</v>
      </c>
      <c r="M27" s="11">
        <v>536.42999999999995</v>
      </c>
      <c r="N27" s="11">
        <v>538.88</v>
      </c>
      <c r="O27" s="11">
        <v>472.43</v>
      </c>
      <c r="P27" s="11">
        <v>460.09</v>
      </c>
      <c r="Q27" s="11">
        <v>480.59</v>
      </c>
      <c r="R27" s="11">
        <v>690.8872915002047</v>
      </c>
      <c r="S27" s="11">
        <v>683.81970308799146</v>
      </c>
      <c r="T27" s="11">
        <v>600.90874251800005</v>
      </c>
      <c r="U27" s="11">
        <v>689.73310654300008</v>
      </c>
    </row>
    <row r="28" spans="1:21">
      <c r="A28" s="11" t="s">
        <v>31</v>
      </c>
      <c r="B28" s="11">
        <v>232.47</v>
      </c>
      <c r="C28" s="11">
        <v>275.72000000000003</v>
      </c>
      <c r="D28" s="11">
        <v>304.83999999999997</v>
      </c>
      <c r="E28" s="11">
        <v>367.92</v>
      </c>
      <c r="F28" s="11">
        <v>417.21</v>
      </c>
      <c r="G28" s="11">
        <v>467.64</v>
      </c>
      <c r="H28" s="26">
        <v>450.63</v>
      </c>
      <c r="I28" s="26">
        <v>467.71</v>
      </c>
      <c r="J28" s="11">
        <v>449.68</v>
      </c>
      <c r="K28" s="11">
        <v>480.19</v>
      </c>
      <c r="L28" s="11">
        <v>513.85</v>
      </c>
      <c r="M28" s="11">
        <v>422.07</v>
      </c>
      <c r="N28" s="11">
        <v>525.04999999999995</v>
      </c>
      <c r="O28" s="11">
        <v>435.13</v>
      </c>
      <c r="P28" s="11">
        <v>534.17999999999995</v>
      </c>
      <c r="Q28" s="11">
        <v>622.15</v>
      </c>
      <c r="R28" s="11">
        <v>753.00601755757464</v>
      </c>
      <c r="S28" s="11">
        <v>667.38697642456771</v>
      </c>
      <c r="T28" s="11">
        <v>479.60728828300006</v>
      </c>
      <c r="U28" s="11">
        <v>507.57150769599997</v>
      </c>
    </row>
    <row r="29" spans="1:21">
      <c r="A29" s="11" t="s">
        <v>32</v>
      </c>
      <c r="B29" s="11">
        <v>154.87</v>
      </c>
      <c r="C29" s="11">
        <v>171.32</v>
      </c>
      <c r="D29" s="11">
        <v>230.37</v>
      </c>
      <c r="E29" s="11">
        <v>252.51</v>
      </c>
      <c r="F29" s="11">
        <v>322.31</v>
      </c>
      <c r="G29" s="11">
        <v>371.28</v>
      </c>
      <c r="H29" s="26">
        <v>378.23</v>
      </c>
      <c r="I29" s="26">
        <v>399.36</v>
      </c>
      <c r="J29" s="11">
        <v>383.02</v>
      </c>
      <c r="K29" s="11">
        <v>423.95</v>
      </c>
      <c r="L29" s="11">
        <v>490.01</v>
      </c>
      <c r="M29" s="11">
        <v>436.24</v>
      </c>
      <c r="N29" s="11">
        <v>435.63</v>
      </c>
      <c r="O29" s="11">
        <v>494.03</v>
      </c>
      <c r="P29" s="11">
        <v>487.36</v>
      </c>
      <c r="Q29" s="11">
        <v>499.87</v>
      </c>
      <c r="R29" s="11">
        <v>782.17769498771224</v>
      </c>
      <c r="S29" s="11">
        <v>826.57822866687911</v>
      </c>
      <c r="T29" s="11">
        <v>556.35874852400002</v>
      </c>
      <c r="U29" s="11">
        <v>633.08167892500001</v>
      </c>
    </row>
    <row r="30" spans="1:21">
      <c r="A30" s="11" t="s">
        <v>33</v>
      </c>
      <c r="B30" s="11">
        <v>225.12</v>
      </c>
      <c r="C30" s="11">
        <v>246.59</v>
      </c>
      <c r="D30" s="11">
        <v>291.27</v>
      </c>
      <c r="E30" s="11">
        <v>332.13</v>
      </c>
      <c r="F30" s="11">
        <v>333.59</v>
      </c>
      <c r="G30" s="11">
        <v>430.92</v>
      </c>
      <c r="H30" s="26">
        <v>334.36</v>
      </c>
      <c r="I30" s="26">
        <v>336.7</v>
      </c>
      <c r="J30" s="11">
        <v>337.42</v>
      </c>
      <c r="K30" s="11">
        <v>321.58999999999997</v>
      </c>
      <c r="L30" s="11">
        <v>301.68</v>
      </c>
      <c r="M30" s="11">
        <v>294.29000000000002</v>
      </c>
      <c r="N30" s="11">
        <v>278.89999999999998</v>
      </c>
      <c r="O30" s="11">
        <v>323</v>
      </c>
      <c r="P30" s="11">
        <v>462.02</v>
      </c>
      <c r="Q30" s="11">
        <v>502.94</v>
      </c>
      <c r="R30" s="11">
        <v>820.28255671040176</v>
      </c>
      <c r="S30" s="11">
        <v>724.88397278096272</v>
      </c>
      <c r="T30" s="11">
        <v>508.83081375500001</v>
      </c>
      <c r="U30" s="11">
        <v>564.85502934600004</v>
      </c>
    </row>
    <row r="31" spans="1:21">
      <c r="A31" s="11" t="s">
        <v>34</v>
      </c>
      <c r="B31" s="11"/>
      <c r="C31" s="11"/>
      <c r="D31" s="11">
        <v>181.19</v>
      </c>
      <c r="E31" s="11">
        <v>256.36</v>
      </c>
      <c r="F31" s="11">
        <v>257.83</v>
      </c>
      <c r="G31" s="11">
        <v>310.44</v>
      </c>
      <c r="H31" s="26">
        <v>430.7</v>
      </c>
      <c r="I31" s="26">
        <v>400.93</v>
      </c>
      <c r="J31" s="11">
        <v>428.09</v>
      </c>
      <c r="K31" s="11">
        <v>271.89999999999998</v>
      </c>
      <c r="L31" s="11">
        <v>263.58</v>
      </c>
      <c r="M31" s="11">
        <v>205.45</v>
      </c>
      <c r="N31" s="11">
        <v>200.71</v>
      </c>
      <c r="O31" s="11">
        <v>198.22</v>
      </c>
      <c r="P31" s="11">
        <v>227.79</v>
      </c>
      <c r="Q31" s="11">
        <v>225.41</v>
      </c>
      <c r="R31" s="11">
        <v>622.17851225179993</v>
      </c>
      <c r="S31" s="11">
        <v>290.24611253087278</v>
      </c>
      <c r="T31" s="11">
        <v>124.71615965700001</v>
      </c>
      <c r="U31" s="11">
        <v>146.211250777</v>
      </c>
    </row>
    <row r="32" spans="1:2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</row>
    <row r="33" spans="1:21">
      <c r="A33" s="11" t="s">
        <v>35</v>
      </c>
      <c r="B33" s="11">
        <v>198.6</v>
      </c>
      <c r="C33" s="11">
        <v>234.07</v>
      </c>
      <c r="D33" s="11">
        <v>287.12</v>
      </c>
      <c r="E33" s="11">
        <v>317.97000000000003</v>
      </c>
      <c r="F33" s="11">
        <v>428.37</v>
      </c>
      <c r="G33" s="11">
        <v>542.52</v>
      </c>
      <c r="H33" s="26">
        <v>627.11</v>
      </c>
      <c r="I33" s="26">
        <v>634.53</v>
      </c>
      <c r="J33" s="11">
        <v>701.82</v>
      </c>
      <c r="K33" s="11">
        <v>773.45</v>
      </c>
      <c r="L33" s="11">
        <v>685.95</v>
      </c>
      <c r="M33" s="11">
        <v>697.29</v>
      </c>
      <c r="N33" s="11">
        <v>679.91</v>
      </c>
      <c r="O33" s="11">
        <v>752.05</v>
      </c>
      <c r="P33" s="11">
        <v>873.23</v>
      </c>
      <c r="Q33" s="11">
        <v>955.48</v>
      </c>
      <c r="R33" s="11">
        <v>885.56030689883676</v>
      </c>
      <c r="S33" s="11">
        <v>856.98887194715337</v>
      </c>
      <c r="T33" s="11">
        <v>638.62932566800009</v>
      </c>
      <c r="U33" s="11">
        <v>705.258916204</v>
      </c>
    </row>
    <row r="34" spans="1:21">
      <c r="A34" s="11" t="s">
        <v>36</v>
      </c>
      <c r="B34" s="11">
        <v>175.77</v>
      </c>
      <c r="C34" s="11">
        <v>187.28</v>
      </c>
      <c r="D34" s="11">
        <v>228.17</v>
      </c>
      <c r="E34" s="11">
        <v>264.44</v>
      </c>
      <c r="F34" s="11">
        <v>332.77</v>
      </c>
      <c r="G34" s="11">
        <v>404.16</v>
      </c>
      <c r="H34" s="26">
        <v>455.1</v>
      </c>
      <c r="I34" s="26">
        <v>461.11</v>
      </c>
      <c r="J34" s="11">
        <v>505.9</v>
      </c>
      <c r="K34" s="11">
        <v>545.11</v>
      </c>
      <c r="L34" s="11">
        <v>523.07000000000005</v>
      </c>
      <c r="M34" s="11">
        <v>428.4</v>
      </c>
      <c r="N34" s="11">
        <v>426.73</v>
      </c>
      <c r="O34" s="11">
        <v>477.39</v>
      </c>
      <c r="P34" s="11">
        <v>447.01</v>
      </c>
      <c r="Q34" s="11">
        <v>517.32000000000005</v>
      </c>
      <c r="R34" s="11">
        <v>620.69827273889462</v>
      </c>
      <c r="S34" s="11">
        <v>656.18814541687675</v>
      </c>
      <c r="T34" s="11">
        <v>522.489635443</v>
      </c>
      <c r="U34" s="11">
        <v>593.41777841700002</v>
      </c>
    </row>
    <row r="35" spans="1:21">
      <c r="A35" s="11" t="s">
        <v>37</v>
      </c>
      <c r="B35" s="11">
        <v>185.05</v>
      </c>
      <c r="C35" s="11">
        <v>268.11</v>
      </c>
      <c r="D35" s="11">
        <v>305.86</v>
      </c>
      <c r="E35" s="11">
        <v>313.70999999999998</v>
      </c>
      <c r="F35" s="11">
        <v>381.11</v>
      </c>
      <c r="G35" s="11">
        <v>336.96</v>
      </c>
      <c r="H35" s="26">
        <v>366.69</v>
      </c>
      <c r="I35" s="26">
        <v>367</v>
      </c>
      <c r="J35" s="11">
        <v>360.52</v>
      </c>
      <c r="K35" s="11">
        <v>336.66</v>
      </c>
      <c r="L35" s="11">
        <v>419.19</v>
      </c>
      <c r="M35" s="11">
        <v>388.96</v>
      </c>
      <c r="N35" s="11">
        <v>367.26</v>
      </c>
      <c r="O35" s="11">
        <v>349.73</v>
      </c>
      <c r="P35" s="11">
        <v>328.25</v>
      </c>
      <c r="Q35" s="11">
        <v>422.02</v>
      </c>
      <c r="R35" s="11">
        <v>590.35048826460002</v>
      </c>
      <c r="S35" s="11">
        <v>820.63754798787522</v>
      </c>
      <c r="T35" s="11">
        <v>549.29110241800004</v>
      </c>
      <c r="U35" s="11">
        <v>619.53116311400004</v>
      </c>
    </row>
    <row r="36" spans="1:21">
      <c r="A36" s="11" t="s">
        <v>38</v>
      </c>
      <c r="B36" s="11">
        <v>134.61000000000001</v>
      </c>
      <c r="C36" s="11">
        <v>151</v>
      </c>
      <c r="D36" s="11">
        <v>207.45</v>
      </c>
      <c r="E36" s="11">
        <v>255.99</v>
      </c>
      <c r="F36" s="11">
        <v>297.39</v>
      </c>
      <c r="G36" s="11">
        <v>385.56</v>
      </c>
      <c r="H36" s="26">
        <v>320.56</v>
      </c>
      <c r="I36" s="26">
        <v>314.88</v>
      </c>
      <c r="J36" s="11">
        <v>388.3</v>
      </c>
      <c r="K36" s="11">
        <v>326.47000000000003</v>
      </c>
      <c r="L36" s="11">
        <v>375.92</v>
      </c>
      <c r="M36" s="11">
        <v>465.08</v>
      </c>
      <c r="N36" s="11">
        <v>438.34</v>
      </c>
      <c r="O36" s="11">
        <v>484.4</v>
      </c>
      <c r="P36" s="11">
        <v>566.71</v>
      </c>
      <c r="Q36" s="11">
        <v>581.15</v>
      </c>
      <c r="R36" s="11">
        <v>749.34622704340006</v>
      </c>
      <c r="S36" s="11">
        <v>781.16370586778669</v>
      </c>
      <c r="T36" s="11">
        <v>678.13667328300005</v>
      </c>
      <c r="U36" s="11">
        <v>700.08364631699999</v>
      </c>
    </row>
    <row r="37" spans="1:21">
      <c r="A37" s="11" t="s">
        <v>39</v>
      </c>
      <c r="B37" s="11">
        <v>212.46</v>
      </c>
      <c r="C37" s="11">
        <v>232.82</v>
      </c>
      <c r="D37" s="11">
        <v>298.47000000000003</v>
      </c>
      <c r="E37" s="11">
        <v>332.21</v>
      </c>
      <c r="F37" s="11">
        <v>381.21</v>
      </c>
      <c r="G37" s="11">
        <v>479.04</v>
      </c>
      <c r="H37" s="26">
        <v>504.87</v>
      </c>
      <c r="I37" s="26">
        <v>521.11</v>
      </c>
      <c r="J37" s="11">
        <v>456.25</v>
      </c>
      <c r="K37" s="11">
        <v>461.98</v>
      </c>
      <c r="L37" s="11">
        <v>489.01</v>
      </c>
      <c r="M37" s="11">
        <v>417.06</v>
      </c>
      <c r="N37" s="11">
        <v>403.95</v>
      </c>
      <c r="O37" s="11">
        <v>433.34</v>
      </c>
      <c r="P37" s="11">
        <v>514.57000000000005</v>
      </c>
      <c r="Q37" s="11">
        <v>600.01</v>
      </c>
      <c r="R37" s="11">
        <v>640.88790387230006</v>
      </c>
      <c r="S37" s="11">
        <v>694.77866956485877</v>
      </c>
      <c r="T37" s="11">
        <v>509.069049017</v>
      </c>
      <c r="U37" s="11">
        <v>581.21046242400007</v>
      </c>
    </row>
    <row r="38" spans="1:21">
      <c r="A38" s="10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</row>
    <row r="39" spans="1:21"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</row>
    <row r="40" spans="1:21"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</row>
    <row r="41" spans="1:21"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</row>
  </sheetData>
  <phoneticPr fontId="6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10C49-CEED-DA45-A014-F5625836997F}">
  <dimension ref="A1:U46"/>
  <sheetViews>
    <sheetView workbookViewId="0">
      <selection activeCell="T1" sqref="T1:U1"/>
    </sheetView>
  </sheetViews>
  <sheetFormatPr baseColWidth="10" defaultRowHeight="16"/>
  <cols>
    <col min="1" max="1" width="19" customWidth="1"/>
    <col min="20" max="20" width="17.1640625" customWidth="1"/>
    <col min="21" max="21" width="18" customWidth="1"/>
  </cols>
  <sheetData>
    <row r="1" spans="1:21" ht="17">
      <c r="A1" s="23" t="s">
        <v>6</v>
      </c>
      <c r="B1" s="23">
        <v>1997</v>
      </c>
      <c r="C1" s="23">
        <v>1998</v>
      </c>
      <c r="D1" s="23">
        <v>1999</v>
      </c>
      <c r="E1" s="23">
        <v>2000</v>
      </c>
      <c r="F1" s="23">
        <v>2001</v>
      </c>
      <c r="G1" s="23">
        <v>2002</v>
      </c>
      <c r="H1" s="23">
        <v>2003</v>
      </c>
      <c r="I1" s="23">
        <v>2004</v>
      </c>
      <c r="J1" s="23">
        <v>2005</v>
      </c>
      <c r="K1" s="23">
        <v>2006</v>
      </c>
      <c r="L1" s="23">
        <v>2007</v>
      </c>
      <c r="M1" s="23">
        <v>2008</v>
      </c>
      <c r="N1" s="23">
        <v>2009</v>
      </c>
      <c r="O1" s="23">
        <v>2010</v>
      </c>
      <c r="P1" s="23">
        <v>2011</v>
      </c>
      <c r="Q1" s="23">
        <v>2012</v>
      </c>
      <c r="R1" s="23">
        <v>2013</v>
      </c>
      <c r="S1" s="23">
        <v>2014</v>
      </c>
      <c r="T1" s="8" t="s">
        <v>47</v>
      </c>
      <c r="U1" s="8" t="s">
        <v>48</v>
      </c>
    </row>
    <row r="2" spans="1:21">
      <c r="A2" s="16" t="s">
        <v>9</v>
      </c>
      <c r="B2" s="11">
        <v>297.68</v>
      </c>
      <c r="C2" s="11">
        <v>347.88</v>
      </c>
      <c r="D2" s="11">
        <v>513.34</v>
      </c>
      <c r="E2" s="11">
        <v>588.79999999999995</v>
      </c>
      <c r="F2" s="11">
        <v>677.66</v>
      </c>
      <c r="G2" s="11">
        <v>949.9</v>
      </c>
      <c r="H2" s="11">
        <v>994</v>
      </c>
      <c r="I2" s="11">
        <v>1182.8</v>
      </c>
      <c r="J2" s="11">
        <v>1295.8</v>
      </c>
      <c r="K2" s="11">
        <v>1322.4</v>
      </c>
      <c r="L2" s="11">
        <v>1294.0999999999999</v>
      </c>
      <c r="M2" s="11">
        <v>1563.1</v>
      </c>
      <c r="N2" s="11">
        <v>1389.5</v>
      </c>
      <c r="O2" s="11">
        <v>1327.2</v>
      </c>
      <c r="P2" s="11">
        <v>1523.3</v>
      </c>
      <c r="Q2" s="11">
        <v>1658.4</v>
      </c>
      <c r="R2" s="11">
        <v>1717.58</v>
      </c>
      <c r="S2" s="11">
        <v>2044.4349832551143</v>
      </c>
      <c r="T2" s="11">
        <v>2228.6</v>
      </c>
      <c r="U2" s="11">
        <v>2455.6999999999998</v>
      </c>
    </row>
    <row r="3" spans="1:21">
      <c r="A3" s="11" t="s">
        <v>10</v>
      </c>
      <c r="B3" s="11">
        <v>193.09</v>
      </c>
      <c r="C3" s="11">
        <v>229.77</v>
      </c>
      <c r="D3" s="11">
        <v>302.87</v>
      </c>
      <c r="E3" s="11">
        <v>407.75</v>
      </c>
      <c r="F3" s="11">
        <v>435.38</v>
      </c>
      <c r="G3" s="11">
        <v>625</v>
      </c>
      <c r="H3" s="11">
        <v>697.8</v>
      </c>
      <c r="I3" s="11">
        <v>824</v>
      </c>
      <c r="J3" s="11">
        <v>996.4</v>
      </c>
      <c r="K3" s="11">
        <v>1049.3</v>
      </c>
      <c r="L3" s="11">
        <v>1164</v>
      </c>
      <c r="M3" s="11">
        <v>1220.9000000000001</v>
      </c>
      <c r="N3" s="11">
        <v>1273.4000000000001</v>
      </c>
      <c r="O3" s="11">
        <v>1275.5999999999999</v>
      </c>
      <c r="P3" s="11">
        <v>1415.4</v>
      </c>
      <c r="Q3" s="11">
        <v>1556.4</v>
      </c>
      <c r="R3" s="11">
        <v>1694.2941151525338</v>
      </c>
      <c r="S3" s="11">
        <v>1721.3018384807831</v>
      </c>
      <c r="T3" s="11">
        <v>1757.1</v>
      </c>
      <c r="U3" s="11">
        <v>2022.9</v>
      </c>
    </row>
    <row r="4" spans="1:21">
      <c r="A4" s="11" t="s">
        <v>11</v>
      </c>
      <c r="B4" s="11">
        <v>212.35</v>
      </c>
      <c r="C4" s="11">
        <v>225.01</v>
      </c>
      <c r="D4" s="11">
        <v>285.32</v>
      </c>
      <c r="E4" s="11">
        <v>376.71</v>
      </c>
      <c r="F4" s="11">
        <v>420.15</v>
      </c>
      <c r="G4" s="11">
        <v>527.29999999999995</v>
      </c>
      <c r="H4" s="11">
        <v>550.9</v>
      </c>
      <c r="I4" s="11">
        <v>550.29999999999995</v>
      </c>
      <c r="J4" s="11">
        <v>642.70000000000005</v>
      </c>
      <c r="K4" s="11">
        <v>737.4</v>
      </c>
      <c r="L4" s="11">
        <v>833.5</v>
      </c>
      <c r="M4" s="11">
        <v>808.9</v>
      </c>
      <c r="N4" s="11">
        <v>971.3</v>
      </c>
      <c r="O4" s="11">
        <v>923.8</v>
      </c>
      <c r="P4" s="11">
        <v>956</v>
      </c>
      <c r="Q4" s="11">
        <v>1047.3</v>
      </c>
      <c r="R4" s="11">
        <v>1117.2976999824064</v>
      </c>
      <c r="S4" s="11">
        <v>1304.5038772921839</v>
      </c>
      <c r="T4" s="11">
        <v>1192</v>
      </c>
      <c r="U4" s="11">
        <v>1225.4000000000001</v>
      </c>
    </row>
    <row r="5" spans="1:21">
      <c r="A5" s="11" t="s">
        <v>12</v>
      </c>
      <c r="B5" s="11">
        <v>167.41</v>
      </c>
      <c r="C5" s="11">
        <v>195.1</v>
      </c>
      <c r="D5" s="11">
        <v>208.57</v>
      </c>
      <c r="E5" s="11">
        <v>300.81</v>
      </c>
      <c r="F5" s="11">
        <v>347.49</v>
      </c>
      <c r="G5" s="11">
        <v>364.8</v>
      </c>
      <c r="H5" s="11">
        <v>367.5</v>
      </c>
      <c r="I5" s="11">
        <v>401.8</v>
      </c>
      <c r="J5" s="11">
        <v>538.70000000000005</v>
      </c>
      <c r="K5" s="11">
        <v>590</v>
      </c>
      <c r="L5" s="11">
        <v>640.20000000000005</v>
      </c>
      <c r="M5" s="11">
        <v>769.8</v>
      </c>
      <c r="N5" s="11">
        <v>789.9</v>
      </c>
      <c r="O5" s="11">
        <v>774.9</v>
      </c>
      <c r="P5" s="11">
        <v>851.3</v>
      </c>
      <c r="Q5" s="11">
        <v>905.9</v>
      </c>
      <c r="R5" s="11">
        <v>1020.61</v>
      </c>
      <c r="S5" s="11">
        <v>1240.8625807621365</v>
      </c>
      <c r="T5" s="11">
        <v>1102</v>
      </c>
      <c r="U5" s="11">
        <v>1227.5</v>
      </c>
    </row>
    <row r="6" spans="1:21">
      <c r="A6" s="11" t="s">
        <v>13</v>
      </c>
      <c r="B6" s="11">
        <v>173.09</v>
      </c>
      <c r="C6" s="11">
        <v>178.31</v>
      </c>
      <c r="D6" s="11">
        <v>192.17</v>
      </c>
      <c r="E6" s="11">
        <v>287.02999999999997</v>
      </c>
      <c r="F6" s="11">
        <v>268.88</v>
      </c>
      <c r="G6" s="11">
        <v>343.4</v>
      </c>
      <c r="H6" s="11">
        <v>425.9</v>
      </c>
      <c r="I6" s="11">
        <v>473.6</v>
      </c>
      <c r="J6" s="11">
        <v>533.4</v>
      </c>
      <c r="K6" s="11">
        <v>555</v>
      </c>
      <c r="L6" s="11">
        <v>719.1</v>
      </c>
      <c r="M6" s="11">
        <v>869.7</v>
      </c>
      <c r="N6" s="11">
        <v>992.7</v>
      </c>
      <c r="O6" s="11">
        <v>1126</v>
      </c>
      <c r="P6" s="11">
        <v>1239.4000000000001</v>
      </c>
      <c r="Q6" s="11">
        <v>1354.1</v>
      </c>
      <c r="R6" s="11">
        <v>1394.7970153030346</v>
      </c>
      <c r="S6" s="11">
        <v>1470.811680354755</v>
      </c>
      <c r="T6" s="11">
        <v>1384.3</v>
      </c>
      <c r="U6" s="11">
        <v>1569.9</v>
      </c>
    </row>
    <row r="7" spans="1:2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1:21">
      <c r="A8" s="11" t="s">
        <v>14</v>
      </c>
      <c r="B8" s="11">
        <v>179.89</v>
      </c>
      <c r="C8" s="11">
        <v>220.32</v>
      </c>
      <c r="D8" s="11">
        <v>279.81</v>
      </c>
      <c r="E8" s="11">
        <v>352.2</v>
      </c>
      <c r="F8" s="11">
        <v>378.31</v>
      </c>
      <c r="G8" s="11">
        <v>462.8</v>
      </c>
      <c r="H8" s="11">
        <v>534.29999999999995</v>
      </c>
      <c r="I8" s="11">
        <v>541.29999999999995</v>
      </c>
      <c r="J8" s="11">
        <v>751.2</v>
      </c>
      <c r="K8" s="11">
        <v>767.1</v>
      </c>
      <c r="L8" s="11">
        <v>879.1</v>
      </c>
      <c r="M8" s="11">
        <v>913.1</v>
      </c>
      <c r="N8" s="11">
        <v>1018.4</v>
      </c>
      <c r="O8" s="11">
        <v>1079.8</v>
      </c>
      <c r="P8" s="11">
        <v>1208.3</v>
      </c>
      <c r="Q8" s="11">
        <v>1309.5999999999999</v>
      </c>
      <c r="R8" s="11">
        <v>1343.0469160175505</v>
      </c>
      <c r="S8" s="11">
        <v>1630.7599156282552</v>
      </c>
      <c r="T8" s="11">
        <v>1522.4</v>
      </c>
      <c r="U8" s="11">
        <v>1912.1</v>
      </c>
    </row>
    <row r="9" spans="1:21">
      <c r="A9" s="11" t="s">
        <v>15</v>
      </c>
      <c r="B9" s="11">
        <v>160.49</v>
      </c>
      <c r="C9" s="11">
        <v>179.32</v>
      </c>
      <c r="D9" s="11">
        <v>218.36</v>
      </c>
      <c r="E9" s="11">
        <v>336</v>
      </c>
      <c r="F9" s="11">
        <v>325.37</v>
      </c>
      <c r="G9" s="11">
        <v>430.4</v>
      </c>
      <c r="H9" s="11">
        <v>462.1</v>
      </c>
      <c r="I9" s="11">
        <v>527.29999999999995</v>
      </c>
      <c r="J9" s="11">
        <v>675.8</v>
      </c>
      <c r="K9" s="11">
        <v>671.4</v>
      </c>
      <c r="L9" s="11">
        <v>854.8</v>
      </c>
      <c r="M9" s="11">
        <v>914.5</v>
      </c>
      <c r="N9" s="11">
        <v>1120.4000000000001</v>
      </c>
      <c r="O9" s="11">
        <v>1171.3</v>
      </c>
      <c r="P9" s="11">
        <v>1108.5</v>
      </c>
      <c r="Q9" s="11">
        <v>1447.5</v>
      </c>
      <c r="R9" s="11">
        <v>1692.1120495503349</v>
      </c>
      <c r="S9" s="11">
        <v>1838.3794458296341</v>
      </c>
      <c r="T9" s="11">
        <v>1527.5</v>
      </c>
      <c r="U9" s="11">
        <v>1681.7</v>
      </c>
    </row>
    <row r="10" spans="1:21">
      <c r="A10" s="11" t="s">
        <v>16</v>
      </c>
      <c r="B10" s="11">
        <v>207.3</v>
      </c>
      <c r="C10" s="11">
        <v>245.86</v>
      </c>
      <c r="D10" s="11">
        <v>277.11</v>
      </c>
      <c r="E10" s="11">
        <v>341.85</v>
      </c>
      <c r="F10" s="11">
        <v>353.48</v>
      </c>
      <c r="G10" s="11">
        <v>415.2</v>
      </c>
      <c r="H10" s="11">
        <v>456.3</v>
      </c>
      <c r="I10" s="11">
        <v>537.4</v>
      </c>
      <c r="J10" s="11">
        <v>613.20000000000005</v>
      </c>
      <c r="K10" s="11">
        <v>634.29999999999995</v>
      </c>
      <c r="L10" s="11">
        <v>729.6</v>
      </c>
      <c r="M10" s="11">
        <v>864.9</v>
      </c>
      <c r="N10" s="11">
        <v>978.8</v>
      </c>
      <c r="O10" s="11">
        <v>948.4</v>
      </c>
      <c r="P10" s="11">
        <v>1083</v>
      </c>
      <c r="Q10" s="11">
        <v>1180.7</v>
      </c>
      <c r="R10" s="11">
        <v>1334.8039983665808</v>
      </c>
      <c r="S10" s="11">
        <v>1457.6226548575494</v>
      </c>
      <c r="T10" s="11">
        <v>1577</v>
      </c>
      <c r="U10" s="11">
        <v>1694.7</v>
      </c>
    </row>
    <row r="11" spans="1:2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</row>
    <row r="12" spans="1:21">
      <c r="A12" s="11" t="s">
        <v>17</v>
      </c>
      <c r="B12" s="11">
        <v>197.09</v>
      </c>
      <c r="C12" s="11">
        <v>260.77999999999997</v>
      </c>
      <c r="D12" s="11">
        <v>346.93</v>
      </c>
      <c r="E12" s="11">
        <v>500.86</v>
      </c>
      <c r="F12" s="11">
        <v>557.96</v>
      </c>
      <c r="G12" s="11">
        <v>733.4</v>
      </c>
      <c r="H12" s="11">
        <v>602.70000000000005</v>
      </c>
      <c r="I12" s="11">
        <v>761.7</v>
      </c>
      <c r="J12" s="11">
        <v>796.8</v>
      </c>
      <c r="K12" s="11">
        <v>762.9</v>
      </c>
      <c r="L12" s="11">
        <v>857.1</v>
      </c>
      <c r="M12" s="11">
        <v>755.3</v>
      </c>
      <c r="N12" s="11">
        <v>1002.1</v>
      </c>
      <c r="O12" s="11">
        <v>1005.5</v>
      </c>
      <c r="P12" s="11">
        <v>1140.8</v>
      </c>
      <c r="Q12" s="11">
        <v>1016.7</v>
      </c>
      <c r="R12" s="11">
        <v>1350.28</v>
      </c>
      <c r="S12" s="11">
        <v>2327.6181513392835</v>
      </c>
      <c r="T12" s="11">
        <v>2268.3000000000002</v>
      </c>
      <c r="U12" s="11">
        <v>2720.7</v>
      </c>
    </row>
    <row r="13" spans="1:21">
      <c r="A13" s="11" t="s">
        <v>18</v>
      </c>
      <c r="B13" s="11">
        <v>141.66999999999999</v>
      </c>
      <c r="C13" s="11">
        <v>164.15</v>
      </c>
      <c r="D13" s="11">
        <v>211.92</v>
      </c>
      <c r="E13" s="11">
        <v>294.39</v>
      </c>
      <c r="F13" s="11">
        <v>297.45999999999998</v>
      </c>
      <c r="G13" s="11">
        <v>376.1</v>
      </c>
      <c r="H13" s="11">
        <v>493.8</v>
      </c>
      <c r="I13" s="11">
        <v>496.8</v>
      </c>
      <c r="J13" s="11">
        <v>579.29999999999995</v>
      </c>
      <c r="K13" s="11">
        <v>600.70000000000005</v>
      </c>
      <c r="L13" s="11">
        <v>689.4</v>
      </c>
      <c r="M13" s="11">
        <v>794.6</v>
      </c>
      <c r="N13" s="11">
        <v>808.4</v>
      </c>
      <c r="O13" s="11">
        <v>805.7</v>
      </c>
      <c r="P13" s="11">
        <v>962.5</v>
      </c>
      <c r="Q13" s="11">
        <v>1058.0999999999999</v>
      </c>
      <c r="R13" s="11">
        <v>1122</v>
      </c>
      <c r="S13" s="11">
        <v>1616.704671934204</v>
      </c>
      <c r="T13" s="11">
        <v>1409.6</v>
      </c>
      <c r="U13" s="11">
        <v>1453.7</v>
      </c>
    </row>
    <row r="14" spans="1:21">
      <c r="A14" s="11" t="s">
        <v>19</v>
      </c>
      <c r="B14" s="11">
        <v>311.36</v>
      </c>
      <c r="C14" s="11">
        <v>345.44</v>
      </c>
      <c r="D14" s="11">
        <v>435.69</v>
      </c>
      <c r="E14" s="11">
        <v>541.05999999999995</v>
      </c>
      <c r="F14" s="11">
        <v>532.69000000000005</v>
      </c>
      <c r="G14" s="11">
        <v>667.8</v>
      </c>
      <c r="H14" s="11">
        <v>738.5</v>
      </c>
      <c r="I14" s="11">
        <v>828.8</v>
      </c>
      <c r="J14" s="11">
        <v>831.8</v>
      </c>
      <c r="K14" s="11">
        <v>852.3</v>
      </c>
      <c r="L14" s="11">
        <v>859.1</v>
      </c>
      <c r="M14" s="11">
        <v>933.1</v>
      </c>
      <c r="N14" s="11">
        <v>984.6</v>
      </c>
      <c r="O14" s="11">
        <v>1033.7</v>
      </c>
      <c r="P14" s="11">
        <v>1248.9000000000001</v>
      </c>
      <c r="Q14" s="11">
        <v>1228</v>
      </c>
      <c r="R14" s="11">
        <v>1244.366410471242</v>
      </c>
      <c r="S14" s="11">
        <v>1526.9503998583082</v>
      </c>
      <c r="T14" s="11">
        <v>1433</v>
      </c>
      <c r="U14" s="11">
        <v>1506.5</v>
      </c>
    </row>
    <row r="15" spans="1:21">
      <c r="A15" s="11" t="s">
        <v>20</v>
      </c>
      <c r="B15" s="11">
        <v>92.99</v>
      </c>
      <c r="C15" s="11">
        <v>120.16</v>
      </c>
      <c r="D15" s="11">
        <v>126.33</v>
      </c>
      <c r="E15" s="11">
        <v>181.23</v>
      </c>
      <c r="F15" s="11">
        <v>205.13</v>
      </c>
      <c r="G15" s="11">
        <v>298</v>
      </c>
      <c r="H15" s="11">
        <v>318.2</v>
      </c>
      <c r="I15" s="11">
        <v>395.7</v>
      </c>
      <c r="J15" s="11">
        <v>400.3</v>
      </c>
      <c r="K15" s="11">
        <v>441.4</v>
      </c>
      <c r="L15" s="11">
        <v>554.4</v>
      </c>
      <c r="M15" s="11">
        <v>633.9</v>
      </c>
      <c r="N15" s="11">
        <v>716.9</v>
      </c>
      <c r="O15" s="11">
        <v>737.1</v>
      </c>
      <c r="P15" s="11">
        <v>907.6</v>
      </c>
      <c r="Q15" s="11">
        <v>1143</v>
      </c>
      <c r="R15" s="11">
        <v>869.89104504858255</v>
      </c>
      <c r="S15" s="11">
        <v>976.53807452023239</v>
      </c>
      <c r="T15" s="11">
        <v>932.3</v>
      </c>
      <c r="U15" s="11">
        <v>1092.0999999999999</v>
      </c>
    </row>
    <row r="16" spans="1:21">
      <c r="A16" s="11" t="s">
        <v>21</v>
      </c>
      <c r="B16" s="11">
        <v>119.37</v>
      </c>
      <c r="C16" s="11">
        <v>160.08000000000001</v>
      </c>
      <c r="D16" s="11">
        <v>160.77000000000001</v>
      </c>
      <c r="E16" s="11">
        <v>266</v>
      </c>
      <c r="F16" s="11">
        <v>283.24</v>
      </c>
      <c r="G16" s="11">
        <v>323.2</v>
      </c>
      <c r="H16" s="11">
        <v>348.8</v>
      </c>
      <c r="I16" s="11">
        <v>476.8</v>
      </c>
      <c r="J16" s="11">
        <v>478.4</v>
      </c>
      <c r="K16" s="11">
        <v>513.6</v>
      </c>
      <c r="L16" s="11">
        <v>502.4</v>
      </c>
      <c r="M16" s="11">
        <v>540.6</v>
      </c>
      <c r="N16" s="11">
        <v>591.5</v>
      </c>
      <c r="O16" s="11">
        <v>617.4</v>
      </c>
      <c r="P16" s="11">
        <v>773.3</v>
      </c>
      <c r="Q16" s="11">
        <v>773.2</v>
      </c>
      <c r="R16" s="11">
        <v>935.50169816604489</v>
      </c>
      <c r="S16" s="11">
        <v>1058.9691109410464</v>
      </c>
      <c r="T16" s="11">
        <v>1028.5999999999999</v>
      </c>
      <c r="U16" s="11">
        <v>1053.9000000000001</v>
      </c>
    </row>
    <row r="17" spans="1:21">
      <c r="A17" s="11" t="s">
        <v>22</v>
      </c>
      <c r="B17" s="11">
        <v>100.68</v>
      </c>
      <c r="C17" s="11">
        <v>91.97</v>
      </c>
      <c r="D17" s="11">
        <v>107.9</v>
      </c>
      <c r="E17" s="11">
        <v>148.80000000000001</v>
      </c>
      <c r="F17" s="11">
        <v>149.97999999999999</v>
      </c>
      <c r="G17" s="11">
        <v>267.7</v>
      </c>
      <c r="H17" s="11">
        <v>264.89999999999998</v>
      </c>
      <c r="I17" s="11">
        <v>268.10000000000002</v>
      </c>
      <c r="J17" s="11">
        <v>326.5</v>
      </c>
      <c r="K17" s="11">
        <v>357</v>
      </c>
      <c r="L17" s="11">
        <v>385.9</v>
      </c>
      <c r="M17" s="11">
        <v>484</v>
      </c>
      <c r="N17" s="11">
        <v>550.29999999999995</v>
      </c>
      <c r="O17" s="11">
        <v>524.20000000000005</v>
      </c>
      <c r="P17" s="11">
        <v>641.20000000000005</v>
      </c>
      <c r="Q17" s="11">
        <v>670.7</v>
      </c>
      <c r="R17" s="11">
        <v>672.50070608189333</v>
      </c>
      <c r="S17" s="11">
        <v>760.70129870578614</v>
      </c>
      <c r="T17" s="11">
        <v>698.8</v>
      </c>
      <c r="U17" s="11">
        <v>764.5</v>
      </c>
    </row>
    <row r="18" spans="1:21">
      <c r="A18" s="11" t="s">
        <v>23</v>
      </c>
      <c r="B18" s="11">
        <v>179.88</v>
      </c>
      <c r="C18" s="11">
        <v>188.13</v>
      </c>
      <c r="D18" s="11">
        <v>219.79</v>
      </c>
      <c r="E18" s="11">
        <v>322.60000000000002</v>
      </c>
      <c r="F18" s="11">
        <v>327.49</v>
      </c>
      <c r="G18" s="11">
        <v>407.6</v>
      </c>
      <c r="H18" s="11">
        <v>444</v>
      </c>
      <c r="I18" s="11">
        <v>484.4</v>
      </c>
      <c r="J18" s="11">
        <v>579</v>
      </c>
      <c r="K18" s="11">
        <v>624.1</v>
      </c>
      <c r="L18" s="11">
        <v>708.6</v>
      </c>
      <c r="M18" s="11">
        <v>799.8</v>
      </c>
      <c r="N18" s="11">
        <v>885.2</v>
      </c>
      <c r="O18" s="11">
        <v>885.8</v>
      </c>
      <c r="P18" s="11">
        <v>938.9</v>
      </c>
      <c r="Q18" s="11">
        <v>1005.3</v>
      </c>
      <c r="R18" s="11">
        <v>1109.3699999999999</v>
      </c>
      <c r="S18" s="11">
        <v>1187.9975710135284</v>
      </c>
      <c r="T18" s="11">
        <v>1180.0999999999999</v>
      </c>
      <c r="U18" s="11">
        <v>1339</v>
      </c>
    </row>
    <row r="19" spans="1:2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</row>
    <row r="20" spans="1:21">
      <c r="A20" s="11" t="s">
        <v>24</v>
      </c>
      <c r="B20" s="11">
        <v>159.63999999999999</v>
      </c>
      <c r="C20" s="11">
        <v>172.84</v>
      </c>
      <c r="D20" s="11">
        <v>208.14</v>
      </c>
      <c r="E20" s="11">
        <v>280.77999999999997</v>
      </c>
      <c r="F20" s="11">
        <v>298.74</v>
      </c>
      <c r="G20" s="11">
        <v>389.6</v>
      </c>
      <c r="H20" s="11">
        <v>443.3</v>
      </c>
      <c r="I20" s="11">
        <v>436.5</v>
      </c>
      <c r="J20" s="11">
        <v>472.3</v>
      </c>
      <c r="K20" s="11">
        <v>520.6</v>
      </c>
      <c r="L20" s="11">
        <v>626.6</v>
      </c>
      <c r="M20" s="11">
        <v>790.9</v>
      </c>
      <c r="N20" s="11">
        <v>875.5</v>
      </c>
      <c r="O20" s="11">
        <v>941.3</v>
      </c>
      <c r="P20" s="11">
        <v>919.8</v>
      </c>
      <c r="Q20" s="11">
        <v>1085.5</v>
      </c>
      <c r="R20" s="11">
        <v>1054.54</v>
      </c>
      <c r="S20" s="11">
        <v>1204.1401205854634</v>
      </c>
      <c r="T20" s="11">
        <v>1023.1</v>
      </c>
      <c r="U20" s="11">
        <v>1113.4000000000001</v>
      </c>
    </row>
    <row r="21" spans="1:21">
      <c r="A21" s="11" t="s">
        <v>25</v>
      </c>
      <c r="B21" s="11">
        <v>148.57</v>
      </c>
      <c r="C21" s="11">
        <v>176.26</v>
      </c>
      <c r="D21" s="11">
        <v>201.01</v>
      </c>
      <c r="E21" s="11">
        <v>208.96</v>
      </c>
      <c r="F21" s="11">
        <v>241.87</v>
      </c>
      <c r="G21" s="11">
        <v>370.6</v>
      </c>
      <c r="H21" s="11">
        <v>397.5</v>
      </c>
      <c r="I21" s="11">
        <v>461.4</v>
      </c>
      <c r="J21" s="11">
        <v>499.3</v>
      </c>
      <c r="K21" s="11">
        <v>517.20000000000005</v>
      </c>
      <c r="L21" s="11">
        <v>525.29999999999995</v>
      </c>
      <c r="M21" s="11">
        <v>675.3</v>
      </c>
      <c r="N21" s="11">
        <v>694.6</v>
      </c>
      <c r="O21" s="11">
        <v>709.6</v>
      </c>
      <c r="P21" s="11">
        <v>915.7</v>
      </c>
      <c r="Q21" s="11">
        <v>1029.5999999999999</v>
      </c>
      <c r="R21" s="11">
        <v>1033.46</v>
      </c>
      <c r="S21" s="11">
        <v>1187.813831153104</v>
      </c>
      <c r="T21" s="11">
        <v>1252.5</v>
      </c>
      <c r="U21" s="11">
        <v>1528.2</v>
      </c>
    </row>
    <row r="22" spans="1:21">
      <c r="A22" s="11" t="s">
        <v>26</v>
      </c>
      <c r="B22" s="11">
        <v>161.16</v>
      </c>
      <c r="C22" s="11">
        <v>183.87</v>
      </c>
      <c r="D22" s="11">
        <v>206.06</v>
      </c>
      <c r="E22" s="11">
        <v>270.24</v>
      </c>
      <c r="F22" s="11">
        <v>328.63</v>
      </c>
      <c r="G22" s="11">
        <v>343.7</v>
      </c>
      <c r="H22" s="11">
        <v>391.3</v>
      </c>
      <c r="I22" s="11">
        <v>475.6</v>
      </c>
      <c r="J22" s="11">
        <v>601.29999999999995</v>
      </c>
      <c r="K22" s="11">
        <v>632.5</v>
      </c>
      <c r="L22" s="11">
        <v>668.5</v>
      </c>
      <c r="M22" s="11">
        <v>791</v>
      </c>
      <c r="N22" s="11">
        <v>784.7</v>
      </c>
      <c r="O22" s="11">
        <v>776.9</v>
      </c>
      <c r="P22" s="11">
        <v>790.8</v>
      </c>
      <c r="Q22" s="11">
        <v>918.4</v>
      </c>
      <c r="R22" s="11">
        <v>1078.82</v>
      </c>
      <c r="S22" s="11">
        <v>1209.7563213501853</v>
      </c>
      <c r="T22" s="11">
        <v>998.3</v>
      </c>
      <c r="U22" s="11">
        <v>1165</v>
      </c>
    </row>
    <row r="23" spans="1:21">
      <c r="A23" s="11" t="s">
        <v>27</v>
      </c>
      <c r="B23" s="11">
        <v>320.13</v>
      </c>
      <c r="C23" s="11">
        <v>290.82</v>
      </c>
      <c r="D23" s="11">
        <v>356.27</v>
      </c>
      <c r="E23" s="11">
        <v>346.56</v>
      </c>
      <c r="F23" s="11">
        <v>392.41</v>
      </c>
      <c r="G23" s="11">
        <v>500.9</v>
      </c>
      <c r="H23" s="11">
        <v>616.79999999999995</v>
      </c>
      <c r="I23" s="11">
        <v>649.70000000000005</v>
      </c>
      <c r="J23" s="11">
        <v>704.9</v>
      </c>
      <c r="K23" s="11">
        <v>707.9</v>
      </c>
      <c r="L23" s="11">
        <v>752.5</v>
      </c>
      <c r="M23" s="11">
        <v>836.4</v>
      </c>
      <c r="N23" s="11">
        <v>925.6</v>
      </c>
      <c r="O23" s="11">
        <v>929.5</v>
      </c>
      <c r="P23" s="11">
        <v>948.2</v>
      </c>
      <c r="Q23" s="11">
        <v>1048.3</v>
      </c>
      <c r="R23" s="11">
        <v>1122.7078799999999</v>
      </c>
      <c r="S23" s="11">
        <v>988.31916701314765</v>
      </c>
      <c r="T23" s="11">
        <v>976.1</v>
      </c>
      <c r="U23" s="11">
        <v>1144.9000000000001</v>
      </c>
    </row>
    <row r="24" spans="1:21">
      <c r="A24" s="11" t="s">
        <v>28</v>
      </c>
      <c r="B24" s="11">
        <v>135.24</v>
      </c>
      <c r="C24" s="11">
        <v>136.9</v>
      </c>
      <c r="D24" s="11">
        <v>157.78</v>
      </c>
      <c r="E24" s="11">
        <v>228.01</v>
      </c>
      <c r="F24" s="11">
        <v>253.23</v>
      </c>
      <c r="G24" s="11">
        <v>241.7</v>
      </c>
      <c r="H24" s="11">
        <v>322.7</v>
      </c>
      <c r="I24" s="11">
        <v>461.7</v>
      </c>
      <c r="J24" s="11">
        <v>466</v>
      </c>
      <c r="K24" s="11">
        <v>401.1</v>
      </c>
      <c r="L24" s="11">
        <v>542.1</v>
      </c>
      <c r="M24" s="11">
        <v>529.4</v>
      </c>
      <c r="N24" s="11">
        <v>538.20000000000005</v>
      </c>
      <c r="O24" s="11">
        <v>625.5</v>
      </c>
      <c r="P24" s="11">
        <v>779.1</v>
      </c>
      <c r="Q24" s="11">
        <v>883.6</v>
      </c>
      <c r="R24" s="11">
        <v>776.25590682218649</v>
      </c>
      <c r="S24" s="11">
        <v>845.94796146302292</v>
      </c>
      <c r="T24" s="11">
        <v>778.1</v>
      </c>
      <c r="U24" s="11">
        <v>907.4</v>
      </c>
    </row>
    <row r="25" spans="1:21">
      <c r="A25" s="11" t="s">
        <v>29</v>
      </c>
      <c r="B25" s="11">
        <v>140.16</v>
      </c>
      <c r="C25" s="11">
        <v>133.86000000000001</v>
      </c>
      <c r="D25" s="11">
        <v>171.79</v>
      </c>
      <c r="E25" s="11">
        <v>247.31</v>
      </c>
      <c r="F25" s="11">
        <v>243.85</v>
      </c>
      <c r="G25" s="11">
        <v>301.39999999999998</v>
      </c>
      <c r="H25" s="11">
        <v>414</v>
      </c>
      <c r="I25" s="11">
        <v>350.2</v>
      </c>
      <c r="J25" s="11">
        <v>351.1</v>
      </c>
      <c r="K25" s="11">
        <v>369.3</v>
      </c>
      <c r="L25" s="11">
        <v>503.8</v>
      </c>
      <c r="M25" s="11">
        <v>536.4</v>
      </c>
      <c r="N25" s="11">
        <v>604.20000000000005</v>
      </c>
      <c r="O25" s="11">
        <v>579.9</v>
      </c>
      <c r="P25" s="11">
        <v>783.3</v>
      </c>
      <c r="Q25" s="11">
        <v>993.2</v>
      </c>
      <c r="R25" s="11">
        <v>734.28308765836653</v>
      </c>
      <c r="S25" s="11">
        <v>960.29640954901799</v>
      </c>
      <c r="T25" s="11">
        <v>987</v>
      </c>
      <c r="U25" s="11">
        <v>1021</v>
      </c>
    </row>
    <row r="26" spans="1:2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</row>
    <row r="27" spans="1:21">
      <c r="A27" s="11" t="s">
        <v>30</v>
      </c>
      <c r="B27" s="11">
        <v>164.19</v>
      </c>
      <c r="C27" s="11">
        <v>185.9</v>
      </c>
      <c r="D27" s="11">
        <v>236.55</v>
      </c>
      <c r="E27" s="11">
        <v>293.23</v>
      </c>
      <c r="F27" s="11">
        <v>334.05</v>
      </c>
      <c r="G27" s="11">
        <v>429.6</v>
      </c>
      <c r="H27" s="11">
        <v>459.7</v>
      </c>
      <c r="I27" s="11">
        <v>538</v>
      </c>
      <c r="J27" s="11">
        <v>629.29999999999995</v>
      </c>
      <c r="K27" s="11">
        <v>705.7</v>
      </c>
      <c r="L27" s="11">
        <v>749.5</v>
      </c>
      <c r="M27" s="11">
        <v>878.3</v>
      </c>
      <c r="N27" s="11">
        <v>982.7</v>
      </c>
      <c r="O27" s="11">
        <v>1021.5</v>
      </c>
      <c r="P27" s="11">
        <v>1050.5999999999999</v>
      </c>
      <c r="Q27" s="11">
        <v>1101.5999999999999</v>
      </c>
      <c r="R27" s="11">
        <v>1245.3307121285895</v>
      </c>
      <c r="S27" s="11">
        <v>1187.7071751276608</v>
      </c>
      <c r="T27" s="11">
        <v>1117.9000000000001</v>
      </c>
      <c r="U27" s="11">
        <v>1344.5</v>
      </c>
    </row>
    <row r="28" spans="1:21">
      <c r="A28" s="11" t="s">
        <v>31</v>
      </c>
      <c r="B28" s="11">
        <v>141.86000000000001</v>
      </c>
      <c r="C28" s="11">
        <v>170.34</v>
      </c>
      <c r="D28" s="11">
        <v>203.21</v>
      </c>
      <c r="E28" s="11">
        <v>266.07</v>
      </c>
      <c r="F28" s="11">
        <v>300.26</v>
      </c>
      <c r="G28" s="11">
        <v>361.4</v>
      </c>
      <c r="H28" s="11">
        <v>425.1</v>
      </c>
      <c r="I28" s="11">
        <v>433.4</v>
      </c>
      <c r="J28" s="11">
        <v>442.8</v>
      </c>
      <c r="K28" s="11">
        <v>449.9</v>
      </c>
      <c r="L28" s="11">
        <v>511.8</v>
      </c>
      <c r="M28" s="11">
        <v>564.9</v>
      </c>
      <c r="N28" s="11">
        <v>648.29999999999995</v>
      </c>
      <c r="O28" s="11">
        <v>661</v>
      </c>
      <c r="P28" s="11">
        <v>735.3</v>
      </c>
      <c r="Q28" s="11">
        <v>772.8</v>
      </c>
      <c r="R28" s="11">
        <v>1019.0360028726033</v>
      </c>
      <c r="S28" s="11">
        <v>1283.6036904913663</v>
      </c>
      <c r="T28" s="11">
        <v>1071.2</v>
      </c>
      <c r="U28" s="11">
        <v>1172.5999999999999</v>
      </c>
    </row>
    <row r="29" spans="1:21">
      <c r="A29" s="11" t="s">
        <v>32</v>
      </c>
      <c r="B29" s="11">
        <v>125.43</v>
      </c>
      <c r="C29" s="11">
        <v>145.43</v>
      </c>
      <c r="D29" s="11">
        <v>153.32</v>
      </c>
      <c r="E29" s="11">
        <v>233.28</v>
      </c>
      <c r="F29" s="11">
        <v>249.39</v>
      </c>
      <c r="G29" s="11">
        <v>265.3</v>
      </c>
      <c r="H29" s="11">
        <v>291.8</v>
      </c>
      <c r="I29" s="11">
        <v>301.3</v>
      </c>
      <c r="J29" s="11">
        <v>403.4</v>
      </c>
      <c r="K29" s="11">
        <v>329.8</v>
      </c>
      <c r="L29" s="11">
        <v>354.5</v>
      </c>
      <c r="M29" s="11">
        <v>471.4</v>
      </c>
      <c r="N29" s="11">
        <v>535.4</v>
      </c>
      <c r="O29" s="11">
        <v>546.79999999999995</v>
      </c>
      <c r="P29" s="11">
        <v>578.29999999999995</v>
      </c>
      <c r="Q29" s="11">
        <v>654.5</v>
      </c>
      <c r="R29" s="11">
        <v>633.71520911505991</v>
      </c>
      <c r="S29" s="11">
        <v>927.39355508803612</v>
      </c>
      <c r="T29" s="11">
        <v>604.6</v>
      </c>
      <c r="U29" s="11">
        <v>724.7</v>
      </c>
    </row>
    <row r="30" spans="1:21">
      <c r="A30" s="11" t="s">
        <v>33</v>
      </c>
      <c r="B30" s="11">
        <v>209.63</v>
      </c>
      <c r="C30" s="11">
        <v>215.35</v>
      </c>
      <c r="D30" s="11">
        <v>249.54</v>
      </c>
      <c r="E30" s="11">
        <v>291.76</v>
      </c>
      <c r="F30" s="11">
        <v>369.63</v>
      </c>
      <c r="G30" s="11">
        <v>466.2</v>
      </c>
      <c r="H30" s="11">
        <v>545.79999999999995</v>
      </c>
      <c r="I30" s="11">
        <v>623.20000000000005</v>
      </c>
      <c r="J30" s="11">
        <v>663</v>
      </c>
      <c r="K30" s="11">
        <v>600.1</v>
      </c>
      <c r="L30" s="11">
        <v>631.70000000000005</v>
      </c>
      <c r="M30" s="11">
        <v>606.9</v>
      </c>
      <c r="N30" s="11">
        <v>708.8</v>
      </c>
      <c r="O30" s="11">
        <v>637.9</v>
      </c>
      <c r="P30" s="11">
        <v>822.4</v>
      </c>
      <c r="Q30" s="11">
        <v>939.1</v>
      </c>
      <c r="R30" s="11">
        <v>1085.4562713569449</v>
      </c>
      <c r="S30" s="11">
        <v>1115.1594302678111</v>
      </c>
      <c r="T30" s="11">
        <v>875.7</v>
      </c>
      <c r="U30" s="11">
        <v>976.4</v>
      </c>
    </row>
    <row r="31" spans="1:21">
      <c r="A31" s="11" t="s">
        <v>34</v>
      </c>
      <c r="B31" s="11"/>
      <c r="C31" s="11"/>
      <c r="D31" s="11">
        <v>209.11</v>
      </c>
      <c r="E31" s="11">
        <v>264.8</v>
      </c>
      <c r="F31" s="11">
        <v>220.06</v>
      </c>
      <c r="G31" s="11">
        <v>249.5</v>
      </c>
      <c r="H31" s="11">
        <v>310.39999999999998</v>
      </c>
      <c r="I31" s="11">
        <v>320.7</v>
      </c>
      <c r="J31" s="11">
        <v>338.6</v>
      </c>
      <c r="K31" s="11">
        <v>221.7</v>
      </c>
      <c r="L31" s="11">
        <v>272.8</v>
      </c>
      <c r="M31" s="11">
        <v>317.10000000000002</v>
      </c>
      <c r="N31" s="11">
        <v>352.3</v>
      </c>
      <c r="O31" s="11">
        <v>385.6</v>
      </c>
      <c r="P31" s="11">
        <v>424.1</v>
      </c>
      <c r="Q31" s="11">
        <v>467.2</v>
      </c>
      <c r="R31" s="11">
        <v>617.97</v>
      </c>
      <c r="S31" s="11">
        <v>552.51926187545632</v>
      </c>
      <c r="T31" s="11">
        <v>229.2</v>
      </c>
      <c r="U31" s="11">
        <v>257.7</v>
      </c>
    </row>
    <row r="32" spans="1:2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</row>
    <row r="33" spans="1:21">
      <c r="A33" s="11" t="s">
        <v>35</v>
      </c>
      <c r="B33" s="11">
        <v>178.56</v>
      </c>
      <c r="C33" s="11">
        <v>222.91</v>
      </c>
      <c r="D33" s="11">
        <v>259.51</v>
      </c>
      <c r="E33" s="11">
        <v>336.24</v>
      </c>
      <c r="F33" s="11">
        <v>361.18</v>
      </c>
      <c r="G33" s="11">
        <v>444.2</v>
      </c>
      <c r="H33" s="11">
        <v>491.2</v>
      </c>
      <c r="I33" s="11">
        <v>513.29999999999995</v>
      </c>
      <c r="J33" s="11">
        <v>605.29999999999995</v>
      </c>
      <c r="K33" s="11">
        <v>612.29999999999995</v>
      </c>
      <c r="L33" s="11">
        <v>678.4</v>
      </c>
      <c r="M33" s="11">
        <v>862.7</v>
      </c>
      <c r="N33" s="11">
        <v>863.4</v>
      </c>
      <c r="O33" s="11">
        <v>935.4</v>
      </c>
      <c r="P33" s="11">
        <v>1100.5</v>
      </c>
      <c r="Q33" s="11">
        <v>1212.4000000000001</v>
      </c>
      <c r="R33" s="11">
        <v>1310.1894282329524</v>
      </c>
      <c r="S33" s="11">
        <v>1495.8760403375527</v>
      </c>
      <c r="T33" s="11">
        <v>1363.5</v>
      </c>
      <c r="U33" s="11">
        <v>1528.2</v>
      </c>
    </row>
    <row r="34" spans="1:21">
      <c r="A34" s="11" t="s">
        <v>36</v>
      </c>
      <c r="B34" s="11">
        <v>155.79</v>
      </c>
      <c r="C34" s="11">
        <v>199.1</v>
      </c>
      <c r="D34" s="11">
        <v>219.86</v>
      </c>
      <c r="E34" s="11">
        <v>272.44</v>
      </c>
      <c r="F34" s="11">
        <v>361.4</v>
      </c>
      <c r="G34" s="11">
        <v>415.1</v>
      </c>
      <c r="H34" s="11">
        <v>434.8</v>
      </c>
      <c r="I34" s="11">
        <v>412</v>
      </c>
      <c r="J34" s="11">
        <v>492.2</v>
      </c>
      <c r="K34" s="11">
        <v>562.70000000000005</v>
      </c>
      <c r="L34" s="11">
        <v>564.29999999999995</v>
      </c>
      <c r="M34" s="11">
        <v>654.79999999999995</v>
      </c>
      <c r="N34" s="11">
        <v>746.8</v>
      </c>
      <c r="O34" s="11">
        <v>828.6</v>
      </c>
      <c r="P34" s="11">
        <v>874.1</v>
      </c>
      <c r="Q34" s="11">
        <v>1049.7</v>
      </c>
      <c r="R34" s="11">
        <v>1117.4225687579342</v>
      </c>
      <c r="S34" s="11">
        <v>1048.2261660229774</v>
      </c>
      <c r="T34" s="11">
        <v>949.5</v>
      </c>
      <c r="U34" s="11">
        <v>1122.7</v>
      </c>
    </row>
    <row r="35" spans="1:21">
      <c r="A35" s="11" t="s">
        <v>37</v>
      </c>
      <c r="B35" s="11">
        <v>211.9</v>
      </c>
      <c r="C35" s="11">
        <v>293.7</v>
      </c>
      <c r="D35" s="11">
        <v>303</v>
      </c>
      <c r="E35" s="11">
        <v>307.24</v>
      </c>
      <c r="F35" s="11">
        <v>374.4</v>
      </c>
      <c r="G35" s="11">
        <v>429.1</v>
      </c>
      <c r="H35" s="11">
        <v>451.3</v>
      </c>
      <c r="I35" s="11">
        <v>452</v>
      </c>
      <c r="J35" s="11">
        <v>554.1</v>
      </c>
      <c r="K35" s="11">
        <v>542.9</v>
      </c>
      <c r="L35" s="11">
        <v>613.20000000000005</v>
      </c>
      <c r="M35" s="11">
        <v>610</v>
      </c>
      <c r="N35" s="11">
        <v>701.4</v>
      </c>
      <c r="O35" s="11">
        <v>718.8</v>
      </c>
      <c r="P35" s="11">
        <v>854.3</v>
      </c>
      <c r="Q35" s="11">
        <v>906.1</v>
      </c>
      <c r="R35" s="11">
        <v>813.13</v>
      </c>
      <c r="S35" s="11">
        <v>1212.9725829063848</v>
      </c>
      <c r="T35" s="11">
        <v>1318.2</v>
      </c>
      <c r="U35" s="11">
        <v>1503.9</v>
      </c>
    </row>
    <row r="36" spans="1:21">
      <c r="A36" s="11" t="s">
        <v>38</v>
      </c>
      <c r="B36" s="11">
        <v>232.69</v>
      </c>
      <c r="C36" s="11">
        <v>245.14</v>
      </c>
      <c r="D36" s="11">
        <v>317.32</v>
      </c>
      <c r="E36" s="11">
        <v>327.05</v>
      </c>
      <c r="F36" s="11">
        <v>409.96</v>
      </c>
      <c r="G36" s="11">
        <v>453</v>
      </c>
      <c r="H36" s="11">
        <v>450.7</v>
      </c>
      <c r="I36" s="11">
        <v>440.8</v>
      </c>
      <c r="J36" s="11">
        <v>535.9</v>
      </c>
      <c r="K36" s="11">
        <v>578.79999999999995</v>
      </c>
      <c r="L36" s="11">
        <v>646</v>
      </c>
      <c r="M36" s="11">
        <v>816.9</v>
      </c>
      <c r="N36" s="11">
        <v>921.9</v>
      </c>
      <c r="O36" s="11">
        <v>890.1</v>
      </c>
      <c r="P36" s="11">
        <v>978.1</v>
      </c>
      <c r="Q36" s="11">
        <v>1063.0999999999999</v>
      </c>
      <c r="R36" s="11">
        <v>1158.83</v>
      </c>
      <c r="S36" s="11">
        <v>1616.884352996969</v>
      </c>
      <c r="T36" s="11">
        <v>1482.9</v>
      </c>
      <c r="U36" s="11">
        <v>1473.2</v>
      </c>
    </row>
    <row r="37" spans="1:21">
      <c r="A37" s="11" t="s">
        <v>39</v>
      </c>
      <c r="B37" s="11">
        <v>188.8</v>
      </c>
      <c r="C37" s="11">
        <v>197.04</v>
      </c>
      <c r="D37" s="11">
        <v>235.82</v>
      </c>
      <c r="E37" s="11">
        <v>330.54</v>
      </c>
      <c r="F37" s="11">
        <v>302.82</v>
      </c>
      <c r="G37" s="11">
        <v>341</v>
      </c>
      <c r="H37" s="11">
        <v>357.6</v>
      </c>
      <c r="I37" s="11">
        <v>375.2</v>
      </c>
      <c r="J37" s="11">
        <v>499.2</v>
      </c>
      <c r="K37" s="11">
        <v>472.4</v>
      </c>
      <c r="L37" s="11">
        <v>598.79999999999995</v>
      </c>
      <c r="M37" s="11">
        <v>643.5</v>
      </c>
      <c r="N37" s="11">
        <v>684</v>
      </c>
      <c r="O37" s="11">
        <v>708.2</v>
      </c>
      <c r="P37" s="11">
        <v>913</v>
      </c>
      <c r="Q37" s="11">
        <v>1027.5999999999999</v>
      </c>
      <c r="R37" s="11">
        <v>1179.77</v>
      </c>
      <c r="S37" s="11">
        <v>1310.9264301406224</v>
      </c>
      <c r="T37" s="11">
        <v>1078.3</v>
      </c>
      <c r="U37" s="11">
        <v>1333.2</v>
      </c>
    </row>
    <row r="38" spans="1:21">
      <c r="A38" s="10"/>
      <c r="T38" s="11"/>
      <c r="U38" s="11"/>
    </row>
    <row r="39" spans="1:21">
      <c r="T39" s="11"/>
      <c r="U39" s="11"/>
    </row>
    <row r="40" spans="1:21">
      <c r="T40" s="11"/>
      <c r="U40" s="11"/>
    </row>
    <row r="41" spans="1:21">
      <c r="T41" s="11"/>
      <c r="U41" s="11"/>
    </row>
    <row r="42" spans="1:21">
      <c r="T42" s="11"/>
      <c r="U42" s="11"/>
    </row>
    <row r="43" spans="1:21">
      <c r="T43" s="11"/>
    </row>
    <row r="44" spans="1:21">
      <c r="T44" s="11"/>
    </row>
    <row r="45" spans="1:21">
      <c r="T45" s="11"/>
    </row>
    <row r="46" spans="1:21">
      <c r="T46" s="11"/>
    </row>
  </sheetData>
  <phoneticPr fontId="6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C301C-A2BE-1141-A798-E9E5A3A3BC12}">
  <dimension ref="A1:V38"/>
  <sheetViews>
    <sheetView workbookViewId="0">
      <selection activeCell="A4" sqref="A4"/>
    </sheetView>
  </sheetViews>
  <sheetFormatPr baseColWidth="10" defaultRowHeight="16"/>
  <cols>
    <col min="1" max="1" width="19" customWidth="1"/>
    <col min="20" max="20" width="16.1640625" customWidth="1"/>
    <col min="21" max="21" width="16" customWidth="1"/>
  </cols>
  <sheetData>
    <row r="1" spans="1:22" ht="19" customHeight="1">
      <c r="A1" s="23" t="s">
        <v>6</v>
      </c>
      <c r="B1" s="23">
        <v>1997</v>
      </c>
      <c r="C1" s="23">
        <v>1998</v>
      </c>
      <c r="D1" s="23">
        <v>1999</v>
      </c>
      <c r="E1" s="23">
        <v>2000</v>
      </c>
      <c r="F1" s="23">
        <v>2001</v>
      </c>
      <c r="G1" s="23">
        <v>2002</v>
      </c>
      <c r="H1" s="23">
        <v>2003</v>
      </c>
      <c r="I1" s="23">
        <v>2004</v>
      </c>
      <c r="J1" s="23">
        <v>2005</v>
      </c>
      <c r="K1" s="23">
        <v>2006</v>
      </c>
      <c r="L1" s="23">
        <v>2007</v>
      </c>
      <c r="M1" s="23">
        <v>2008</v>
      </c>
      <c r="N1" s="23">
        <v>2009</v>
      </c>
      <c r="O1" s="23">
        <v>2010</v>
      </c>
      <c r="P1" s="23">
        <v>2011</v>
      </c>
      <c r="Q1" s="23">
        <v>2012</v>
      </c>
      <c r="R1" s="23">
        <v>2013</v>
      </c>
      <c r="S1" s="23">
        <v>2014</v>
      </c>
      <c r="T1" s="8" t="s">
        <v>47</v>
      </c>
      <c r="U1" s="8" t="s">
        <v>48</v>
      </c>
    </row>
    <row r="2" spans="1:22">
      <c r="A2" s="16" t="s">
        <v>9</v>
      </c>
      <c r="B2" s="11">
        <v>145.97999999999999</v>
      </c>
      <c r="C2" s="11">
        <v>161.12</v>
      </c>
      <c r="D2" s="11">
        <v>204.72</v>
      </c>
      <c r="E2" s="11">
        <v>230.39</v>
      </c>
      <c r="F2" s="11">
        <v>267.29000000000002</v>
      </c>
      <c r="G2" s="11">
        <v>684.36</v>
      </c>
      <c r="H2" s="26">
        <v>924.31</v>
      </c>
      <c r="I2" s="26">
        <v>808.67</v>
      </c>
      <c r="J2" s="11">
        <v>1100.6600000000001</v>
      </c>
      <c r="K2" s="11">
        <v>1232.07</v>
      </c>
      <c r="L2" s="11">
        <v>1401.13</v>
      </c>
      <c r="M2" s="11">
        <v>1466.34</v>
      </c>
      <c r="N2" s="11">
        <v>1885.02</v>
      </c>
      <c r="O2" s="11">
        <v>2373.0700000000002</v>
      </c>
      <c r="P2" s="11">
        <v>2482.73</v>
      </c>
      <c r="Q2" s="11">
        <v>2725.74</v>
      </c>
      <c r="R2" s="11">
        <v>2784.5194844424</v>
      </c>
      <c r="S2" s="11">
        <v>2673.6266803897893</v>
      </c>
      <c r="T2" s="11">
        <v>3179.3194885759999</v>
      </c>
      <c r="U2" s="11">
        <v>3400.0440405019999</v>
      </c>
      <c r="V2" s="11"/>
    </row>
    <row r="3" spans="1:22">
      <c r="A3" s="11" t="s">
        <v>10</v>
      </c>
      <c r="B3" s="11">
        <v>135.77000000000001</v>
      </c>
      <c r="C3" s="11">
        <v>111.92</v>
      </c>
      <c r="D3" s="11">
        <v>108.33</v>
      </c>
      <c r="E3" s="11">
        <v>133.75</v>
      </c>
      <c r="F3" s="11">
        <v>311.37</v>
      </c>
      <c r="G3" s="11">
        <v>241.68</v>
      </c>
      <c r="H3" s="26">
        <v>296.11</v>
      </c>
      <c r="I3" s="26">
        <v>323.11</v>
      </c>
      <c r="J3" s="11">
        <v>505.26</v>
      </c>
      <c r="K3" s="11">
        <v>520.62</v>
      </c>
      <c r="L3" s="11">
        <v>689.06</v>
      </c>
      <c r="M3" s="11">
        <v>889.99</v>
      </c>
      <c r="N3" s="11">
        <v>1214.72</v>
      </c>
      <c r="O3" s="11">
        <v>1607.17</v>
      </c>
      <c r="P3" s="11">
        <v>1749.35</v>
      </c>
      <c r="Q3" s="11">
        <v>2004.89</v>
      </c>
      <c r="R3" s="11">
        <v>2352.4125537983368</v>
      </c>
      <c r="S3" s="11">
        <v>2158.4744344442611</v>
      </c>
      <c r="T3" s="11">
        <v>2256.1016479539999</v>
      </c>
      <c r="U3" s="11">
        <v>2713.4111595319996</v>
      </c>
      <c r="V3" s="11"/>
    </row>
    <row r="4" spans="1:22">
      <c r="A4" s="11" t="s">
        <v>11</v>
      </c>
      <c r="B4" s="11">
        <v>124.01</v>
      </c>
      <c r="C4" s="11">
        <v>120.66</v>
      </c>
      <c r="D4" s="11">
        <v>122.2</v>
      </c>
      <c r="E4" s="11">
        <v>134.05000000000001</v>
      </c>
      <c r="F4" s="11">
        <v>143.94999999999999</v>
      </c>
      <c r="G4" s="11">
        <v>198.6</v>
      </c>
      <c r="H4" s="26">
        <v>259.11</v>
      </c>
      <c r="I4" s="26">
        <v>224.61</v>
      </c>
      <c r="J4" s="11">
        <v>385.26</v>
      </c>
      <c r="K4" s="11">
        <v>453.56</v>
      </c>
      <c r="L4" s="11">
        <v>522.17999999999995</v>
      </c>
      <c r="M4" s="11">
        <v>556.27</v>
      </c>
      <c r="N4" s="11">
        <v>636.57000000000005</v>
      </c>
      <c r="O4" s="11">
        <v>875.94</v>
      </c>
      <c r="P4" s="11">
        <v>966.11</v>
      </c>
      <c r="Q4" s="11">
        <v>1115.0899999999999</v>
      </c>
      <c r="R4" s="11">
        <v>1457.7348306244926</v>
      </c>
      <c r="S4" s="11">
        <v>1697.0942880651542</v>
      </c>
      <c r="T4" s="11">
        <v>1280.055663656</v>
      </c>
      <c r="U4" s="11">
        <v>1491.2841781319999</v>
      </c>
      <c r="V4" s="11"/>
    </row>
    <row r="5" spans="1:22">
      <c r="A5" s="11" t="s">
        <v>12</v>
      </c>
      <c r="B5" s="11">
        <v>90.59</v>
      </c>
      <c r="C5" s="11">
        <v>66.41</v>
      </c>
      <c r="D5" s="11">
        <v>85.67</v>
      </c>
      <c r="E5" s="11">
        <v>108.8</v>
      </c>
      <c r="F5" s="11">
        <v>108.7</v>
      </c>
      <c r="G5" s="11">
        <v>139.91999999999999</v>
      </c>
      <c r="H5" s="26">
        <v>145.30000000000001</v>
      </c>
      <c r="I5" s="26">
        <v>191.19</v>
      </c>
      <c r="J5" s="11">
        <v>188.51</v>
      </c>
      <c r="K5" s="11">
        <v>354.47</v>
      </c>
      <c r="L5" s="11">
        <v>544.38</v>
      </c>
      <c r="M5" s="11">
        <v>452.47</v>
      </c>
      <c r="N5" s="11">
        <v>526.25</v>
      </c>
      <c r="O5" s="11">
        <v>739.11</v>
      </c>
      <c r="P5" s="11">
        <v>880.31</v>
      </c>
      <c r="Q5" s="11">
        <v>1012.22</v>
      </c>
      <c r="R5" s="11">
        <v>1204.2963357509998</v>
      </c>
      <c r="S5" s="11">
        <v>1185.1649232283839</v>
      </c>
      <c r="T5" s="11">
        <v>1063.2195028840001</v>
      </c>
      <c r="U5" s="11">
        <v>1235.86687054</v>
      </c>
      <c r="V5" s="11"/>
    </row>
    <row r="6" spans="1:22">
      <c r="A6" s="11" t="s">
        <v>13</v>
      </c>
      <c r="B6" s="11">
        <v>98.12</v>
      </c>
      <c r="C6" s="11">
        <v>111.64</v>
      </c>
      <c r="D6" s="11">
        <v>116.58</v>
      </c>
      <c r="E6" s="11">
        <v>172.41</v>
      </c>
      <c r="F6" s="11">
        <v>159.56</v>
      </c>
      <c r="G6" s="11">
        <v>199.68</v>
      </c>
      <c r="H6" s="26">
        <v>226.74</v>
      </c>
      <c r="I6" s="26">
        <v>297.83</v>
      </c>
      <c r="J6" s="11">
        <v>320.08</v>
      </c>
      <c r="K6" s="11">
        <v>458.34</v>
      </c>
      <c r="L6" s="11">
        <v>613.08000000000004</v>
      </c>
      <c r="M6" s="11">
        <v>719.84</v>
      </c>
      <c r="N6" s="11">
        <v>1021.5</v>
      </c>
      <c r="O6" s="11">
        <v>1195.58</v>
      </c>
      <c r="P6" s="11">
        <v>1374.19</v>
      </c>
      <c r="Q6" s="11">
        <v>1863.06</v>
      </c>
      <c r="R6" s="11">
        <v>1844.5223856187565</v>
      </c>
      <c r="S6" s="11">
        <v>2145.5126047104368</v>
      </c>
      <c r="T6" s="11">
        <v>1819.2426421399998</v>
      </c>
      <c r="U6" s="11">
        <v>1826.3205275299999</v>
      </c>
      <c r="V6" s="11"/>
    </row>
    <row r="7" spans="1:22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</row>
    <row r="8" spans="1:22">
      <c r="A8" s="11" t="s">
        <v>14</v>
      </c>
      <c r="B8" s="11">
        <v>67.349999999999994</v>
      </c>
      <c r="C8" s="11">
        <v>86.12</v>
      </c>
      <c r="D8" s="11">
        <v>90.22</v>
      </c>
      <c r="E8" s="11">
        <v>97.29</v>
      </c>
      <c r="F8" s="11">
        <v>102.34</v>
      </c>
      <c r="G8" s="11">
        <v>158.63999999999999</v>
      </c>
      <c r="H8" s="26">
        <v>219.69</v>
      </c>
      <c r="I8" s="26">
        <v>225.99</v>
      </c>
      <c r="J8" s="11">
        <v>282.18</v>
      </c>
      <c r="K8" s="11">
        <v>330.32</v>
      </c>
      <c r="L8" s="11">
        <v>486.68</v>
      </c>
      <c r="M8" s="11">
        <v>679.96</v>
      </c>
      <c r="N8" s="11">
        <v>911.78</v>
      </c>
      <c r="O8" s="11">
        <v>1079.8599999999999</v>
      </c>
      <c r="P8" s="11">
        <v>1181</v>
      </c>
      <c r="Q8" s="11">
        <v>1507.46</v>
      </c>
      <c r="R8" s="11">
        <v>1755.8588017916798</v>
      </c>
      <c r="S8" s="11">
        <v>1687.3350093886702</v>
      </c>
      <c r="T8" s="11">
        <v>1616.00300092</v>
      </c>
      <c r="U8" s="11">
        <v>2051.7993398379999</v>
      </c>
      <c r="V8" s="11"/>
    </row>
    <row r="9" spans="1:22">
      <c r="A9" s="11" t="s">
        <v>15</v>
      </c>
      <c r="B9" s="11">
        <v>72.680000000000007</v>
      </c>
      <c r="C9" s="11">
        <v>73.81</v>
      </c>
      <c r="D9" s="11">
        <v>97.08</v>
      </c>
      <c r="E9" s="11">
        <v>118.22</v>
      </c>
      <c r="F9" s="11">
        <v>125.27</v>
      </c>
      <c r="G9" s="11">
        <v>183</v>
      </c>
      <c r="H9" s="26">
        <v>202.52</v>
      </c>
      <c r="I9" s="26">
        <v>283.77</v>
      </c>
      <c r="J9" s="11">
        <v>319.08</v>
      </c>
      <c r="K9" s="11">
        <v>398.1</v>
      </c>
      <c r="L9" s="11">
        <v>414.3</v>
      </c>
      <c r="M9" s="11">
        <v>516.16999999999996</v>
      </c>
      <c r="N9" s="11">
        <v>827.92</v>
      </c>
      <c r="O9" s="11">
        <v>826.17</v>
      </c>
      <c r="P9" s="11">
        <v>888.51</v>
      </c>
      <c r="Q9" s="11">
        <v>1083.9100000000001</v>
      </c>
      <c r="R9" s="11">
        <v>1504.052304507388</v>
      </c>
      <c r="S9" s="11">
        <v>1547.28527570705</v>
      </c>
      <c r="T9" s="11">
        <v>1281.7552286</v>
      </c>
      <c r="U9" s="11">
        <v>1499.09422038</v>
      </c>
      <c r="V9" s="11"/>
    </row>
    <row r="10" spans="1:22">
      <c r="A10" s="11" t="s">
        <v>16</v>
      </c>
      <c r="B10" s="11">
        <v>69.19</v>
      </c>
      <c r="C10" s="11">
        <v>73.98</v>
      </c>
      <c r="D10" s="11">
        <v>85.92</v>
      </c>
      <c r="E10" s="11">
        <v>94.94</v>
      </c>
      <c r="F10" s="11">
        <v>100.18</v>
      </c>
      <c r="G10" s="11">
        <v>148.08000000000001</v>
      </c>
      <c r="H10" s="26">
        <v>174.45</v>
      </c>
      <c r="I10" s="26">
        <v>207.84</v>
      </c>
      <c r="J10" s="11">
        <v>232.85</v>
      </c>
      <c r="K10" s="11">
        <v>261.85000000000002</v>
      </c>
      <c r="L10" s="11">
        <v>321.52999999999997</v>
      </c>
      <c r="M10" s="11">
        <v>349.26</v>
      </c>
      <c r="N10" s="11">
        <v>476.52</v>
      </c>
      <c r="O10" s="11">
        <v>619.70000000000005</v>
      </c>
      <c r="P10" s="11">
        <v>858.12</v>
      </c>
      <c r="Q10" s="11">
        <v>922.41</v>
      </c>
      <c r="R10" s="11">
        <v>1126.647742354146</v>
      </c>
      <c r="S10" s="11">
        <v>1423.8921465043979</v>
      </c>
      <c r="T10" s="11">
        <v>1186.2255157059999</v>
      </c>
      <c r="U10" s="11">
        <v>1475.8810392540001</v>
      </c>
      <c r="V10" s="11"/>
    </row>
    <row r="11" spans="1:22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</row>
    <row r="12" spans="1:22">
      <c r="A12" s="11" t="s">
        <v>17</v>
      </c>
      <c r="B12" s="11">
        <v>163.65</v>
      </c>
      <c r="C12" s="11">
        <v>171.1</v>
      </c>
      <c r="D12" s="11">
        <v>245.24</v>
      </c>
      <c r="E12" s="11">
        <v>307.47000000000003</v>
      </c>
      <c r="F12" s="11">
        <v>411.61</v>
      </c>
      <c r="G12" s="11">
        <v>555.24</v>
      </c>
      <c r="H12" s="26">
        <v>621.22</v>
      </c>
      <c r="I12" s="26">
        <v>994.83</v>
      </c>
      <c r="J12" s="11">
        <v>1161.33</v>
      </c>
      <c r="K12" s="11">
        <v>1395.54</v>
      </c>
      <c r="L12" s="11">
        <v>2079.06</v>
      </c>
      <c r="M12" s="11">
        <v>2321.7800000000002</v>
      </c>
      <c r="N12" s="11">
        <v>2425.79</v>
      </c>
      <c r="O12" s="11">
        <v>2890.85</v>
      </c>
      <c r="P12" s="11">
        <v>2502.23</v>
      </c>
      <c r="Q12" s="11">
        <v>3221.58</v>
      </c>
      <c r="R12" s="11">
        <v>3211.9722909015995</v>
      </c>
      <c r="S12" s="11">
        <v>2635.0453120125853</v>
      </c>
      <c r="T12" s="11">
        <v>2978.8416403900001</v>
      </c>
      <c r="U12" s="11">
        <v>3057.8484857099997</v>
      </c>
      <c r="V12" s="11"/>
    </row>
    <row r="13" spans="1:22">
      <c r="A13" s="11" t="s">
        <v>18</v>
      </c>
      <c r="B13" s="11">
        <v>138.94999999999999</v>
      </c>
      <c r="C13" s="11">
        <v>107.82</v>
      </c>
      <c r="D13" s="11">
        <v>128.88999999999999</v>
      </c>
      <c r="E13" s="11">
        <v>154.66999999999999</v>
      </c>
      <c r="F13" s="11">
        <v>215</v>
      </c>
      <c r="G13" s="11">
        <v>198.48</v>
      </c>
      <c r="H13" s="26">
        <v>349.15</v>
      </c>
      <c r="I13" s="26">
        <v>395.33</v>
      </c>
      <c r="J13" s="11">
        <v>632.27</v>
      </c>
      <c r="K13" s="11">
        <v>747.28</v>
      </c>
      <c r="L13" s="11">
        <v>811.86</v>
      </c>
      <c r="M13" s="11">
        <v>854.38</v>
      </c>
      <c r="N13" s="11">
        <v>1172.7</v>
      </c>
      <c r="O13" s="11">
        <v>1199.3</v>
      </c>
      <c r="P13" s="11">
        <v>1603.9</v>
      </c>
      <c r="Q13" s="11">
        <v>1855.02</v>
      </c>
      <c r="R13" s="11">
        <v>2126.0067080999997</v>
      </c>
      <c r="S13" s="11">
        <v>2428.8298246209488</v>
      </c>
      <c r="T13" s="11">
        <v>2113.6214534819997</v>
      </c>
      <c r="U13" s="11">
        <v>2438.6133767319998</v>
      </c>
      <c r="V13" s="11"/>
    </row>
    <row r="14" spans="1:22">
      <c r="A14" s="11" t="s">
        <v>19</v>
      </c>
      <c r="B14" s="11">
        <v>193.9</v>
      </c>
      <c r="C14" s="11">
        <v>175.34</v>
      </c>
      <c r="D14" s="11">
        <v>250.32</v>
      </c>
      <c r="E14" s="11">
        <v>274.38</v>
      </c>
      <c r="F14" s="11">
        <v>261.72000000000003</v>
      </c>
      <c r="G14" s="11">
        <v>410.4</v>
      </c>
      <c r="H14" s="26">
        <v>639.92999999999995</v>
      </c>
      <c r="I14" s="26">
        <v>794.05</v>
      </c>
      <c r="J14" s="11">
        <v>1298.95</v>
      </c>
      <c r="K14" s="11">
        <v>1628.22</v>
      </c>
      <c r="L14" s="11">
        <v>1531.1</v>
      </c>
      <c r="M14" s="11">
        <v>1454.63</v>
      </c>
      <c r="N14" s="11">
        <v>2359.8000000000002</v>
      </c>
      <c r="O14" s="11">
        <v>2488.84</v>
      </c>
      <c r="P14" s="11">
        <v>2725.79</v>
      </c>
      <c r="Q14" s="11">
        <v>3048.46</v>
      </c>
      <c r="R14" s="11">
        <v>3098.0144434565841</v>
      </c>
      <c r="S14" s="11">
        <v>3114.9596737678717</v>
      </c>
      <c r="T14" s="11">
        <v>2805.202755278</v>
      </c>
      <c r="U14" s="11">
        <v>3165.4535122380003</v>
      </c>
      <c r="V14" s="11"/>
    </row>
    <row r="15" spans="1:22">
      <c r="A15" s="11" t="s">
        <v>20</v>
      </c>
      <c r="B15" s="11">
        <v>99.26</v>
      </c>
      <c r="C15" s="11">
        <v>87.6</v>
      </c>
      <c r="D15" s="11">
        <v>96.99</v>
      </c>
      <c r="E15" s="11">
        <v>113.52</v>
      </c>
      <c r="F15" s="11">
        <v>114.13</v>
      </c>
      <c r="G15" s="11">
        <v>185.28</v>
      </c>
      <c r="H15" s="26">
        <v>183.74</v>
      </c>
      <c r="I15" s="26">
        <v>199.24</v>
      </c>
      <c r="J15" s="11">
        <v>258.97000000000003</v>
      </c>
      <c r="K15" s="11">
        <v>289.64</v>
      </c>
      <c r="L15" s="11">
        <v>396.59</v>
      </c>
      <c r="M15" s="11">
        <v>437.85</v>
      </c>
      <c r="N15" s="11">
        <v>492.08</v>
      </c>
      <c r="O15" s="11">
        <v>732.47</v>
      </c>
      <c r="P15" s="11">
        <v>677.96</v>
      </c>
      <c r="Q15" s="11">
        <v>1012.05</v>
      </c>
      <c r="R15" s="11">
        <v>1635.1339485994201</v>
      </c>
      <c r="S15" s="11">
        <v>1334.225729997316</v>
      </c>
      <c r="T15" s="11">
        <v>1148.8350869379999</v>
      </c>
      <c r="U15" s="11">
        <v>1428.3699489119999</v>
      </c>
      <c r="V15" s="11"/>
    </row>
    <row r="16" spans="1:22">
      <c r="A16" s="11" t="s">
        <v>21</v>
      </c>
      <c r="B16" s="11">
        <v>112.74</v>
      </c>
      <c r="C16" s="11">
        <v>121.47</v>
      </c>
      <c r="D16" s="11">
        <v>148.21</v>
      </c>
      <c r="E16" s="11">
        <v>155.87</v>
      </c>
      <c r="F16" s="11">
        <v>181.37</v>
      </c>
      <c r="G16" s="11">
        <v>245.76</v>
      </c>
      <c r="H16" s="26">
        <v>294.27999999999997</v>
      </c>
      <c r="I16" s="26">
        <v>432.12</v>
      </c>
      <c r="J16" s="11">
        <v>384.29</v>
      </c>
      <c r="K16" s="11">
        <v>523.85</v>
      </c>
      <c r="L16" s="11">
        <v>837.87</v>
      </c>
      <c r="M16" s="11">
        <v>929.07</v>
      </c>
      <c r="N16" s="11">
        <v>1103.1600000000001</v>
      </c>
      <c r="O16" s="11">
        <v>1291.81</v>
      </c>
      <c r="P16" s="11">
        <v>1531.17</v>
      </c>
      <c r="Q16" s="11">
        <v>1924.89</v>
      </c>
      <c r="R16" s="11">
        <v>2183.2807776667401</v>
      </c>
      <c r="S16" s="11">
        <v>1897.7102010129242</v>
      </c>
      <c r="T16" s="11">
        <v>1632.502943918</v>
      </c>
      <c r="U16" s="11">
        <v>1810.9173886519998</v>
      </c>
      <c r="V16" s="11"/>
    </row>
    <row r="17" spans="1:22">
      <c r="A17" s="11" t="s">
        <v>22</v>
      </c>
      <c r="B17" s="11">
        <v>71.069999999999993</v>
      </c>
      <c r="C17" s="11">
        <v>63.98</v>
      </c>
      <c r="D17" s="11">
        <v>82.41</v>
      </c>
      <c r="E17" s="11">
        <v>77.510000000000005</v>
      </c>
      <c r="F17" s="11">
        <v>82.14</v>
      </c>
      <c r="G17" s="11">
        <v>132.24</v>
      </c>
      <c r="H17" s="26">
        <v>126.4</v>
      </c>
      <c r="I17" s="26">
        <v>141.91999999999999</v>
      </c>
      <c r="J17" s="11">
        <v>191.38</v>
      </c>
      <c r="K17" s="11">
        <v>189.01</v>
      </c>
      <c r="L17" s="11">
        <v>242.4</v>
      </c>
      <c r="M17" s="11">
        <v>401.45</v>
      </c>
      <c r="N17" s="11">
        <v>676.56</v>
      </c>
      <c r="O17" s="11">
        <v>733.03</v>
      </c>
      <c r="P17" s="11">
        <v>763.55</v>
      </c>
      <c r="Q17" s="11">
        <v>915.3</v>
      </c>
      <c r="R17" s="11">
        <v>1229.3390008287033</v>
      </c>
      <c r="S17" s="11">
        <v>1128.2468303567966</v>
      </c>
      <c r="T17" s="11">
        <v>1022.8548354640001</v>
      </c>
      <c r="U17" s="11">
        <v>1140.3384834139999</v>
      </c>
      <c r="V17" s="11"/>
    </row>
    <row r="18" spans="1:22">
      <c r="A18" s="11" t="s">
        <v>23</v>
      </c>
      <c r="B18" s="11">
        <v>120.11</v>
      </c>
      <c r="C18" s="11">
        <v>136.41999999999999</v>
      </c>
      <c r="D18" s="11">
        <v>139.37</v>
      </c>
      <c r="E18" s="11">
        <v>157.53</v>
      </c>
      <c r="F18" s="11">
        <v>174.85</v>
      </c>
      <c r="G18" s="11">
        <v>237.72</v>
      </c>
      <c r="H18" s="26">
        <v>272.44</v>
      </c>
      <c r="I18" s="26">
        <v>404.48</v>
      </c>
      <c r="J18" s="11">
        <v>476.71</v>
      </c>
      <c r="K18" s="11">
        <v>703.84</v>
      </c>
      <c r="L18" s="11">
        <v>827.4</v>
      </c>
      <c r="M18" s="11">
        <v>898.17</v>
      </c>
      <c r="N18" s="11">
        <v>1192.1300000000001</v>
      </c>
      <c r="O18" s="11">
        <v>1524.57</v>
      </c>
      <c r="P18" s="11">
        <v>1539.95</v>
      </c>
      <c r="Q18" s="11">
        <v>1634.99</v>
      </c>
      <c r="R18" s="11">
        <v>1678.3110626497999</v>
      </c>
      <c r="S18" s="11">
        <v>1647.3443968626086</v>
      </c>
      <c r="T18" s="11">
        <v>1490.0935646519997</v>
      </c>
      <c r="U18" s="11">
        <v>1681.1839090880001</v>
      </c>
      <c r="V18" s="11"/>
    </row>
    <row r="19" spans="1:22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</row>
    <row r="20" spans="1:22">
      <c r="A20" s="11" t="s">
        <v>24</v>
      </c>
      <c r="B20" s="11">
        <v>80.86</v>
      </c>
      <c r="C20" s="11">
        <v>85.68</v>
      </c>
      <c r="D20" s="11">
        <v>90.32</v>
      </c>
      <c r="E20" s="11">
        <v>94.36</v>
      </c>
      <c r="F20" s="11">
        <v>91.91</v>
      </c>
      <c r="G20" s="11">
        <v>143.63999999999999</v>
      </c>
      <c r="H20" s="26">
        <v>127.15</v>
      </c>
      <c r="I20" s="26">
        <v>168.17</v>
      </c>
      <c r="J20" s="11">
        <v>177.07</v>
      </c>
      <c r="K20" s="11">
        <v>259.45</v>
      </c>
      <c r="L20" s="11">
        <v>320.64</v>
      </c>
      <c r="M20" s="11">
        <v>390.37</v>
      </c>
      <c r="N20" s="11">
        <v>499.95</v>
      </c>
      <c r="O20" s="11">
        <v>813.55</v>
      </c>
      <c r="P20" s="11">
        <v>1024.94</v>
      </c>
      <c r="Q20" s="11">
        <v>1125.25</v>
      </c>
      <c r="R20" s="11">
        <v>1199.1627246567998</v>
      </c>
      <c r="S20" s="11">
        <v>1202.6351925580243</v>
      </c>
      <c r="T20" s="11">
        <v>959.82930212400004</v>
      </c>
      <c r="U20" s="11">
        <v>1121.4642146480001</v>
      </c>
      <c r="V20" s="11"/>
    </row>
    <row r="21" spans="1:22">
      <c r="A21" s="11" t="s">
        <v>25</v>
      </c>
      <c r="B21" s="11">
        <v>80.47</v>
      </c>
      <c r="C21" s="11">
        <v>99.2</v>
      </c>
      <c r="D21" s="11">
        <v>108.04</v>
      </c>
      <c r="E21" s="11">
        <v>129.35</v>
      </c>
      <c r="F21" s="11">
        <v>145.93</v>
      </c>
      <c r="G21" s="11">
        <v>216.36</v>
      </c>
      <c r="H21" s="26">
        <v>197.33</v>
      </c>
      <c r="I21" s="26">
        <v>200.75</v>
      </c>
      <c r="J21" s="11">
        <v>242.81</v>
      </c>
      <c r="K21" s="11">
        <v>321.12</v>
      </c>
      <c r="L21" s="11">
        <v>413.65</v>
      </c>
      <c r="M21" s="11">
        <v>436.56</v>
      </c>
      <c r="N21" s="11">
        <v>469.21</v>
      </c>
      <c r="O21" s="11">
        <v>706.04</v>
      </c>
      <c r="P21" s="11">
        <v>827.81</v>
      </c>
      <c r="Q21" s="11">
        <v>867.08</v>
      </c>
      <c r="R21" s="11">
        <v>1183.4092523029999</v>
      </c>
      <c r="S21" s="11">
        <v>1249.3014540415579</v>
      </c>
      <c r="T21" s="11">
        <v>1219.7919233499999</v>
      </c>
      <c r="U21" s="11">
        <v>1396.4066278600001</v>
      </c>
      <c r="V21" s="11"/>
    </row>
    <row r="22" spans="1:22">
      <c r="A22" s="11" t="s">
        <v>26</v>
      </c>
      <c r="B22" s="11">
        <v>135.88999999999999</v>
      </c>
      <c r="C22" s="11">
        <v>118.07</v>
      </c>
      <c r="D22" s="11">
        <v>134.97999999999999</v>
      </c>
      <c r="E22" s="11">
        <v>151.72999999999999</v>
      </c>
      <c r="F22" s="11">
        <v>168.95</v>
      </c>
      <c r="G22" s="11">
        <v>193.68</v>
      </c>
      <c r="H22" s="26">
        <v>261.18</v>
      </c>
      <c r="I22" s="26">
        <v>425.21</v>
      </c>
      <c r="J22" s="11">
        <v>296.19</v>
      </c>
      <c r="K22" s="11">
        <v>451.08</v>
      </c>
      <c r="L22" s="11">
        <v>451.17</v>
      </c>
      <c r="M22" s="11">
        <v>454.13</v>
      </c>
      <c r="N22" s="11">
        <v>701.19</v>
      </c>
      <c r="O22" s="11">
        <v>896.91</v>
      </c>
      <c r="P22" s="11">
        <v>1331.53</v>
      </c>
      <c r="Q22" s="11">
        <v>1421.93</v>
      </c>
      <c r="R22" s="11">
        <v>1634.2311787497997</v>
      </c>
      <c r="S22" s="11">
        <v>1706.6370904290611</v>
      </c>
      <c r="T22" s="11">
        <v>1150.4638366759998</v>
      </c>
      <c r="U22" s="11">
        <v>1385.1977709299999</v>
      </c>
      <c r="V22" s="11"/>
    </row>
    <row r="23" spans="1:22">
      <c r="A23" s="11" t="s">
        <v>27</v>
      </c>
      <c r="B23" s="11">
        <v>244.23</v>
      </c>
      <c r="C23" s="11">
        <v>313.02999999999997</v>
      </c>
      <c r="D23" s="11">
        <v>387.16</v>
      </c>
      <c r="E23" s="11">
        <v>524.22</v>
      </c>
      <c r="F23" s="11">
        <v>489.36</v>
      </c>
      <c r="G23" s="11">
        <v>649.55999999999995</v>
      </c>
      <c r="H23" s="26">
        <v>551.98</v>
      </c>
      <c r="I23" s="26">
        <v>1005.58</v>
      </c>
      <c r="J23" s="11">
        <v>1557.6</v>
      </c>
      <c r="K23" s="11">
        <v>1593.77</v>
      </c>
      <c r="L23" s="11">
        <v>2012.62</v>
      </c>
      <c r="M23" s="11">
        <v>1618.43</v>
      </c>
      <c r="N23" s="11">
        <v>1941.39</v>
      </c>
      <c r="O23" s="11">
        <v>2248.69</v>
      </c>
      <c r="P23" s="11">
        <v>2416.5700000000002</v>
      </c>
      <c r="Q23" s="11">
        <v>2882.35</v>
      </c>
      <c r="R23" s="11">
        <v>3081.6627142165244</v>
      </c>
      <c r="S23" s="11">
        <v>2512.9639611524194</v>
      </c>
      <c r="T23" s="11">
        <v>2138.7608516119999</v>
      </c>
      <c r="U23" s="11">
        <v>2383.87076579</v>
      </c>
      <c r="V23" s="11"/>
    </row>
    <row r="24" spans="1:22">
      <c r="A24" s="11" t="s">
        <v>28</v>
      </c>
      <c r="B24" s="11">
        <v>167.38</v>
      </c>
      <c r="C24" s="11">
        <v>133.24</v>
      </c>
      <c r="D24" s="11">
        <v>188.73</v>
      </c>
      <c r="E24" s="11">
        <v>195.56</v>
      </c>
      <c r="F24" s="11">
        <v>227.08</v>
      </c>
      <c r="G24" s="11">
        <v>314.64</v>
      </c>
      <c r="H24" s="26">
        <v>281.66000000000003</v>
      </c>
      <c r="I24" s="26">
        <v>243.75</v>
      </c>
      <c r="J24" s="11">
        <v>317.77</v>
      </c>
      <c r="K24" s="11">
        <v>415.37</v>
      </c>
      <c r="L24" s="11">
        <v>512.25</v>
      </c>
      <c r="M24" s="11">
        <v>781.38</v>
      </c>
      <c r="N24" s="11">
        <v>994.41</v>
      </c>
      <c r="O24" s="11">
        <v>1330.24</v>
      </c>
      <c r="P24" s="11">
        <v>1404.87</v>
      </c>
      <c r="Q24" s="11">
        <v>1448.53</v>
      </c>
      <c r="R24" s="11">
        <v>1739.4037993371242</v>
      </c>
      <c r="S24" s="11">
        <v>1279.5034072088602</v>
      </c>
      <c r="T24" s="11">
        <v>1023.775433142</v>
      </c>
      <c r="U24" s="11">
        <v>1114.8112156959999</v>
      </c>
      <c r="V24" s="11"/>
    </row>
    <row r="25" spans="1:22">
      <c r="A25" s="11" t="s">
        <v>29</v>
      </c>
      <c r="B25" s="11">
        <v>117.35</v>
      </c>
      <c r="C25" s="11">
        <v>135.28</v>
      </c>
      <c r="D25" s="11">
        <v>172.99</v>
      </c>
      <c r="E25" s="11">
        <v>176.71</v>
      </c>
      <c r="F25" s="11">
        <v>133.47999999999999</v>
      </c>
      <c r="G25" s="11">
        <v>340.32</v>
      </c>
      <c r="H25" s="26">
        <v>284.82</v>
      </c>
      <c r="I25" s="26">
        <v>351.8</v>
      </c>
      <c r="J25" s="11">
        <v>350.96</v>
      </c>
      <c r="K25" s="11">
        <v>720.9</v>
      </c>
      <c r="L25" s="11">
        <v>937.64</v>
      </c>
      <c r="M25" s="11">
        <v>836.14</v>
      </c>
      <c r="N25" s="11">
        <v>1038.01</v>
      </c>
      <c r="O25" s="11">
        <v>1177.7</v>
      </c>
      <c r="P25" s="11">
        <v>1184.67</v>
      </c>
      <c r="Q25" s="11">
        <v>1261.77</v>
      </c>
      <c r="R25" s="11">
        <v>1360.1905814443671</v>
      </c>
      <c r="S25" s="11">
        <v>1494.553062142719</v>
      </c>
      <c r="T25" s="11">
        <v>1262.7059381859999</v>
      </c>
      <c r="U25" s="11">
        <v>1274.3385601320001</v>
      </c>
      <c r="V25" s="11"/>
    </row>
    <row r="26" spans="1:22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</row>
    <row r="27" spans="1:22">
      <c r="A27" s="11" t="s">
        <v>30</v>
      </c>
      <c r="B27" s="11">
        <v>124.87</v>
      </c>
      <c r="C27" s="11">
        <v>148.88</v>
      </c>
      <c r="D27" s="11">
        <v>170.74</v>
      </c>
      <c r="E27" s="11">
        <v>157.91</v>
      </c>
      <c r="F27" s="11">
        <v>168.47</v>
      </c>
      <c r="G27" s="11">
        <v>250.2</v>
      </c>
      <c r="H27" s="26">
        <v>293.58</v>
      </c>
      <c r="I27" s="26">
        <v>327.78</v>
      </c>
      <c r="J27" s="11">
        <v>324.43</v>
      </c>
      <c r="K27" s="11">
        <v>336.57</v>
      </c>
      <c r="L27" s="11">
        <v>520.37</v>
      </c>
      <c r="M27" s="11">
        <v>470.32</v>
      </c>
      <c r="N27" s="11">
        <v>592.51</v>
      </c>
      <c r="O27" s="11">
        <v>622.97</v>
      </c>
      <c r="P27" s="11">
        <v>957.61</v>
      </c>
      <c r="Q27" s="11">
        <v>1090.3599999999999</v>
      </c>
      <c r="R27" s="11">
        <v>1340.1572123191679</v>
      </c>
      <c r="S27" s="11">
        <v>1393.0011582889151</v>
      </c>
      <c r="T27" s="11">
        <v>1236.7167575840001</v>
      </c>
      <c r="U27" s="11">
        <v>1404.0720396959998</v>
      </c>
      <c r="V27" s="11"/>
    </row>
    <row r="28" spans="1:22">
      <c r="A28" s="11" t="s">
        <v>31</v>
      </c>
      <c r="B28" s="11">
        <v>86.58</v>
      </c>
      <c r="C28" s="11">
        <v>95.57</v>
      </c>
      <c r="D28" s="11">
        <v>100.37</v>
      </c>
      <c r="E28" s="11">
        <v>115.48</v>
      </c>
      <c r="F28" s="11">
        <v>129.1</v>
      </c>
      <c r="G28" s="11">
        <v>194.88</v>
      </c>
      <c r="H28" s="26">
        <v>239.16</v>
      </c>
      <c r="I28" s="26">
        <v>380.28</v>
      </c>
      <c r="J28" s="11">
        <v>402.68</v>
      </c>
      <c r="K28" s="11">
        <v>511.17</v>
      </c>
      <c r="L28" s="11">
        <v>532.73</v>
      </c>
      <c r="M28" s="11">
        <v>548.48</v>
      </c>
      <c r="N28" s="11">
        <v>752.21</v>
      </c>
      <c r="O28" s="11">
        <v>933.2</v>
      </c>
      <c r="P28" s="11">
        <v>992.78</v>
      </c>
      <c r="Q28" s="11">
        <v>1088.1099999999999</v>
      </c>
      <c r="R28" s="11">
        <v>1482.3983891951527</v>
      </c>
      <c r="S28" s="11">
        <v>1503.2972990592882</v>
      </c>
      <c r="T28" s="11">
        <v>1153.721336152</v>
      </c>
      <c r="U28" s="11">
        <v>1338.0482566179999</v>
      </c>
      <c r="V28" s="11"/>
    </row>
    <row r="29" spans="1:22">
      <c r="A29" s="11" t="s">
        <v>32</v>
      </c>
      <c r="B29" s="11">
        <v>93.71</v>
      </c>
      <c r="C29" s="11">
        <v>98.35</v>
      </c>
      <c r="D29" s="11">
        <v>118.93</v>
      </c>
      <c r="E29" s="11">
        <v>135.62</v>
      </c>
      <c r="F29" s="11">
        <v>130.13999999999999</v>
      </c>
      <c r="G29" s="11">
        <v>174.12</v>
      </c>
      <c r="H29" s="26">
        <v>212.99</v>
      </c>
      <c r="I29" s="26">
        <v>219.09</v>
      </c>
      <c r="J29" s="11">
        <v>219.51</v>
      </c>
      <c r="K29" s="11">
        <v>279.39</v>
      </c>
      <c r="L29" s="11">
        <v>386.34</v>
      </c>
      <c r="M29" s="11">
        <v>400.19</v>
      </c>
      <c r="N29" s="11">
        <v>436.24</v>
      </c>
      <c r="O29" s="11">
        <v>606.34</v>
      </c>
      <c r="P29" s="11">
        <v>698.37</v>
      </c>
      <c r="Q29" s="11">
        <v>1146.18</v>
      </c>
      <c r="R29" s="11">
        <v>1268.2007796811986</v>
      </c>
      <c r="S29" s="11">
        <v>1298.3401286018814</v>
      </c>
      <c r="T29" s="11">
        <v>935.89376249599991</v>
      </c>
      <c r="U29" s="11">
        <v>1164.7087078359998</v>
      </c>
      <c r="V29" s="11"/>
    </row>
    <row r="30" spans="1:22">
      <c r="A30" s="11" t="s">
        <v>33</v>
      </c>
      <c r="B30" s="11">
        <v>112.31</v>
      </c>
      <c r="C30" s="11">
        <v>118.54</v>
      </c>
      <c r="D30" s="11">
        <v>106.69</v>
      </c>
      <c r="E30" s="11">
        <v>170.04</v>
      </c>
      <c r="F30" s="11">
        <v>163.59</v>
      </c>
      <c r="G30" s="11">
        <v>256.56</v>
      </c>
      <c r="H30" s="26">
        <v>311.88</v>
      </c>
      <c r="I30" s="26">
        <v>349.16</v>
      </c>
      <c r="J30" s="11">
        <v>390.74</v>
      </c>
      <c r="K30" s="11">
        <v>530.64</v>
      </c>
      <c r="L30" s="11">
        <v>478.32</v>
      </c>
      <c r="M30" s="11">
        <v>685.69</v>
      </c>
      <c r="N30" s="11">
        <v>1028.76</v>
      </c>
      <c r="O30" s="11">
        <v>1360.27</v>
      </c>
      <c r="P30" s="11">
        <v>1213.3800000000001</v>
      </c>
      <c r="Q30" s="11">
        <v>1476.18</v>
      </c>
      <c r="R30" s="11">
        <v>1490.3920466370037</v>
      </c>
      <c r="S30" s="11">
        <v>1807.9745725684224</v>
      </c>
      <c r="T30" s="11">
        <v>1156.1290531559998</v>
      </c>
      <c r="U30" s="11">
        <v>1246.3525754099999</v>
      </c>
      <c r="V30" s="11"/>
    </row>
    <row r="31" spans="1:22">
      <c r="A31" s="11" t="s">
        <v>34</v>
      </c>
      <c r="B31" s="11"/>
      <c r="C31" s="11"/>
      <c r="D31" s="11">
        <v>127.18</v>
      </c>
      <c r="E31" s="11">
        <v>134.08000000000001</v>
      </c>
      <c r="F31" s="11">
        <v>152.38999999999999</v>
      </c>
      <c r="G31" s="11">
        <v>237.72</v>
      </c>
      <c r="H31" s="26">
        <v>375.8</v>
      </c>
      <c r="I31" s="26">
        <v>445.62</v>
      </c>
      <c r="J31" s="11">
        <v>520.42999999999995</v>
      </c>
      <c r="K31" s="11">
        <v>193.93</v>
      </c>
      <c r="L31" s="11">
        <v>285.67</v>
      </c>
      <c r="M31" s="11">
        <v>357.2</v>
      </c>
      <c r="N31" s="11">
        <v>438.9</v>
      </c>
      <c r="O31" s="11">
        <v>569.12</v>
      </c>
      <c r="P31" s="11">
        <v>544.29</v>
      </c>
      <c r="Q31" s="11">
        <v>582.29</v>
      </c>
      <c r="R31" s="11">
        <v>339.48292123599998</v>
      </c>
      <c r="S31" s="11">
        <v>1199.2054773371658</v>
      </c>
      <c r="T31" s="11">
        <v>726.49319835400001</v>
      </c>
      <c r="U31" s="11">
        <v>715.92053939999994</v>
      </c>
      <c r="V31" s="11"/>
    </row>
    <row r="32" spans="1:2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</row>
    <row r="33" spans="1:22">
      <c r="A33" s="11" t="s">
        <v>35</v>
      </c>
      <c r="B33" s="11">
        <v>84.61</v>
      </c>
      <c r="C33" s="11">
        <v>80.97</v>
      </c>
      <c r="D33" s="11">
        <v>96.83</v>
      </c>
      <c r="E33" s="11">
        <v>117.87</v>
      </c>
      <c r="F33" s="11">
        <v>130.38999999999999</v>
      </c>
      <c r="G33" s="11">
        <v>176.64</v>
      </c>
      <c r="H33" s="26">
        <v>175</v>
      </c>
      <c r="I33" s="26">
        <v>203.79</v>
      </c>
      <c r="J33" s="11">
        <v>217.62</v>
      </c>
      <c r="K33" s="11">
        <v>373.69</v>
      </c>
      <c r="L33" s="11">
        <v>410.75</v>
      </c>
      <c r="M33" s="11">
        <v>461.65</v>
      </c>
      <c r="N33" s="11">
        <v>517.58000000000004</v>
      </c>
      <c r="O33" s="11">
        <v>571.79</v>
      </c>
      <c r="P33" s="11">
        <v>818.74</v>
      </c>
      <c r="Q33" s="11">
        <v>1046.19</v>
      </c>
      <c r="R33" s="11">
        <v>1369.2406392399946</v>
      </c>
      <c r="S33" s="11">
        <v>1696.2200984765238</v>
      </c>
      <c r="T33" s="11">
        <v>1088.500531426</v>
      </c>
      <c r="U33" s="11">
        <v>1203.3973430459998</v>
      </c>
      <c r="V33" s="11"/>
    </row>
    <row r="34" spans="1:22">
      <c r="A34" s="11" t="s">
        <v>36</v>
      </c>
      <c r="B34" s="11">
        <v>57.46</v>
      </c>
      <c r="C34" s="11">
        <v>68.58</v>
      </c>
      <c r="D34" s="11">
        <v>91.96</v>
      </c>
      <c r="E34" s="11">
        <v>102.05</v>
      </c>
      <c r="F34" s="11">
        <v>109.8</v>
      </c>
      <c r="G34" s="11">
        <v>172.2</v>
      </c>
      <c r="H34" s="26">
        <v>209.26</v>
      </c>
      <c r="I34" s="26">
        <v>246.65</v>
      </c>
      <c r="J34" s="11">
        <v>243.33</v>
      </c>
      <c r="K34" s="11">
        <v>276.42</v>
      </c>
      <c r="L34" s="11">
        <v>399.12</v>
      </c>
      <c r="M34" s="11">
        <v>380.32</v>
      </c>
      <c r="N34" s="11">
        <v>440.26</v>
      </c>
      <c r="O34" s="11">
        <v>477.29</v>
      </c>
      <c r="P34" s="11">
        <v>605.41</v>
      </c>
      <c r="Q34" s="11">
        <v>799.76</v>
      </c>
      <c r="R34" s="11">
        <v>1019.6784069542083</v>
      </c>
      <c r="S34" s="11">
        <v>1128.9534180431831</v>
      </c>
      <c r="T34" s="11">
        <v>860.192307282</v>
      </c>
      <c r="U34" s="11">
        <v>1137.5181903800001</v>
      </c>
      <c r="V34" s="11"/>
    </row>
    <row r="35" spans="1:22">
      <c r="A35" s="11" t="s">
        <v>37</v>
      </c>
      <c r="B35" s="11">
        <v>106.22</v>
      </c>
      <c r="C35" s="11">
        <v>92.67</v>
      </c>
      <c r="D35" s="11">
        <v>111.89</v>
      </c>
      <c r="E35" s="11">
        <v>124.05</v>
      </c>
      <c r="F35" s="11">
        <v>115.29</v>
      </c>
      <c r="G35" s="11">
        <v>213.72</v>
      </c>
      <c r="H35" s="26">
        <v>182.43</v>
      </c>
      <c r="I35" s="26">
        <v>227.17</v>
      </c>
      <c r="J35" s="11">
        <v>347.14</v>
      </c>
      <c r="K35" s="11">
        <v>338.29</v>
      </c>
      <c r="L35" s="11">
        <v>350.05</v>
      </c>
      <c r="M35" s="11">
        <v>389.43</v>
      </c>
      <c r="N35" s="11">
        <v>555.79</v>
      </c>
      <c r="O35" s="11">
        <v>614.16999999999996</v>
      </c>
      <c r="P35" s="11">
        <v>823.54</v>
      </c>
      <c r="Q35" s="11">
        <v>983.65</v>
      </c>
      <c r="R35" s="11">
        <v>1181.9919144976</v>
      </c>
      <c r="S35" s="11">
        <v>1549.3301519390675</v>
      </c>
      <c r="T35" s="11">
        <v>1602.7605573980002</v>
      </c>
      <c r="U35" s="11">
        <v>1653.8487612199999</v>
      </c>
      <c r="V35" s="11"/>
    </row>
    <row r="36" spans="1:22">
      <c r="A36" s="11" t="s">
        <v>38</v>
      </c>
      <c r="B36" s="11">
        <v>70.67</v>
      </c>
      <c r="C36" s="11">
        <v>93.04</v>
      </c>
      <c r="D36" s="11">
        <v>88.17</v>
      </c>
      <c r="E36" s="11">
        <v>143.47</v>
      </c>
      <c r="F36" s="11">
        <v>148.62</v>
      </c>
      <c r="G36" s="11">
        <v>232.68</v>
      </c>
      <c r="H36" s="26">
        <v>203.5</v>
      </c>
      <c r="I36" s="26">
        <v>242.63</v>
      </c>
      <c r="J36" s="11">
        <v>291.37</v>
      </c>
      <c r="K36" s="11">
        <v>324.11</v>
      </c>
      <c r="L36" s="11">
        <v>418.98</v>
      </c>
      <c r="M36" s="11">
        <v>592.15</v>
      </c>
      <c r="N36" s="11">
        <v>885.16</v>
      </c>
      <c r="O36" s="11">
        <v>1030.01</v>
      </c>
      <c r="P36" s="11">
        <v>1041.4100000000001</v>
      </c>
      <c r="Q36" s="11">
        <v>1468.29</v>
      </c>
      <c r="R36" s="11">
        <v>1697.8554050189998</v>
      </c>
      <c r="S36" s="11">
        <v>1769.4948242832861</v>
      </c>
      <c r="T36" s="11">
        <v>1278.9934355659998</v>
      </c>
      <c r="U36" s="11">
        <v>1987.6557521159998</v>
      </c>
      <c r="V36" s="11"/>
    </row>
    <row r="37" spans="1:22">
      <c r="A37" s="11" t="s">
        <v>39</v>
      </c>
      <c r="B37" s="11">
        <v>102.14</v>
      </c>
      <c r="C37" s="11">
        <v>94.95</v>
      </c>
      <c r="D37" s="11">
        <v>115.32</v>
      </c>
      <c r="E37" s="11">
        <v>133.69999999999999</v>
      </c>
      <c r="F37" s="11">
        <v>146.41999999999999</v>
      </c>
      <c r="G37" s="11">
        <v>295.56</v>
      </c>
      <c r="H37" s="26">
        <v>239.48</v>
      </c>
      <c r="I37" s="26">
        <v>246.45</v>
      </c>
      <c r="J37" s="11">
        <v>375.77</v>
      </c>
      <c r="K37" s="11">
        <v>344.7</v>
      </c>
      <c r="L37" s="11">
        <v>449.7</v>
      </c>
      <c r="M37" s="11">
        <v>552.94000000000005</v>
      </c>
      <c r="N37" s="11">
        <v>743.58</v>
      </c>
      <c r="O37" s="11">
        <v>742.61</v>
      </c>
      <c r="P37" s="11">
        <v>813.19</v>
      </c>
      <c r="Q37" s="11">
        <v>1030.83</v>
      </c>
      <c r="R37" s="11">
        <v>1498.885590615</v>
      </c>
      <c r="S37" s="11">
        <v>1668.1746628820417</v>
      </c>
      <c r="T37" s="11">
        <v>1304.699355344</v>
      </c>
      <c r="U37" s="11">
        <v>1484.197287944</v>
      </c>
      <c r="V37" s="11"/>
    </row>
    <row r="38" spans="1:22">
      <c r="A38" s="10"/>
    </row>
  </sheetData>
  <phoneticPr fontId="6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08237-80E6-D243-8849-176F90CB1CCC}">
  <dimension ref="A1:S38"/>
  <sheetViews>
    <sheetView workbookViewId="0">
      <selection sqref="A1:A1048576"/>
    </sheetView>
  </sheetViews>
  <sheetFormatPr baseColWidth="10" defaultRowHeight="16"/>
  <cols>
    <col min="1" max="1" width="19" customWidth="1"/>
  </cols>
  <sheetData>
    <row r="1" spans="1:19" ht="17">
      <c r="A1" s="23" t="s">
        <v>6</v>
      </c>
      <c r="B1" s="23">
        <v>1997</v>
      </c>
      <c r="C1" s="23">
        <v>1998</v>
      </c>
      <c r="D1" s="23">
        <v>1999</v>
      </c>
      <c r="E1" s="23">
        <v>2000</v>
      </c>
      <c r="F1" s="23">
        <v>2001</v>
      </c>
      <c r="G1" s="23">
        <v>2002</v>
      </c>
      <c r="H1" s="23">
        <v>2003</v>
      </c>
      <c r="I1" s="23">
        <v>2004</v>
      </c>
      <c r="J1" s="23">
        <v>2005</v>
      </c>
      <c r="K1" s="23">
        <v>2006</v>
      </c>
      <c r="L1" s="23">
        <v>2007</v>
      </c>
      <c r="M1" s="23">
        <v>2008</v>
      </c>
      <c r="N1" s="23">
        <v>2009</v>
      </c>
      <c r="O1" s="23">
        <v>2010</v>
      </c>
      <c r="P1" s="23">
        <v>2011</v>
      </c>
      <c r="Q1" s="23">
        <v>2012</v>
      </c>
      <c r="R1" s="23">
        <v>2013</v>
      </c>
      <c r="S1" s="23">
        <v>2014</v>
      </c>
    </row>
    <row r="2" spans="1:19">
      <c r="A2" s="16" t="s">
        <v>9</v>
      </c>
      <c r="B2" s="11">
        <v>157.81844439983942</v>
      </c>
      <c r="C2" s="11">
        <v>206.40481006828333</v>
      </c>
      <c r="D2" s="11">
        <v>266.7893020015872</v>
      </c>
      <c r="E2" s="11">
        <v>280.92349842951495</v>
      </c>
      <c r="F2" s="11">
        <v>335.96343111695569</v>
      </c>
      <c r="G2" s="11">
        <v>343.04761271445676</v>
      </c>
      <c r="H2" s="11">
        <v>380.33733598749967</v>
      </c>
      <c r="I2" s="11">
        <v>402.48946068938812</v>
      </c>
      <c r="J2" s="11">
        <v>414.91262551710315</v>
      </c>
      <c r="K2" s="11">
        <v>429.39973151126742</v>
      </c>
      <c r="L2" s="11">
        <v>417.91194438592794</v>
      </c>
      <c r="M2" s="11">
        <v>404.6472280712087</v>
      </c>
      <c r="N2" s="11">
        <v>421.19065971373476</v>
      </c>
      <c r="O2" s="11">
        <v>386.24622398073285</v>
      </c>
      <c r="P2" s="11">
        <v>406.5176336850746</v>
      </c>
      <c r="Q2" s="11">
        <v>464.60583919350876</v>
      </c>
      <c r="R2" s="11">
        <v>533.76840031832683</v>
      </c>
      <c r="S2" s="11">
        <v>437.88002158987257</v>
      </c>
    </row>
    <row r="3" spans="1:19">
      <c r="A3" s="11" t="s">
        <v>10</v>
      </c>
      <c r="B3" s="11">
        <v>90.199380213212024</v>
      </c>
      <c r="C3" s="11">
        <v>111.509591501632</v>
      </c>
      <c r="D3" s="11">
        <v>116.2060735384887</v>
      </c>
      <c r="E3" s="11">
        <v>136.28348258575403</v>
      </c>
      <c r="F3" s="11">
        <v>143.00176805098121</v>
      </c>
      <c r="G3" s="11">
        <v>147.7574677483708</v>
      </c>
      <c r="H3" s="11">
        <v>208.70695006314344</v>
      </c>
      <c r="I3" s="11">
        <v>203.97778369481023</v>
      </c>
      <c r="J3" s="11">
        <v>171.22303956408433</v>
      </c>
      <c r="K3" s="11">
        <v>160.5479863345054</v>
      </c>
      <c r="L3" s="11">
        <v>149.90267537392037</v>
      </c>
      <c r="M3" s="11">
        <v>148.63937684979311</v>
      </c>
      <c r="N3" s="11">
        <v>163.09954846682419</v>
      </c>
      <c r="O3" s="11">
        <v>187.84097343392887</v>
      </c>
      <c r="P3" s="11">
        <v>219.56083413438174</v>
      </c>
      <c r="Q3" s="11">
        <v>308.78332038357513</v>
      </c>
      <c r="R3" s="11">
        <v>300.95489269454623</v>
      </c>
      <c r="S3" s="11">
        <v>415.58154843719649</v>
      </c>
    </row>
    <row r="4" spans="1:19">
      <c r="A4" s="11" t="s">
        <v>11</v>
      </c>
      <c r="B4" s="11">
        <v>66.723482537133677</v>
      </c>
      <c r="C4" s="11">
        <v>71.837751056288667</v>
      </c>
      <c r="D4" s="11">
        <v>77.603761573053532</v>
      </c>
      <c r="E4" s="11">
        <v>75.729050778865357</v>
      </c>
      <c r="F4" s="11">
        <v>86.412642623051312</v>
      </c>
      <c r="G4" s="11">
        <v>86.118672695837219</v>
      </c>
      <c r="H4" s="11">
        <v>102.59316338106551</v>
      </c>
      <c r="I4" s="11">
        <v>98.822879550735863</v>
      </c>
      <c r="J4" s="11">
        <v>117.54990067975143</v>
      </c>
      <c r="K4" s="11">
        <v>135.01088584657074</v>
      </c>
      <c r="L4" s="11">
        <v>116.85780492942911</v>
      </c>
      <c r="M4" s="11">
        <v>114.55996348269107</v>
      </c>
      <c r="N4" s="11">
        <v>115.55991132295826</v>
      </c>
      <c r="O4" s="11">
        <v>120.31086358162739</v>
      </c>
      <c r="P4" s="11">
        <v>127.74301251795607</v>
      </c>
      <c r="Q4" s="11">
        <v>144.49656749446768</v>
      </c>
      <c r="R4" s="11">
        <v>160.02834528649217</v>
      </c>
      <c r="S4" s="11">
        <v>302.77993535144827</v>
      </c>
    </row>
    <row r="5" spans="1:19">
      <c r="A5" s="11" t="s">
        <v>12</v>
      </c>
      <c r="B5" s="11">
        <v>49.627941701235564</v>
      </c>
      <c r="C5" s="11">
        <v>55.471189451130385</v>
      </c>
      <c r="D5" s="11">
        <v>68.765713781853449</v>
      </c>
      <c r="E5" s="11">
        <v>78.441065793888797</v>
      </c>
      <c r="F5" s="11">
        <v>88.381731664470792</v>
      </c>
      <c r="G5" s="11">
        <v>96.931533448596895</v>
      </c>
      <c r="H5" s="11">
        <v>117.28076371497676</v>
      </c>
      <c r="I5" s="11">
        <v>127.18169054996127</v>
      </c>
      <c r="J5" s="11">
        <v>145.5057450841033</v>
      </c>
      <c r="K5" s="11">
        <v>172.85870011554161</v>
      </c>
      <c r="L5" s="11">
        <v>178.19254265852115</v>
      </c>
      <c r="M5" s="11">
        <v>174.38215952763093</v>
      </c>
      <c r="N5" s="11">
        <v>182.83463768706375</v>
      </c>
      <c r="O5" s="11">
        <v>170.73497087808113</v>
      </c>
      <c r="P5" s="11">
        <v>181.61054791709418</v>
      </c>
      <c r="Q5" s="11">
        <v>200.72326530612247</v>
      </c>
      <c r="R5" s="11">
        <v>201.53943814434012</v>
      </c>
      <c r="S5" s="11">
        <v>370.51773724712052</v>
      </c>
    </row>
    <row r="6" spans="1:19">
      <c r="A6" s="11" t="s">
        <v>13</v>
      </c>
      <c r="B6" s="11">
        <v>79.309319327356263</v>
      </c>
      <c r="C6" s="11">
        <v>90.302448587276473</v>
      </c>
      <c r="D6" s="11">
        <v>97.132996208447238</v>
      </c>
      <c r="E6" s="11">
        <v>134.75094470265546</v>
      </c>
      <c r="F6" s="11">
        <v>132.61333883977812</v>
      </c>
      <c r="G6" s="11">
        <v>126.02197100678282</v>
      </c>
      <c r="H6" s="11">
        <v>140.93495151865406</v>
      </c>
      <c r="I6" s="11">
        <v>158.03001549186678</v>
      </c>
      <c r="J6" s="11">
        <v>161.07147595356551</v>
      </c>
      <c r="K6" s="11">
        <v>202.71981164226995</v>
      </c>
      <c r="L6" s="11">
        <v>203.55255951127026</v>
      </c>
      <c r="M6" s="11">
        <v>182.94781853253426</v>
      </c>
      <c r="N6" s="11">
        <v>171.43214169314754</v>
      </c>
      <c r="O6" s="11">
        <v>152.04432675530214</v>
      </c>
      <c r="P6" s="11">
        <v>212.9995253113288</v>
      </c>
      <c r="Q6" s="11">
        <v>207.17220555692157</v>
      </c>
      <c r="R6" s="11">
        <v>222.68453343135235</v>
      </c>
      <c r="S6" s="11">
        <v>525.97371675329009</v>
      </c>
    </row>
    <row r="7" spans="1:19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</row>
    <row r="8" spans="1:19">
      <c r="A8" s="11" t="s">
        <v>14</v>
      </c>
      <c r="B8" s="11">
        <v>82.176240465676443</v>
      </c>
      <c r="C8" s="11">
        <v>87.444357916658319</v>
      </c>
      <c r="D8" s="11">
        <v>98.444448461335</v>
      </c>
      <c r="E8" s="11">
        <v>113.19922571033503</v>
      </c>
      <c r="F8" s="11">
        <v>117.47324203611203</v>
      </c>
      <c r="G8" s="11">
        <v>114.38579598350846</v>
      </c>
      <c r="H8" s="11">
        <v>120.47132858151929</v>
      </c>
      <c r="I8" s="11">
        <v>117.92719306738962</v>
      </c>
      <c r="J8" s="11">
        <v>196.2115038361307</v>
      </c>
      <c r="K8" s="11">
        <v>180.38756639485302</v>
      </c>
      <c r="L8" s="11">
        <v>174.25405519275333</v>
      </c>
      <c r="M8" s="11">
        <v>177.72597293596218</v>
      </c>
      <c r="N8" s="11">
        <v>192.00049023601946</v>
      </c>
      <c r="O8" s="11">
        <v>203.2810707527463</v>
      </c>
      <c r="P8" s="11">
        <v>222.76048473327788</v>
      </c>
      <c r="Q8" s="11">
        <v>224.34250897467422</v>
      </c>
      <c r="R8" s="11">
        <v>253.81519248996173</v>
      </c>
      <c r="S8" s="11">
        <v>404.82863350911214</v>
      </c>
    </row>
    <row r="9" spans="1:19">
      <c r="A9" s="11" t="s">
        <v>15</v>
      </c>
      <c r="B9" s="11">
        <v>81.980166376734019</v>
      </c>
      <c r="C9" s="11">
        <v>72.603212719517813</v>
      </c>
      <c r="D9" s="11">
        <v>79.069166916497664</v>
      </c>
      <c r="E9" s="11">
        <v>99.523356644326881</v>
      </c>
      <c r="F9" s="11">
        <v>109.00531169546848</v>
      </c>
      <c r="G9" s="11">
        <v>99.95035244048411</v>
      </c>
      <c r="H9" s="11">
        <v>121.95659153663389</v>
      </c>
      <c r="I9" s="11">
        <v>128.42644752130133</v>
      </c>
      <c r="J9" s="11">
        <v>135.92683377981888</v>
      </c>
      <c r="K9" s="11">
        <v>176.41965038278349</v>
      </c>
      <c r="L9" s="11">
        <v>163.20707815462396</v>
      </c>
      <c r="M9" s="11">
        <v>156.51795090777907</v>
      </c>
      <c r="N9" s="11">
        <v>165.24848040413917</v>
      </c>
      <c r="O9" s="11">
        <v>184.50916295986829</v>
      </c>
      <c r="P9" s="11">
        <v>185.01270804756606</v>
      </c>
      <c r="Q9" s="11">
        <v>244.37452962871896</v>
      </c>
      <c r="R9" s="11">
        <v>277.28747482730296</v>
      </c>
      <c r="S9" s="11">
        <v>415.89470421619427</v>
      </c>
    </row>
    <row r="10" spans="1:19">
      <c r="A10" s="11" t="s">
        <v>16</v>
      </c>
      <c r="B10" s="11">
        <v>58.128018421874309</v>
      </c>
      <c r="C10" s="11">
        <v>60.487992150423523</v>
      </c>
      <c r="D10" s="11">
        <v>65.281812362225551</v>
      </c>
      <c r="E10" s="11">
        <v>87.296801721402773</v>
      </c>
      <c r="F10" s="11">
        <v>100.27902299705892</v>
      </c>
      <c r="G10" s="11">
        <v>94.79091634525868</v>
      </c>
      <c r="H10" s="11">
        <v>103.52832894539694</v>
      </c>
      <c r="I10" s="11">
        <v>102.01595178156468</v>
      </c>
      <c r="J10" s="11">
        <v>144.20426256993423</v>
      </c>
      <c r="K10" s="11">
        <v>142.28539853536489</v>
      </c>
      <c r="L10" s="11">
        <v>149.99873604381713</v>
      </c>
      <c r="M10" s="11">
        <v>200.44558184736354</v>
      </c>
      <c r="N10" s="11">
        <v>217.69996197615362</v>
      </c>
      <c r="O10" s="11">
        <v>227.82269912265613</v>
      </c>
      <c r="P10" s="11">
        <v>188.21235864646223</v>
      </c>
      <c r="Q10" s="11">
        <v>208.78444061962136</v>
      </c>
      <c r="R10" s="11">
        <v>241.19617579333868</v>
      </c>
      <c r="S10" s="11">
        <v>392.76003110892856</v>
      </c>
    </row>
    <row r="11" spans="1:19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</row>
    <row r="12" spans="1:19">
      <c r="A12" s="11" t="s">
        <v>17</v>
      </c>
      <c r="B12" s="11">
        <v>219.42280342566573</v>
      </c>
      <c r="C12" s="11">
        <v>254.74454013896954</v>
      </c>
      <c r="D12" s="11">
        <v>270.53549387179265</v>
      </c>
      <c r="E12" s="11">
        <v>323.94340858793612</v>
      </c>
      <c r="F12" s="11">
        <v>417.57323570720962</v>
      </c>
      <c r="G12" s="11">
        <v>363.081593296981</v>
      </c>
      <c r="H12" s="11">
        <v>371.64579721312526</v>
      </c>
      <c r="I12" s="11">
        <v>435.98965917893111</v>
      </c>
      <c r="J12" s="11">
        <v>487.53534980773787</v>
      </c>
      <c r="K12" s="11">
        <v>467.95973583368664</v>
      </c>
      <c r="L12" s="11">
        <v>411.86012218243098</v>
      </c>
      <c r="M12" s="11">
        <v>391.7758367322898</v>
      </c>
      <c r="N12" s="11">
        <v>413.47204704092991</v>
      </c>
      <c r="O12" s="11">
        <v>405.38381828905653</v>
      </c>
      <c r="P12" s="11">
        <v>371.03796375301067</v>
      </c>
      <c r="Q12" s="11">
        <v>383.75225079911485</v>
      </c>
      <c r="R12" s="11">
        <v>386.50840386335767</v>
      </c>
      <c r="S12" s="11">
        <v>312.36136732189249</v>
      </c>
    </row>
    <row r="13" spans="1:19">
      <c r="A13" s="11" t="s">
        <v>18</v>
      </c>
      <c r="B13" s="11">
        <v>119.42501806503414</v>
      </c>
      <c r="C13" s="11">
        <v>132.18256332725926</v>
      </c>
      <c r="D13" s="11">
        <v>144.08298686182877</v>
      </c>
      <c r="E13" s="11">
        <v>155.84630506841589</v>
      </c>
      <c r="F13" s="11">
        <v>172.81738164327447</v>
      </c>
      <c r="G13" s="11">
        <v>179.5373985902381</v>
      </c>
      <c r="H13" s="11">
        <v>208.59693058498681</v>
      </c>
      <c r="I13" s="11">
        <v>202.0835883036406</v>
      </c>
      <c r="J13" s="11">
        <v>249.31199041422923</v>
      </c>
      <c r="K13" s="11">
        <v>276.78757720090113</v>
      </c>
      <c r="L13" s="11">
        <v>308.59490204339579</v>
      </c>
      <c r="M13" s="11">
        <v>326.6859894276501</v>
      </c>
      <c r="N13" s="11">
        <v>358.95934503924605</v>
      </c>
      <c r="O13" s="11">
        <v>368.97769408468702</v>
      </c>
      <c r="P13" s="11">
        <v>423.08291336796736</v>
      </c>
      <c r="Q13" s="11">
        <v>477.30219031226954</v>
      </c>
      <c r="R13" s="11">
        <v>410.02078516452167</v>
      </c>
      <c r="S13" s="11">
        <v>485.04620617515712</v>
      </c>
    </row>
    <row r="14" spans="1:19">
      <c r="A14" s="11" t="s">
        <v>19</v>
      </c>
      <c r="B14" s="11">
        <v>123.77574311967528</v>
      </c>
      <c r="C14" s="11">
        <v>138.32828430685436</v>
      </c>
      <c r="D14" s="11">
        <v>164.49602627634249</v>
      </c>
      <c r="E14" s="11">
        <v>190.03121059680876</v>
      </c>
      <c r="F14" s="11">
        <v>227.61801692715829</v>
      </c>
      <c r="G14" s="11">
        <v>241.28596887884032</v>
      </c>
      <c r="H14" s="11">
        <v>292.15672424495386</v>
      </c>
      <c r="I14" s="11">
        <v>323.63681254841208</v>
      </c>
      <c r="J14" s="11">
        <v>376.38874309769835</v>
      </c>
      <c r="K14" s="11">
        <v>372.22104436298355</v>
      </c>
      <c r="L14" s="11">
        <v>360.56372445755215</v>
      </c>
      <c r="M14" s="11">
        <v>342.16830356485502</v>
      </c>
      <c r="N14" s="11">
        <v>369.83557198728914</v>
      </c>
      <c r="O14" s="11">
        <v>340.98235973556808</v>
      </c>
      <c r="P14" s="11">
        <v>342.68662933241166</v>
      </c>
      <c r="Q14" s="11">
        <v>363.63961839193513</v>
      </c>
      <c r="R14" s="11">
        <v>420.32219994348907</v>
      </c>
      <c r="S14" s="11">
        <v>540.84566841525304</v>
      </c>
    </row>
    <row r="15" spans="1:19">
      <c r="A15" s="11" t="s">
        <v>20</v>
      </c>
      <c r="B15" s="11">
        <v>68.111899058834027</v>
      </c>
      <c r="C15" s="11">
        <v>77.052802819439705</v>
      </c>
      <c r="D15" s="11">
        <v>83.436873115245589</v>
      </c>
      <c r="E15" s="11">
        <v>84.278131203284886</v>
      </c>
      <c r="F15" s="11">
        <v>93.379677731510341</v>
      </c>
      <c r="G15" s="11">
        <v>87.38108791062642</v>
      </c>
      <c r="H15" s="11">
        <v>101.54797833857744</v>
      </c>
      <c r="I15" s="11">
        <v>108.23973663826492</v>
      </c>
      <c r="J15" s="11">
        <v>133.68828385544805</v>
      </c>
      <c r="K15" s="11">
        <v>147.88117752674498</v>
      </c>
      <c r="L15" s="11">
        <v>136.0219085738361</v>
      </c>
      <c r="M15" s="11">
        <v>135.03509490082899</v>
      </c>
      <c r="N15" s="11">
        <v>136.87380768081698</v>
      </c>
      <c r="O15" s="11">
        <v>147.85924774520163</v>
      </c>
      <c r="P15" s="11">
        <v>152.36817155756208</v>
      </c>
      <c r="Q15" s="11">
        <v>155.54037767396116</v>
      </c>
      <c r="R15" s="11">
        <v>151.06205635080823</v>
      </c>
      <c r="S15" s="11">
        <v>293.35690692315183</v>
      </c>
    </row>
    <row r="16" spans="1:19">
      <c r="A16" s="11" t="s">
        <v>21</v>
      </c>
      <c r="B16" s="11">
        <v>103.81858044515813</v>
      </c>
      <c r="C16" s="11">
        <v>117.94167224013296</v>
      </c>
      <c r="D16" s="11">
        <v>124.02346935896307</v>
      </c>
      <c r="E16" s="11">
        <v>147.33831456289965</v>
      </c>
      <c r="F16" s="11">
        <v>162.10453701357153</v>
      </c>
      <c r="G16" s="11">
        <v>149.62364676153746</v>
      </c>
      <c r="H16" s="11">
        <v>163.21389584537337</v>
      </c>
      <c r="I16" s="11">
        <v>169.44930770720373</v>
      </c>
      <c r="J16" s="11">
        <v>185.59140652051101</v>
      </c>
      <c r="K16" s="11">
        <v>169.70471559312739</v>
      </c>
      <c r="L16" s="11">
        <v>171.13208342110806</v>
      </c>
      <c r="M16" s="11">
        <v>178.73369752477433</v>
      </c>
      <c r="N16" s="11">
        <v>184.93971387055595</v>
      </c>
      <c r="O16" s="11">
        <v>187.80034159887936</v>
      </c>
      <c r="P16" s="11">
        <v>205.22315929882163</v>
      </c>
      <c r="Q16" s="11">
        <v>228.05064961888368</v>
      </c>
      <c r="R16" s="11">
        <v>237.74001162832471</v>
      </c>
      <c r="S16" s="11">
        <v>375.40395436133969</v>
      </c>
    </row>
    <row r="17" spans="1:19">
      <c r="A17" s="11" t="s">
        <v>22</v>
      </c>
      <c r="B17" s="11">
        <v>74.354474106784423</v>
      </c>
      <c r="C17" s="11">
        <v>88.595303870722276</v>
      </c>
      <c r="D17" s="11">
        <v>97.902761661229178</v>
      </c>
      <c r="E17" s="11">
        <v>106.74602693749553</v>
      </c>
      <c r="F17" s="11">
        <v>121.6773728629058</v>
      </c>
      <c r="G17" s="11">
        <v>118.33770448197899</v>
      </c>
      <c r="H17" s="11">
        <v>123.11179605727862</v>
      </c>
      <c r="I17" s="11">
        <v>128.42644752130133</v>
      </c>
      <c r="J17" s="11">
        <v>143.83984746596687</v>
      </c>
      <c r="K17" s="11">
        <v>146.2533145474344</v>
      </c>
      <c r="L17" s="11">
        <v>121.42068674952601</v>
      </c>
      <c r="M17" s="11">
        <v>108.10136498166771</v>
      </c>
      <c r="N17" s="11">
        <v>111.74446074037861</v>
      </c>
      <c r="O17" s="11">
        <v>115.88199356122975</v>
      </c>
      <c r="P17" s="11">
        <v>129.36308877056172</v>
      </c>
      <c r="Q17" s="11">
        <v>138.12823899680353</v>
      </c>
      <c r="R17" s="11">
        <v>142.94431893903356</v>
      </c>
      <c r="S17" s="11">
        <v>284.10197313030324</v>
      </c>
    </row>
    <row r="18" spans="1:19">
      <c r="A18" s="11" t="s">
        <v>23</v>
      </c>
      <c r="B18" s="11">
        <v>79.171537535126461</v>
      </c>
      <c r="C18" s="11">
        <v>86.095162898736461</v>
      </c>
      <c r="D18" s="11">
        <v>103.82710466449169</v>
      </c>
      <c r="E18" s="11">
        <v>120.43876086131414</v>
      </c>
      <c r="F18" s="11">
        <v>139.07642420089169</v>
      </c>
      <c r="G18" s="11">
        <v>140.67696502194443</v>
      </c>
      <c r="H18" s="11">
        <v>160.24336993514416</v>
      </c>
      <c r="I18" s="11">
        <v>161.385447327653</v>
      </c>
      <c r="J18" s="11">
        <v>196.36768173783099</v>
      </c>
      <c r="K18" s="11">
        <v>207.95949560692588</v>
      </c>
      <c r="L18" s="11">
        <v>204.08089319570252</v>
      </c>
      <c r="M18" s="11">
        <v>191.147032232415</v>
      </c>
      <c r="N18" s="11">
        <v>175.42301529101823</v>
      </c>
      <c r="O18" s="11">
        <v>171.42571207392297</v>
      </c>
      <c r="P18" s="11">
        <v>195.50270178318769</v>
      </c>
      <c r="Q18" s="11">
        <v>201.93244160314728</v>
      </c>
      <c r="R18" s="11">
        <v>229.30476366497385</v>
      </c>
      <c r="S18" s="11">
        <v>319.80736531286124</v>
      </c>
    </row>
    <row r="19" spans="1:19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</row>
    <row r="20" spans="1:19">
      <c r="A20" s="11" t="s">
        <v>24</v>
      </c>
      <c r="B20" s="11">
        <v>54.725868013738349</v>
      </c>
      <c r="C20" s="11">
        <v>62.663224934420001</v>
      </c>
      <c r="D20" s="11">
        <v>60.218466272815455</v>
      </c>
      <c r="E20" s="11">
        <v>77.102160287589015</v>
      </c>
      <c r="F20" s="11">
        <v>82.364879541453718</v>
      </c>
      <c r="G20" s="11">
        <v>73.274970075807957</v>
      </c>
      <c r="H20" s="11">
        <v>88.510670177015768</v>
      </c>
      <c r="I20" s="11">
        <v>90.921378776142532</v>
      </c>
      <c r="J20" s="11">
        <v>92.509377107138306</v>
      </c>
      <c r="K20" s="11">
        <v>101.02924615346252</v>
      </c>
      <c r="L20" s="11">
        <v>102.01643143037708</v>
      </c>
      <c r="M20" s="11">
        <v>98.207341746057452</v>
      </c>
      <c r="N20" s="11">
        <v>102.62246394524566</v>
      </c>
      <c r="O20" s="11">
        <v>101.78274679904646</v>
      </c>
      <c r="P20" s="11">
        <v>112.67630336872347</v>
      </c>
      <c r="Q20" s="11">
        <v>138.571603639046</v>
      </c>
      <c r="R20" s="11">
        <v>163.68642411458626</v>
      </c>
      <c r="S20" s="11">
        <v>302.41953212229896</v>
      </c>
    </row>
    <row r="21" spans="1:19">
      <c r="A21" s="11" t="s">
        <v>25</v>
      </c>
      <c r="B21" s="11">
        <v>103.44762946607788</v>
      </c>
      <c r="C21" s="11">
        <v>113.3929576082821</v>
      </c>
      <c r="D21" s="11">
        <v>121.38345895423684</v>
      </c>
      <c r="E21" s="11">
        <v>121.60623103035755</v>
      </c>
      <c r="F21" s="11">
        <v>132.58850528894186</v>
      </c>
      <c r="G21" s="11">
        <v>127.77837478388085</v>
      </c>
      <c r="H21" s="11">
        <v>123.16680579635694</v>
      </c>
      <c r="I21" s="11">
        <v>132.97251646010844</v>
      </c>
      <c r="J21" s="11">
        <v>141.54923824102929</v>
      </c>
      <c r="K21" s="11">
        <v>148.69510901640027</v>
      </c>
      <c r="L21" s="11">
        <v>136.4541815883716</v>
      </c>
      <c r="M21" s="11">
        <v>122.34692621442139</v>
      </c>
      <c r="N21" s="11">
        <v>123.54165851869958</v>
      </c>
      <c r="O21" s="11">
        <v>117.06031677766583</v>
      </c>
      <c r="P21" s="11">
        <v>138.47601769146854</v>
      </c>
      <c r="Q21" s="11">
        <v>159.04698893533319</v>
      </c>
      <c r="R21" s="11">
        <v>163.39844053152899</v>
      </c>
      <c r="S21" s="11">
        <v>403.12491407591511</v>
      </c>
    </row>
    <row r="22" spans="1:19">
      <c r="A22" s="11" t="s">
        <v>26</v>
      </c>
      <c r="B22" s="11">
        <v>99.420161693206666</v>
      </c>
      <c r="C22" s="11">
        <v>113.77293498067642</v>
      </c>
      <c r="D22" s="11">
        <v>116.69644264174237</v>
      </c>
      <c r="E22" s="11">
        <v>128.91373729734701</v>
      </c>
      <c r="F22" s="11">
        <v>145.48996833596402</v>
      </c>
      <c r="G22" s="11">
        <v>136.45061843330231</v>
      </c>
      <c r="H22" s="11">
        <v>148.80134420685374</v>
      </c>
      <c r="I22" s="11">
        <v>151.53563129357087</v>
      </c>
      <c r="J22" s="11">
        <v>171.4312767663514</v>
      </c>
      <c r="K22" s="11">
        <v>173.82524375950726</v>
      </c>
      <c r="L22" s="11">
        <v>141.16115441331365</v>
      </c>
      <c r="M22" s="11">
        <v>127.66038313724911</v>
      </c>
      <c r="N22" s="11">
        <v>127.62024362421576</v>
      </c>
      <c r="O22" s="11">
        <v>128.35596692143224</v>
      </c>
      <c r="P22" s="11">
        <v>140.37960728828023</v>
      </c>
      <c r="Q22" s="11">
        <v>161.30411802311286</v>
      </c>
      <c r="R22" s="11">
        <v>170.98089318381122</v>
      </c>
      <c r="S22" s="11">
        <v>443.7995013930078</v>
      </c>
    </row>
    <row r="23" spans="1:19">
      <c r="A23" s="11" t="s">
        <v>27</v>
      </c>
      <c r="B23" s="11">
        <v>166.78485949417907</v>
      </c>
      <c r="C23" s="11">
        <v>175.213624021306</v>
      </c>
      <c r="D23" s="11">
        <v>180.91768926902392</v>
      </c>
      <c r="E23" s="11">
        <v>181.61526911575726</v>
      </c>
      <c r="F23" s="11">
        <v>180.06246865451058</v>
      </c>
      <c r="G23" s="11">
        <v>165.98015693576275</v>
      </c>
      <c r="H23" s="11">
        <v>168.27479184057876</v>
      </c>
      <c r="I23" s="11">
        <v>170.09874612703331</v>
      </c>
      <c r="J23" s="11">
        <v>187.77789714431506</v>
      </c>
      <c r="K23" s="11">
        <v>154.34175872588381</v>
      </c>
      <c r="L23" s="11">
        <v>122.42932378344217</v>
      </c>
      <c r="M23" s="11">
        <v>125.00365467583524</v>
      </c>
      <c r="N23" s="11">
        <v>130.12002159211275</v>
      </c>
      <c r="O23" s="11">
        <v>132.66294143668134</v>
      </c>
      <c r="P23" s="11">
        <v>163.70870532580167</v>
      </c>
      <c r="Q23" s="11">
        <v>188.0672200639292</v>
      </c>
      <c r="R23" s="11">
        <v>274.82957153699817</v>
      </c>
      <c r="S23" s="11">
        <v>366.42194193177107</v>
      </c>
    </row>
    <row r="24" spans="1:19">
      <c r="A24" s="11" t="s">
        <v>28</v>
      </c>
      <c r="B24" s="11">
        <v>88.159149828270671</v>
      </c>
      <c r="C24" s="11">
        <v>95.880956967500367</v>
      </c>
      <c r="D24" s="11">
        <v>98.47866025923642</v>
      </c>
      <c r="E24" s="11">
        <v>108.20359073218913</v>
      </c>
      <c r="F24" s="11">
        <v>108.09388448707583</v>
      </c>
      <c r="G24" s="11">
        <v>95.065354435430251</v>
      </c>
      <c r="H24" s="11">
        <v>96.597101821528696</v>
      </c>
      <c r="I24" s="11">
        <v>96.766324554608843</v>
      </c>
      <c r="J24" s="11">
        <v>117.86225648315201</v>
      </c>
      <c r="K24" s="11">
        <v>100.82576328104869</v>
      </c>
      <c r="L24" s="11">
        <v>82.852327785970076</v>
      </c>
      <c r="M24" s="11">
        <v>79.106380221754293</v>
      </c>
      <c r="N24" s="11">
        <v>84.422326108802523</v>
      </c>
      <c r="O24" s="11">
        <v>74.193730800422699</v>
      </c>
      <c r="P24" s="11">
        <v>88.577669111214306</v>
      </c>
      <c r="Q24" s="11">
        <v>108.90647848537006</v>
      </c>
      <c r="R24" s="11">
        <v>110.7854935811098</v>
      </c>
      <c r="S24" s="11">
        <v>272.35725154483839</v>
      </c>
    </row>
    <row r="25" spans="1:19">
      <c r="A25" s="11" t="s">
        <v>29</v>
      </c>
      <c r="B25" s="11">
        <v>74.412766403497031</v>
      </c>
      <c r="C25" s="11">
        <v>86.348481146999347</v>
      </c>
      <c r="D25" s="11">
        <v>74.878221673573762</v>
      </c>
      <c r="E25" s="11">
        <v>101.04164091618615</v>
      </c>
      <c r="F25" s="11">
        <v>101.26692540344001</v>
      </c>
      <c r="G25" s="11">
        <v>85.954009841734276</v>
      </c>
      <c r="H25" s="11">
        <v>87.080416960979477</v>
      </c>
      <c r="I25" s="11">
        <v>88.973063516653767</v>
      </c>
      <c r="J25" s="11">
        <v>103.44183022615859</v>
      </c>
      <c r="K25" s="11">
        <v>121.32666267674124</v>
      </c>
      <c r="L25" s="11">
        <v>107.58795028439013</v>
      </c>
      <c r="M25" s="11">
        <v>132.149338123776</v>
      </c>
      <c r="N25" s="11">
        <v>126.26071525571035</v>
      </c>
      <c r="O25" s="11">
        <v>129.20923545747218</v>
      </c>
      <c r="P25" s="11">
        <v>91.08878730275309</v>
      </c>
      <c r="Q25" s="11">
        <v>102.37692648143596</v>
      </c>
      <c r="R25" s="11">
        <v>142.15876743821823</v>
      </c>
      <c r="S25" s="11">
        <v>303.40979110078615</v>
      </c>
    </row>
    <row r="26" spans="1:19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</row>
    <row r="27" spans="1:19">
      <c r="A27" s="11" t="s">
        <v>30</v>
      </c>
      <c r="B27" s="11">
        <v>54.646378518221155</v>
      </c>
      <c r="C27" s="11">
        <v>60.664213540519434</v>
      </c>
      <c r="D27" s="11">
        <v>63.320335949210836</v>
      </c>
      <c r="E27" s="11">
        <v>89.528679032637157</v>
      </c>
      <c r="F27" s="11">
        <v>97.511494231936851</v>
      </c>
      <c r="G27" s="11">
        <v>89.247266923793063</v>
      </c>
      <c r="H27" s="11">
        <v>99.182559558209718</v>
      </c>
      <c r="I27" s="11">
        <v>107.48205848179705</v>
      </c>
      <c r="J27" s="11">
        <v>129.99207351520784</v>
      </c>
      <c r="K27" s="11">
        <v>96.50175224225498</v>
      </c>
      <c r="L27" s="11">
        <v>94.139456498841369</v>
      </c>
      <c r="M27" s="11">
        <v>97.016394504733995</v>
      </c>
      <c r="N27" s="11">
        <v>104.11355957521931</v>
      </c>
      <c r="O27" s="11">
        <v>97.110085768351723</v>
      </c>
      <c r="P27" s="11">
        <v>135.60038234309351</v>
      </c>
      <c r="Q27" s="11">
        <v>158.88576542906318</v>
      </c>
      <c r="R27" s="11">
        <v>177.7896492892605</v>
      </c>
      <c r="S27" s="11">
        <v>321.27514227576529</v>
      </c>
    </row>
    <row r="28" spans="1:19">
      <c r="A28" s="11" t="s">
        <v>31</v>
      </c>
      <c r="B28" s="11">
        <v>60.067562112493867</v>
      </c>
      <c r="C28" s="11">
        <v>75.604483269588897</v>
      </c>
      <c r="D28" s="11">
        <v>80.352109337800897</v>
      </c>
      <c r="E28" s="11">
        <v>92.4384424289875</v>
      </c>
      <c r="F28" s="11">
        <v>102.70023305410837</v>
      </c>
      <c r="G28" s="11">
        <v>95.888668705944937</v>
      </c>
      <c r="H28" s="11">
        <v>111.28470215543997</v>
      </c>
      <c r="I28" s="11">
        <v>113.48936386522075</v>
      </c>
      <c r="J28" s="11">
        <v>117.23754487635085</v>
      </c>
      <c r="K28" s="11">
        <v>100.0118317913934</v>
      </c>
      <c r="L28" s="11">
        <v>85.109753528544331</v>
      </c>
      <c r="M28" s="11">
        <v>79.381214200521256</v>
      </c>
      <c r="N28" s="11">
        <v>90.649843151633661</v>
      </c>
      <c r="O28" s="11">
        <v>88.821191418249725</v>
      </c>
      <c r="P28" s="11">
        <v>112.02827286768121</v>
      </c>
      <c r="Q28" s="11">
        <v>132.7272515367593</v>
      </c>
      <c r="R28" s="11">
        <v>154.72082112087679</v>
      </c>
      <c r="S28" s="11">
        <v>239.34436377596302</v>
      </c>
    </row>
    <row r="29" spans="1:19">
      <c r="A29" s="11" t="s">
        <v>32</v>
      </c>
      <c r="B29" s="11">
        <v>36.496277041794919</v>
      </c>
      <c r="C29" s="11">
        <v>40.883362502252773</v>
      </c>
      <c r="D29" s="11">
        <v>47.788179701966307</v>
      </c>
      <c r="E29" s="11">
        <v>56.352887621078324</v>
      </c>
      <c r="F29" s="11">
        <v>61.132289356970027</v>
      </c>
      <c r="G29" s="11">
        <v>59.607953185264023</v>
      </c>
      <c r="H29" s="11">
        <v>70.467475759327016</v>
      </c>
      <c r="I29" s="11">
        <v>75.876055383423761</v>
      </c>
      <c r="J29" s="11">
        <v>83.763414611922158</v>
      </c>
      <c r="K29" s="11">
        <v>70.252461700871905</v>
      </c>
      <c r="L29" s="11">
        <v>70.748683378976267</v>
      </c>
      <c r="M29" s="11">
        <v>55.928714679074695</v>
      </c>
      <c r="N29" s="11">
        <v>66.485322795295971</v>
      </c>
      <c r="O29" s="11">
        <v>75.656476862205309</v>
      </c>
      <c r="P29" s="11">
        <v>74.118488556708769</v>
      </c>
      <c r="Q29" s="11">
        <v>91.252504548807551</v>
      </c>
      <c r="R29" s="11">
        <v>120.87136825687102</v>
      </c>
      <c r="S29" s="11">
        <v>297.83997732630763</v>
      </c>
    </row>
    <row r="30" spans="1:19">
      <c r="A30" s="11" t="s">
        <v>33</v>
      </c>
      <c r="B30" s="11">
        <v>43.072707970917534</v>
      </c>
      <c r="C30" s="11">
        <v>52.679181801798222</v>
      </c>
      <c r="D30" s="11">
        <v>58.650425535667033</v>
      </c>
      <c r="E30" s="11">
        <v>61.494230536390141</v>
      </c>
      <c r="F30" s="11">
        <v>62.752180814098786</v>
      </c>
      <c r="G30" s="11">
        <v>62.571884559116938</v>
      </c>
      <c r="H30" s="11">
        <v>72.337806887989871</v>
      </c>
      <c r="I30" s="11">
        <v>77.499651432997737</v>
      </c>
      <c r="J30" s="11">
        <v>95.060282834909785</v>
      </c>
      <c r="K30" s="11">
        <v>90.499007506047164</v>
      </c>
      <c r="L30" s="11">
        <v>87.2711186012219</v>
      </c>
      <c r="M30" s="11">
        <v>77.228348033513456</v>
      </c>
      <c r="N30" s="11">
        <v>77.931674543034916</v>
      </c>
      <c r="O30" s="11">
        <v>83.904739377257769</v>
      </c>
      <c r="P30" s="11">
        <v>97.650096125805916</v>
      </c>
      <c r="Q30" s="11">
        <v>116.56459503319408</v>
      </c>
      <c r="R30" s="11">
        <v>96.709164158297781</v>
      </c>
      <c r="S30" s="11">
        <v>265.31621500204443</v>
      </c>
    </row>
    <row r="31" spans="1:19">
      <c r="A31" s="11" t="s">
        <v>34</v>
      </c>
      <c r="B31" s="11">
        <v>4.4408131495606424</v>
      </c>
      <c r="C31" s="11">
        <v>4.526686958088872</v>
      </c>
      <c r="D31" s="11">
        <v>4.4361297945507436</v>
      </c>
      <c r="E31" s="11">
        <v>6.4366114652898059</v>
      </c>
      <c r="F31" s="11">
        <v>6.9805052249527408</v>
      </c>
      <c r="G31" s="11">
        <v>15.642971139779235</v>
      </c>
      <c r="H31" s="11">
        <v>17.713135983218816</v>
      </c>
      <c r="I31" s="11">
        <v>20.457310224632085</v>
      </c>
      <c r="J31" s="11">
        <v>14.680722759827251</v>
      </c>
      <c r="K31" s="11">
        <v>32.70987174052182</v>
      </c>
      <c r="L31" s="11">
        <v>31.41183905624608</v>
      </c>
      <c r="M31" s="11">
        <v>28.536928128635161</v>
      </c>
      <c r="N31" s="11">
        <v>26.795865585703062</v>
      </c>
      <c r="O31" s="11">
        <v>20.762867710304466</v>
      </c>
      <c r="P31" s="11">
        <v>16.565279682892832</v>
      </c>
      <c r="Q31" s="11">
        <v>16.485103516105248</v>
      </c>
      <c r="R31" s="11">
        <v>25.508510915070904</v>
      </c>
      <c r="S31" s="11">
        <v>51.515171666669595</v>
      </c>
    </row>
    <row r="32" spans="1:19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</row>
    <row r="33" spans="1:19">
      <c r="A33" s="11" t="s">
        <v>35</v>
      </c>
      <c r="B33" s="11">
        <v>68.440455640305117</v>
      </c>
      <c r="C33" s="11">
        <v>84.156727607681418</v>
      </c>
      <c r="D33" s="11">
        <v>97.526431884313524</v>
      </c>
      <c r="E33" s="11">
        <v>105.33893511500493</v>
      </c>
      <c r="F33" s="11">
        <v>127.23822282775662</v>
      </c>
      <c r="G33" s="11">
        <v>124.97910626413092</v>
      </c>
      <c r="H33" s="11">
        <v>147.37109099081738</v>
      </c>
      <c r="I33" s="11">
        <v>140.06221920991493</v>
      </c>
      <c r="J33" s="11">
        <v>154.77230058498731</v>
      </c>
      <c r="K33" s="11">
        <v>150.62819630433145</v>
      </c>
      <c r="L33" s="11">
        <v>146.25236991784297</v>
      </c>
      <c r="M33" s="11">
        <v>161.23593420994507</v>
      </c>
      <c r="N33" s="11">
        <v>166.82728754175849</v>
      </c>
      <c r="O33" s="11">
        <v>161.55217615688954</v>
      </c>
      <c r="P33" s="11">
        <v>164.27573201421353</v>
      </c>
      <c r="Q33" s="11">
        <v>179.56268010818798</v>
      </c>
      <c r="R33" s="11">
        <v>186.00409817036532</v>
      </c>
      <c r="S33" s="11">
        <v>359.40263990494191</v>
      </c>
    </row>
    <row r="34" spans="1:19">
      <c r="A34" s="11" t="s">
        <v>36</v>
      </c>
      <c r="B34" s="11">
        <v>41.143762879700269</v>
      </c>
      <c r="C34" s="11">
        <v>49.66689741484614</v>
      </c>
      <c r="D34" s="11">
        <v>55.782336478264689</v>
      </c>
      <c r="E34" s="11">
        <v>83.355194677718856</v>
      </c>
      <c r="F34" s="11">
        <v>97.907669913002309</v>
      </c>
      <c r="G34" s="11">
        <v>90.345019284479363</v>
      </c>
      <c r="H34" s="11">
        <v>105.50867955221642</v>
      </c>
      <c r="I34" s="11">
        <v>109.64685321456244</v>
      </c>
      <c r="J34" s="11">
        <v>134.26093616168254</v>
      </c>
      <c r="K34" s="11">
        <v>116.18872014829215</v>
      </c>
      <c r="L34" s="11">
        <v>100.33536970718357</v>
      </c>
      <c r="M34" s="11">
        <v>100.72665321808785</v>
      </c>
      <c r="N34" s="11">
        <v>95.342408810668502</v>
      </c>
      <c r="O34" s="11">
        <v>96.703767417856412</v>
      </c>
      <c r="P34" s="11">
        <v>118.54907978441888</v>
      </c>
      <c r="Q34" s="11">
        <v>131.9211340054095</v>
      </c>
      <c r="R34" s="11">
        <v>146.9944719859042</v>
      </c>
      <c r="S34" s="11">
        <v>300.63554629618187</v>
      </c>
    </row>
    <row r="35" spans="1:19">
      <c r="A35" s="11" t="s">
        <v>37</v>
      </c>
      <c r="B35" s="11">
        <v>19.432532004103667</v>
      </c>
      <c r="C35" s="11">
        <v>23.922053705520749</v>
      </c>
      <c r="D35" s="11">
        <v>28.606765011903704</v>
      </c>
      <c r="E35" s="11">
        <v>45.990701241265832</v>
      </c>
      <c r="F35" s="11">
        <v>56.994372686591902</v>
      </c>
      <c r="G35" s="11">
        <v>59.223739859023837</v>
      </c>
      <c r="H35" s="11">
        <v>72.447826366146515</v>
      </c>
      <c r="I35" s="11">
        <v>58.50357765298223</v>
      </c>
      <c r="J35" s="11">
        <v>57.00493412060581</v>
      </c>
      <c r="K35" s="11">
        <v>60.383542388801565</v>
      </c>
      <c r="L35" s="11">
        <v>64.888982515272858</v>
      </c>
      <c r="M35" s="11">
        <v>68.204632397331878</v>
      </c>
      <c r="N35" s="11">
        <v>76.221300143947502</v>
      </c>
      <c r="O35" s="11">
        <v>80.6541925732962</v>
      </c>
      <c r="P35" s="11">
        <v>107.49205936038527</v>
      </c>
      <c r="Q35" s="11">
        <v>114.18654831571192</v>
      </c>
      <c r="R35" s="11">
        <v>108.33110777113441</v>
      </c>
      <c r="S35" s="11">
        <v>243.65751177174562</v>
      </c>
    </row>
    <row r="36" spans="1:19">
      <c r="A36" s="11" t="s">
        <v>38</v>
      </c>
      <c r="B36" s="11">
        <v>49.474262009902326</v>
      </c>
      <c r="C36" s="11">
        <v>52.761785578405693</v>
      </c>
      <c r="D36" s="11">
        <v>67.340222202627615</v>
      </c>
      <c r="E36" s="11">
        <v>83.997525271239269</v>
      </c>
      <c r="F36" s="11">
        <v>82.151243976737746</v>
      </c>
      <c r="G36" s="11">
        <v>81.343449926852017</v>
      </c>
      <c r="H36" s="11">
        <v>98.082364776643317</v>
      </c>
      <c r="I36" s="11">
        <v>117.49423412083667</v>
      </c>
      <c r="J36" s="11">
        <v>92.613495708271913</v>
      </c>
      <c r="K36" s="11">
        <v>85.920642876736181</v>
      </c>
      <c r="L36" s="11">
        <v>92.218243100905909</v>
      </c>
      <c r="M36" s="11">
        <v>88.22170718419153</v>
      </c>
      <c r="N36" s="11">
        <v>95.254697303022994</v>
      </c>
      <c r="O36" s="11">
        <v>97.963354304391515</v>
      </c>
      <c r="P36" s="11">
        <v>131.38818408631869</v>
      </c>
      <c r="Q36" s="11">
        <v>150.50214310302445</v>
      </c>
      <c r="R36" s="11">
        <v>176.34578110340104</v>
      </c>
      <c r="S36" s="11">
        <v>345.83859692529609</v>
      </c>
    </row>
    <row r="37" spans="1:19">
      <c r="A37" s="11" t="s">
        <v>39</v>
      </c>
      <c r="B37" s="11">
        <v>49.426568312592011</v>
      </c>
      <c r="C37" s="11">
        <v>56.258678788121543</v>
      </c>
      <c r="D37" s="11">
        <v>61.438687064632731</v>
      </c>
      <c r="E37" s="11">
        <v>61.404393308632812</v>
      </c>
      <c r="F37" s="11">
        <v>63.442847551321321</v>
      </c>
      <c r="G37" s="11">
        <v>58.125987498337579</v>
      </c>
      <c r="H37" s="11">
        <v>62.105995419422491</v>
      </c>
      <c r="I37" s="11">
        <v>68.678112896979144</v>
      </c>
      <c r="J37" s="11">
        <v>82.930465802853945</v>
      </c>
      <c r="K37" s="11">
        <v>79.867027422424982</v>
      </c>
      <c r="L37" s="11">
        <v>79.874447019170077</v>
      </c>
      <c r="M37" s="11">
        <v>77.41157068602476</v>
      </c>
      <c r="N37" s="11">
        <v>69.335946793775022</v>
      </c>
      <c r="O37" s="11">
        <v>69.155383254282185</v>
      </c>
      <c r="P37" s="11">
        <v>93.03287880587979</v>
      </c>
      <c r="Q37" s="11">
        <v>105.48047897713309</v>
      </c>
      <c r="R37" s="11">
        <v>115.07542294543552</v>
      </c>
      <c r="S37" s="11">
        <v>239.71714816644644</v>
      </c>
    </row>
    <row r="38" spans="1:19">
      <c r="A38" s="10"/>
    </row>
  </sheetData>
  <phoneticPr fontId="6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5C643-39F1-A941-B6BC-9121CE7EAC4A}">
  <dimension ref="A1:V40"/>
  <sheetViews>
    <sheetView workbookViewId="0">
      <selection sqref="A1:A1048576"/>
    </sheetView>
  </sheetViews>
  <sheetFormatPr baseColWidth="10" defaultRowHeight="16"/>
  <cols>
    <col min="1" max="1" width="19" customWidth="1"/>
  </cols>
  <sheetData>
    <row r="1" spans="1:22" ht="17">
      <c r="A1" s="23" t="s">
        <v>6</v>
      </c>
      <c r="B1" s="23">
        <v>1997</v>
      </c>
      <c r="C1" s="23">
        <v>1998</v>
      </c>
      <c r="D1" s="23">
        <v>1999</v>
      </c>
      <c r="E1" s="23">
        <v>2000</v>
      </c>
      <c r="F1" s="23">
        <v>2001</v>
      </c>
      <c r="G1" s="23">
        <v>2002</v>
      </c>
      <c r="H1" s="23">
        <v>2003</v>
      </c>
      <c r="I1" s="23">
        <v>2004</v>
      </c>
      <c r="J1" s="23">
        <v>2005</v>
      </c>
      <c r="K1" s="23">
        <v>2006</v>
      </c>
      <c r="L1" s="23">
        <v>2007</v>
      </c>
      <c r="M1" s="23">
        <v>2008</v>
      </c>
      <c r="N1" s="23">
        <v>2009</v>
      </c>
      <c r="O1" s="23">
        <v>2010</v>
      </c>
      <c r="P1" s="23">
        <v>2011</v>
      </c>
      <c r="Q1" s="23">
        <v>2012</v>
      </c>
      <c r="R1" s="23">
        <v>2013</v>
      </c>
      <c r="S1" s="23">
        <v>2014</v>
      </c>
    </row>
    <row r="2" spans="1:22">
      <c r="A2" s="16" t="s">
        <v>9</v>
      </c>
      <c r="B2" s="10">
        <v>163.13</v>
      </c>
      <c r="C2" s="29">
        <v>170.96</v>
      </c>
      <c r="D2" s="14">
        <v>228.91</v>
      </c>
      <c r="E2" s="14">
        <v>249.0022615906521</v>
      </c>
      <c r="F2" s="14">
        <v>274.52136105860114</v>
      </c>
      <c r="G2" s="10">
        <v>337.9</v>
      </c>
      <c r="H2" s="10">
        <v>356.3</v>
      </c>
      <c r="I2" s="10">
        <v>507.6</v>
      </c>
      <c r="J2" s="10">
        <v>504.2</v>
      </c>
      <c r="K2" s="10">
        <v>575.79999999999995</v>
      </c>
      <c r="L2" s="10">
        <v>629.6</v>
      </c>
      <c r="M2" s="10">
        <v>709.4</v>
      </c>
      <c r="N2" s="10">
        <v>867.9</v>
      </c>
      <c r="O2" s="10">
        <v>840.6</v>
      </c>
      <c r="P2" s="10">
        <v>1035.2</v>
      </c>
      <c r="Q2" s="10">
        <v>1125.2</v>
      </c>
      <c r="R2" s="28">
        <v>1167.0594163367614</v>
      </c>
      <c r="S2" s="28">
        <v>1088.6443338921158</v>
      </c>
      <c r="T2" s="10"/>
      <c r="U2" s="10"/>
      <c r="V2" s="10"/>
    </row>
    <row r="3" spans="1:22">
      <c r="A3" s="11" t="s">
        <v>10</v>
      </c>
      <c r="B3" s="10">
        <v>74.63</v>
      </c>
      <c r="C3" s="29">
        <v>107.19</v>
      </c>
      <c r="D3" s="14">
        <v>118.69</v>
      </c>
      <c r="E3" s="14">
        <v>270.89828269484809</v>
      </c>
      <c r="F3" s="14">
        <v>137.11205737337517</v>
      </c>
      <c r="G3" s="10">
        <v>188.7</v>
      </c>
      <c r="H3" s="10">
        <v>167.7</v>
      </c>
      <c r="I3" s="10">
        <v>177.1</v>
      </c>
      <c r="J3" s="10">
        <v>179.2</v>
      </c>
      <c r="K3" s="10">
        <v>263.2</v>
      </c>
      <c r="L3" s="10">
        <v>306.2</v>
      </c>
      <c r="M3" s="10">
        <v>301.10000000000002</v>
      </c>
      <c r="N3" s="10">
        <v>299.8</v>
      </c>
      <c r="O3" s="10">
        <v>360.5</v>
      </c>
      <c r="P3" s="10">
        <v>571.70000000000005</v>
      </c>
      <c r="Q3" s="10">
        <v>760.4</v>
      </c>
      <c r="R3" s="28">
        <v>732.58278336185401</v>
      </c>
      <c r="S3" s="28">
        <v>979.68219684999929</v>
      </c>
      <c r="T3" s="10"/>
      <c r="U3" s="10"/>
      <c r="V3" s="10"/>
    </row>
    <row r="4" spans="1:22">
      <c r="A4" s="11" t="s">
        <v>11</v>
      </c>
      <c r="B4" s="10">
        <v>61.35</v>
      </c>
      <c r="C4" s="29">
        <v>64.459999999999994</v>
      </c>
      <c r="D4" s="14">
        <v>68.72</v>
      </c>
      <c r="E4" s="14">
        <v>78.284704928476287</v>
      </c>
      <c r="F4" s="14">
        <v>81.331061629751488</v>
      </c>
      <c r="G4" s="10">
        <v>99.1</v>
      </c>
      <c r="H4" s="10">
        <v>101.6</v>
      </c>
      <c r="I4" s="10">
        <v>116</v>
      </c>
      <c r="J4" s="10">
        <v>134.80000000000001</v>
      </c>
      <c r="K4" s="10">
        <v>166.3</v>
      </c>
      <c r="L4" s="10">
        <v>188.1</v>
      </c>
      <c r="M4" s="10">
        <v>219.3</v>
      </c>
      <c r="N4" s="10">
        <v>289.3</v>
      </c>
      <c r="O4" s="10">
        <v>344.3</v>
      </c>
      <c r="P4" s="10">
        <v>434.7</v>
      </c>
      <c r="Q4" s="10">
        <v>543.70000000000005</v>
      </c>
      <c r="R4" s="28">
        <v>696.02496925960179</v>
      </c>
      <c r="S4" s="28">
        <v>788.70566667675814</v>
      </c>
      <c r="T4" s="10"/>
      <c r="U4" s="10"/>
      <c r="V4" s="10"/>
    </row>
    <row r="5" spans="1:22">
      <c r="A5" s="11" t="s">
        <v>12</v>
      </c>
      <c r="B5" s="10">
        <v>46.44</v>
      </c>
      <c r="C5" s="29">
        <v>47.43</v>
      </c>
      <c r="D5" s="14">
        <v>58.3</v>
      </c>
      <c r="E5" s="14">
        <v>60.346786922209695</v>
      </c>
      <c r="F5" s="14">
        <v>59.146579430670343</v>
      </c>
      <c r="G5" s="10">
        <v>64.400000000000006</v>
      </c>
      <c r="H5" s="10">
        <v>81.2</v>
      </c>
      <c r="I5" s="10">
        <v>84.2</v>
      </c>
      <c r="J5" s="10">
        <v>102.9</v>
      </c>
      <c r="K5" s="10">
        <v>142.69999999999999</v>
      </c>
      <c r="L5" s="10">
        <v>170.9</v>
      </c>
      <c r="M5" s="10">
        <v>210.3</v>
      </c>
      <c r="N5" s="10">
        <v>240.9</v>
      </c>
      <c r="O5" s="10">
        <v>328.9</v>
      </c>
      <c r="P5" s="10">
        <v>349.3</v>
      </c>
      <c r="Q5" s="10">
        <v>490.2</v>
      </c>
      <c r="R5" s="28">
        <v>559.0316495637959</v>
      </c>
      <c r="S5" s="28">
        <v>770.21016719534339</v>
      </c>
      <c r="T5" s="10"/>
      <c r="U5" s="10"/>
      <c r="V5" s="10"/>
    </row>
    <row r="6" spans="1:22">
      <c r="A6" s="11" t="s">
        <v>13</v>
      </c>
      <c r="B6" s="10">
        <v>67.98</v>
      </c>
      <c r="C6" s="29">
        <v>73.91</v>
      </c>
      <c r="D6" s="14">
        <v>95.19</v>
      </c>
      <c r="E6" s="14">
        <v>104.46269907795474</v>
      </c>
      <c r="F6" s="14">
        <v>113.2018756763256</v>
      </c>
      <c r="G6" s="10">
        <v>116.8</v>
      </c>
      <c r="H6" s="10">
        <v>124.4</v>
      </c>
      <c r="I6" s="10">
        <v>154.5</v>
      </c>
      <c r="J6" s="10">
        <v>176.4</v>
      </c>
      <c r="K6" s="10">
        <v>232.8</v>
      </c>
      <c r="L6" s="10">
        <v>281.5</v>
      </c>
      <c r="M6" s="10">
        <v>320.60000000000002</v>
      </c>
      <c r="N6" s="10">
        <v>416.9</v>
      </c>
      <c r="O6" s="10">
        <v>468</v>
      </c>
      <c r="P6" s="10">
        <v>534.20000000000005</v>
      </c>
      <c r="Q6" s="10">
        <v>588.9</v>
      </c>
      <c r="R6" s="28">
        <v>831.19351350780425</v>
      </c>
      <c r="S6" s="28">
        <v>1114.392857065686</v>
      </c>
      <c r="T6" s="10"/>
      <c r="U6" s="10"/>
      <c r="V6" s="10"/>
    </row>
    <row r="7" spans="1:22">
      <c r="A7" s="11"/>
      <c r="B7" s="10"/>
      <c r="C7" s="29"/>
      <c r="D7" s="14"/>
      <c r="E7" s="14"/>
      <c r="F7" s="14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30"/>
      <c r="S7" s="30"/>
      <c r="T7" s="10"/>
      <c r="U7" s="10"/>
      <c r="V7" s="10"/>
    </row>
    <row r="8" spans="1:22">
      <c r="A8" s="11" t="s">
        <v>14</v>
      </c>
      <c r="B8" s="10">
        <v>73.48</v>
      </c>
      <c r="C8" s="29">
        <v>72.739999999999995</v>
      </c>
      <c r="D8" s="14">
        <v>81.12</v>
      </c>
      <c r="E8" s="14">
        <v>109.50602055800293</v>
      </c>
      <c r="F8" s="14">
        <v>100.5493965131873</v>
      </c>
      <c r="G8" s="10">
        <v>115.8</v>
      </c>
      <c r="H8" s="10">
        <v>132.6</v>
      </c>
      <c r="I8" s="10">
        <v>145.19999999999999</v>
      </c>
      <c r="J8" s="10">
        <v>233.5</v>
      </c>
      <c r="K8" s="10">
        <v>267.89999999999998</v>
      </c>
      <c r="L8" s="10">
        <v>265</v>
      </c>
      <c r="M8" s="10">
        <v>283.39999999999998</v>
      </c>
      <c r="N8" s="10">
        <v>409.6</v>
      </c>
      <c r="O8" s="10">
        <v>413.8</v>
      </c>
      <c r="P8" s="10">
        <v>482.9</v>
      </c>
      <c r="Q8" s="10">
        <v>548.79999999999995</v>
      </c>
      <c r="R8" s="28">
        <v>789.50389090160365</v>
      </c>
      <c r="S8" s="28">
        <v>1026.3794768757102</v>
      </c>
      <c r="T8" s="10"/>
      <c r="U8" s="10"/>
      <c r="V8" s="10"/>
    </row>
    <row r="9" spans="1:22">
      <c r="A9" s="11" t="s">
        <v>15</v>
      </c>
      <c r="B9" s="10">
        <v>75.900000000000006</v>
      </c>
      <c r="C9" s="29">
        <v>66.69</v>
      </c>
      <c r="D9" s="14">
        <v>66.489999999999995</v>
      </c>
      <c r="E9" s="14">
        <v>102.65266196279667</v>
      </c>
      <c r="F9" s="14">
        <v>120.50552486187846</v>
      </c>
      <c r="G9" s="10">
        <v>132.1</v>
      </c>
      <c r="H9" s="10">
        <v>153.80000000000001</v>
      </c>
      <c r="I9" s="10">
        <v>161.19999999999999</v>
      </c>
      <c r="J9" s="10">
        <v>193.6</v>
      </c>
      <c r="K9" s="10">
        <v>256.3</v>
      </c>
      <c r="L9" s="10">
        <v>311.39999999999998</v>
      </c>
      <c r="M9" s="10">
        <v>380.7</v>
      </c>
      <c r="N9" s="10">
        <v>511.5</v>
      </c>
      <c r="O9" s="10">
        <v>462.4</v>
      </c>
      <c r="P9" s="10">
        <v>673.6</v>
      </c>
      <c r="Q9" s="10">
        <v>840.5</v>
      </c>
      <c r="R9" s="28">
        <v>968.58114955844064</v>
      </c>
      <c r="S9" s="28">
        <v>1008.0453350035681</v>
      </c>
      <c r="T9" s="10"/>
      <c r="U9" s="10"/>
      <c r="V9" s="10"/>
    </row>
    <row r="10" spans="1:22">
      <c r="A10" s="11" t="s">
        <v>16</v>
      </c>
      <c r="B10" s="10">
        <v>82.56</v>
      </c>
      <c r="C10" s="29">
        <v>75.959999999999994</v>
      </c>
      <c r="D10" s="14">
        <v>71.5</v>
      </c>
      <c r="E10" s="14">
        <v>117.20301955850394</v>
      </c>
      <c r="F10" s="14">
        <v>126.54686226568867</v>
      </c>
      <c r="G10" s="10">
        <v>120.2</v>
      </c>
      <c r="H10" s="10">
        <v>135.19999999999999</v>
      </c>
      <c r="I10" s="10">
        <v>131</v>
      </c>
      <c r="J10" s="10">
        <v>253.5</v>
      </c>
      <c r="K10" s="10">
        <v>253.8</v>
      </c>
      <c r="L10" s="10">
        <v>272.5</v>
      </c>
      <c r="M10" s="10">
        <v>351.1</v>
      </c>
      <c r="N10" s="10">
        <v>434.3</v>
      </c>
      <c r="O10" s="10">
        <v>443.2</v>
      </c>
      <c r="P10" s="10">
        <v>573.6</v>
      </c>
      <c r="Q10" s="10">
        <v>727</v>
      </c>
      <c r="R10" s="28">
        <v>839.1605005265028</v>
      </c>
      <c r="S10" s="28">
        <v>992.06423427904349</v>
      </c>
      <c r="T10" s="10"/>
      <c r="U10" s="10"/>
      <c r="V10" s="10"/>
    </row>
    <row r="11" spans="1:22">
      <c r="A11" s="11"/>
      <c r="B11" s="10"/>
      <c r="C11" s="29"/>
      <c r="D11" s="14"/>
      <c r="E11" s="14"/>
      <c r="F11" s="14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30"/>
      <c r="S11" s="30"/>
      <c r="T11" s="10"/>
      <c r="U11" s="10"/>
      <c r="V11" s="10"/>
    </row>
    <row r="12" spans="1:22">
      <c r="A12" s="11" t="s">
        <v>17</v>
      </c>
      <c r="B12" s="10">
        <v>174.2</v>
      </c>
      <c r="C12" s="29">
        <v>169.85</v>
      </c>
      <c r="D12" s="14">
        <v>160</v>
      </c>
      <c r="E12" s="14">
        <v>208.91700201207243</v>
      </c>
      <c r="F12" s="14">
        <v>264.9473417721519</v>
      </c>
      <c r="G12" s="10">
        <v>280.2</v>
      </c>
      <c r="H12" s="10">
        <v>332.8</v>
      </c>
      <c r="I12" s="10">
        <v>424.5</v>
      </c>
      <c r="J12" s="10">
        <v>561.70000000000005</v>
      </c>
      <c r="K12" s="10">
        <v>549.4</v>
      </c>
      <c r="L12" s="10">
        <v>571.1</v>
      </c>
      <c r="M12" s="10">
        <v>697.1</v>
      </c>
      <c r="N12" s="10">
        <v>738.9</v>
      </c>
      <c r="O12" s="10">
        <v>584.5</v>
      </c>
      <c r="P12" s="10">
        <v>908.6</v>
      </c>
      <c r="Q12" s="10">
        <v>1029</v>
      </c>
      <c r="R12" s="28">
        <v>1990.9162642063084</v>
      </c>
      <c r="S12" s="28">
        <v>1330.332496826675</v>
      </c>
      <c r="T12" s="10"/>
      <c r="U12" s="10"/>
      <c r="V12" s="10"/>
    </row>
    <row r="13" spans="1:22">
      <c r="A13" s="11" t="s">
        <v>18</v>
      </c>
      <c r="B13" s="10">
        <v>80.86</v>
      </c>
      <c r="C13" s="29">
        <v>99.54</v>
      </c>
      <c r="D13" s="14">
        <v>107.78</v>
      </c>
      <c r="E13" s="14">
        <v>129.51750452364095</v>
      </c>
      <c r="F13" s="14">
        <v>146.98295589047581</v>
      </c>
      <c r="G13" s="10">
        <v>142.5</v>
      </c>
      <c r="H13" s="10">
        <v>142.1</v>
      </c>
      <c r="I13" s="10">
        <v>163.19999999999999</v>
      </c>
      <c r="J13" s="10">
        <v>198.6</v>
      </c>
      <c r="K13" s="10">
        <v>232.3</v>
      </c>
      <c r="L13" s="10">
        <v>263.89999999999998</v>
      </c>
      <c r="M13" s="10">
        <v>290.89999999999998</v>
      </c>
      <c r="N13" s="10">
        <v>323</v>
      </c>
      <c r="O13" s="10">
        <v>362.3</v>
      </c>
      <c r="P13" s="10">
        <v>645.6</v>
      </c>
      <c r="Q13" s="10">
        <v>724.2</v>
      </c>
      <c r="R13" s="28">
        <v>809.89590170391705</v>
      </c>
      <c r="S13" s="28">
        <v>845.32619660176135</v>
      </c>
      <c r="T13" s="10"/>
      <c r="U13" s="10"/>
      <c r="V13" s="10"/>
    </row>
    <row r="14" spans="1:22">
      <c r="A14" s="11" t="s">
        <v>19</v>
      </c>
      <c r="B14" s="10">
        <v>137.72999999999999</v>
      </c>
      <c r="C14" s="29">
        <v>157.91999999999999</v>
      </c>
      <c r="D14" s="14">
        <v>160.84</v>
      </c>
      <c r="E14" s="14">
        <v>200.05803707079914</v>
      </c>
      <c r="F14" s="14">
        <v>252.02760517469696</v>
      </c>
      <c r="G14" s="10">
        <v>266.5</v>
      </c>
      <c r="H14" s="10">
        <v>306.3</v>
      </c>
      <c r="I14" s="10">
        <v>326.10000000000002</v>
      </c>
      <c r="J14" s="10">
        <v>415.6</v>
      </c>
      <c r="K14" s="10">
        <v>459.4</v>
      </c>
      <c r="L14" s="10">
        <v>452.4</v>
      </c>
      <c r="M14" s="10">
        <v>532.1</v>
      </c>
      <c r="N14" s="10">
        <v>609.1</v>
      </c>
      <c r="O14" s="10">
        <v>709.3</v>
      </c>
      <c r="P14" s="10">
        <v>921.3</v>
      </c>
      <c r="Q14" s="10">
        <v>746.1</v>
      </c>
      <c r="R14" s="28">
        <v>943.9382580075287</v>
      </c>
      <c r="S14" s="28">
        <v>1068.327054871773</v>
      </c>
      <c r="T14" s="10"/>
      <c r="U14" s="10"/>
      <c r="V14" s="10"/>
    </row>
    <row r="15" spans="1:22">
      <c r="A15" s="11" t="s">
        <v>20</v>
      </c>
      <c r="B15" s="10">
        <v>43.5</v>
      </c>
      <c r="C15" s="29">
        <v>52.11</v>
      </c>
      <c r="D15" s="14">
        <v>51.65</v>
      </c>
      <c r="E15" s="14">
        <v>58.047104247104244</v>
      </c>
      <c r="F15" s="14">
        <v>68.883908491663433</v>
      </c>
      <c r="G15" s="10">
        <v>73</v>
      </c>
      <c r="H15" s="10">
        <v>87.1</v>
      </c>
      <c r="I15" s="10">
        <v>91.9</v>
      </c>
      <c r="J15" s="10">
        <v>133.69999999999999</v>
      </c>
      <c r="K15" s="10">
        <v>165</v>
      </c>
      <c r="L15" s="10">
        <v>177</v>
      </c>
      <c r="M15" s="10">
        <v>199.4</v>
      </c>
      <c r="N15" s="10">
        <v>227.1</v>
      </c>
      <c r="O15" s="10">
        <v>264.39999999999998</v>
      </c>
      <c r="P15" s="10">
        <v>440.5</v>
      </c>
      <c r="Q15" s="10">
        <v>510.1</v>
      </c>
      <c r="R15" s="28">
        <v>551.72223205343846</v>
      </c>
      <c r="S15" s="28">
        <v>778.83504104015174</v>
      </c>
      <c r="T15" s="10"/>
      <c r="U15" s="10"/>
      <c r="V15" s="10"/>
    </row>
    <row r="16" spans="1:22">
      <c r="A16" s="11" t="s">
        <v>21</v>
      </c>
      <c r="B16" s="10">
        <v>51.96</v>
      </c>
      <c r="C16" s="29">
        <v>65.459999999999994</v>
      </c>
      <c r="D16" s="14">
        <v>61.3</v>
      </c>
      <c r="E16" s="14">
        <v>87.379484522730223</v>
      </c>
      <c r="F16" s="14">
        <v>101.6352367137017</v>
      </c>
      <c r="G16" s="10">
        <v>118.7</v>
      </c>
      <c r="H16" s="10">
        <v>129</v>
      </c>
      <c r="I16" s="10">
        <v>136.4</v>
      </c>
      <c r="J16" s="10">
        <v>154</v>
      </c>
      <c r="K16" s="10">
        <v>162.30000000000001</v>
      </c>
      <c r="L16" s="10">
        <v>174.1</v>
      </c>
      <c r="M16" s="10">
        <v>197.9</v>
      </c>
      <c r="N16" s="10">
        <v>219</v>
      </c>
      <c r="O16" s="10">
        <v>251.4</v>
      </c>
      <c r="P16" s="10">
        <v>321.2</v>
      </c>
      <c r="Q16" s="10">
        <v>380.6</v>
      </c>
      <c r="R16" s="28">
        <v>481.68231706845364</v>
      </c>
      <c r="S16" s="28">
        <v>735.93590531679479</v>
      </c>
      <c r="T16" s="10"/>
      <c r="U16" s="10"/>
      <c r="V16" s="10"/>
    </row>
    <row r="17" spans="1:22">
      <c r="A17" s="11" t="s">
        <v>22</v>
      </c>
      <c r="B17" s="10">
        <v>59.21</v>
      </c>
      <c r="C17" s="29">
        <v>55.17</v>
      </c>
      <c r="D17" s="14">
        <v>61.14</v>
      </c>
      <c r="E17" s="14">
        <v>63.479764532744667</v>
      </c>
      <c r="F17" s="14">
        <v>72.423692930780561</v>
      </c>
      <c r="G17" s="10">
        <v>80.900000000000006</v>
      </c>
      <c r="H17" s="10">
        <v>92</v>
      </c>
      <c r="I17" s="10">
        <v>110.3</v>
      </c>
      <c r="J17" s="10">
        <v>154.69999999999999</v>
      </c>
      <c r="K17" s="10">
        <v>159.1</v>
      </c>
      <c r="L17" s="10">
        <v>167.7</v>
      </c>
      <c r="M17" s="10">
        <v>205.7</v>
      </c>
      <c r="N17" s="10">
        <v>232.8</v>
      </c>
      <c r="O17" s="10">
        <v>243.8</v>
      </c>
      <c r="P17" s="10">
        <v>346.7</v>
      </c>
      <c r="Q17" s="10">
        <v>380.4</v>
      </c>
      <c r="R17" s="28">
        <v>401.25930899293058</v>
      </c>
      <c r="S17" s="28">
        <v>525.2073491955141</v>
      </c>
      <c r="T17" s="10"/>
      <c r="U17" s="10"/>
      <c r="V17" s="10"/>
    </row>
    <row r="18" spans="1:22">
      <c r="A18" s="11" t="s">
        <v>23</v>
      </c>
      <c r="B18" s="10">
        <v>71.260000000000005</v>
      </c>
      <c r="C18" s="29">
        <v>84.64</v>
      </c>
      <c r="D18" s="14">
        <v>89.64</v>
      </c>
      <c r="E18" s="14">
        <v>118.6862671189848</v>
      </c>
      <c r="F18" s="14">
        <v>114.93956990619616</v>
      </c>
      <c r="G18" s="10">
        <v>127.6</v>
      </c>
      <c r="H18" s="10">
        <v>138.80000000000001</v>
      </c>
      <c r="I18" s="10">
        <v>155.9</v>
      </c>
      <c r="J18" s="10">
        <v>188.5</v>
      </c>
      <c r="K18" s="10">
        <v>221.8</v>
      </c>
      <c r="L18" s="10">
        <v>230.8</v>
      </c>
      <c r="M18" s="10">
        <v>280.5</v>
      </c>
      <c r="N18" s="10">
        <v>301.60000000000002</v>
      </c>
      <c r="O18" s="10">
        <v>383.9</v>
      </c>
      <c r="P18" s="10">
        <v>508.4</v>
      </c>
      <c r="Q18" s="10">
        <v>635.29999999999995</v>
      </c>
      <c r="R18" s="28">
        <v>738.82033360798187</v>
      </c>
      <c r="S18" s="28">
        <v>776.42399006775338</v>
      </c>
      <c r="T18" s="10"/>
      <c r="U18" s="10"/>
      <c r="V18" s="10"/>
    </row>
    <row r="19" spans="1:22">
      <c r="A19" s="11"/>
      <c r="B19" s="10"/>
      <c r="C19" s="29"/>
      <c r="D19" s="14"/>
      <c r="E19" s="14"/>
      <c r="F19" s="14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30"/>
      <c r="S19" s="30"/>
      <c r="T19" s="10"/>
      <c r="U19" s="10"/>
      <c r="V19" s="10"/>
    </row>
    <row r="20" spans="1:22">
      <c r="A20" s="11" t="s">
        <v>24</v>
      </c>
      <c r="B20" s="10">
        <v>48.99</v>
      </c>
      <c r="C20" s="29">
        <v>50.06</v>
      </c>
      <c r="D20" s="14">
        <v>50.24</v>
      </c>
      <c r="E20" s="14">
        <v>63.549953959484348</v>
      </c>
      <c r="F20" s="14">
        <v>68.095778379312335</v>
      </c>
      <c r="G20" s="10">
        <v>73.8</v>
      </c>
      <c r="H20" s="10">
        <v>91.4</v>
      </c>
      <c r="I20" s="10">
        <v>95.2</v>
      </c>
      <c r="J20" s="10">
        <v>123.4</v>
      </c>
      <c r="K20" s="10">
        <v>140.6</v>
      </c>
      <c r="L20" s="10">
        <v>173.2</v>
      </c>
      <c r="M20" s="10">
        <v>215</v>
      </c>
      <c r="N20" s="10">
        <v>242.9</v>
      </c>
      <c r="O20" s="10">
        <v>287.8</v>
      </c>
      <c r="P20" s="10">
        <v>399.7</v>
      </c>
      <c r="Q20" s="10">
        <v>468.8</v>
      </c>
      <c r="R20" s="28">
        <v>603.72862895397998</v>
      </c>
      <c r="S20" s="28">
        <v>731.37499152132534</v>
      </c>
      <c r="T20" s="10"/>
      <c r="U20" s="10"/>
      <c r="V20" s="10"/>
    </row>
    <row r="21" spans="1:22">
      <c r="A21" s="11" t="s">
        <v>25</v>
      </c>
      <c r="B21" s="10">
        <v>57.14</v>
      </c>
      <c r="C21" s="29">
        <v>57.91</v>
      </c>
      <c r="D21" s="14">
        <v>55.38</v>
      </c>
      <c r="E21" s="14">
        <v>69.670723611418452</v>
      </c>
      <c r="F21" s="14">
        <v>87.595922905856185</v>
      </c>
      <c r="G21" s="10">
        <v>90.5</v>
      </c>
      <c r="H21" s="10">
        <v>95.6</v>
      </c>
      <c r="I21" s="10">
        <v>110.7</v>
      </c>
      <c r="J21" s="10">
        <v>135.4</v>
      </c>
      <c r="K21" s="10">
        <v>172.4</v>
      </c>
      <c r="L21" s="10">
        <v>178.8</v>
      </c>
      <c r="M21" s="10">
        <v>210.4</v>
      </c>
      <c r="N21" s="10">
        <v>236.3</v>
      </c>
      <c r="O21" s="10">
        <v>295.2</v>
      </c>
      <c r="P21" s="10">
        <v>438.2</v>
      </c>
      <c r="Q21" s="10">
        <v>591.9</v>
      </c>
      <c r="R21" s="28">
        <v>624.40271517283281</v>
      </c>
      <c r="S21" s="28">
        <v>907.32526337457705</v>
      </c>
      <c r="T21" s="10"/>
      <c r="U21" s="10"/>
      <c r="V21" s="10"/>
    </row>
    <row r="22" spans="1:22">
      <c r="A22" s="11" t="s">
        <v>26</v>
      </c>
      <c r="B22" s="10">
        <v>58.16</v>
      </c>
      <c r="C22" s="29">
        <v>61.69</v>
      </c>
      <c r="D22" s="14">
        <v>61.9</v>
      </c>
      <c r="E22" s="14">
        <v>82.230434190826188</v>
      </c>
      <c r="F22" s="14">
        <v>95.714383938393837</v>
      </c>
      <c r="G22" s="10">
        <v>102.8</v>
      </c>
      <c r="H22" s="10">
        <v>105.2</v>
      </c>
      <c r="I22" s="10">
        <v>124.1</v>
      </c>
      <c r="J22" s="10">
        <v>168.2</v>
      </c>
      <c r="K22" s="10">
        <v>196.5</v>
      </c>
      <c r="L22" s="10">
        <v>220</v>
      </c>
      <c r="M22" s="10">
        <v>244.2</v>
      </c>
      <c r="N22" s="10">
        <v>258.10000000000002</v>
      </c>
      <c r="O22" s="10">
        <v>293.60000000000002</v>
      </c>
      <c r="P22" s="10">
        <v>396.5</v>
      </c>
      <c r="Q22" s="10">
        <v>497.2</v>
      </c>
      <c r="R22" s="28">
        <v>638.33926058512998</v>
      </c>
      <c r="S22" s="28">
        <v>771.40896572895247</v>
      </c>
      <c r="T22" s="10"/>
      <c r="U22" s="10"/>
      <c r="V22" s="10"/>
    </row>
    <row r="23" spans="1:22">
      <c r="A23" s="11" t="s">
        <v>27</v>
      </c>
      <c r="B23" s="10">
        <v>100.45</v>
      </c>
      <c r="C23" s="29">
        <v>101.06</v>
      </c>
      <c r="D23" s="14">
        <v>98.68</v>
      </c>
      <c r="E23" s="14">
        <v>100.31341925701288</v>
      </c>
      <c r="F23" s="14">
        <v>118.68037054049915</v>
      </c>
      <c r="G23" s="10">
        <v>116.9</v>
      </c>
      <c r="H23" s="10">
        <v>137.4</v>
      </c>
      <c r="I23" s="10">
        <v>153.19999999999999</v>
      </c>
      <c r="J23" s="10">
        <v>203.9</v>
      </c>
      <c r="K23" s="10">
        <v>197</v>
      </c>
      <c r="L23" s="10">
        <v>199.3</v>
      </c>
      <c r="M23" s="10">
        <v>259</v>
      </c>
      <c r="N23" s="10">
        <v>232</v>
      </c>
      <c r="O23" s="10">
        <v>307.39999999999998</v>
      </c>
      <c r="P23" s="10">
        <v>398.5</v>
      </c>
      <c r="Q23" s="10">
        <v>446.5</v>
      </c>
      <c r="R23" s="28">
        <v>502.00663534495459</v>
      </c>
      <c r="S23" s="28">
        <v>686.94734862258815</v>
      </c>
      <c r="T23" s="10"/>
      <c r="U23" s="10"/>
      <c r="V23" s="10"/>
    </row>
    <row r="24" spans="1:22">
      <c r="A24" s="11" t="s">
        <v>28</v>
      </c>
      <c r="B24" s="10">
        <v>44.08</v>
      </c>
      <c r="C24" s="29">
        <v>48.1</v>
      </c>
      <c r="D24" s="14">
        <v>41.53</v>
      </c>
      <c r="E24" s="14">
        <v>52.382239382239383</v>
      </c>
      <c r="F24" s="14">
        <v>60.951796353132337</v>
      </c>
      <c r="G24" s="10">
        <v>66.2</v>
      </c>
      <c r="H24" s="10">
        <v>74.8</v>
      </c>
      <c r="I24" s="10">
        <v>83.6</v>
      </c>
      <c r="J24" s="10">
        <v>123.4</v>
      </c>
      <c r="K24" s="10">
        <v>123.9</v>
      </c>
      <c r="L24" s="10">
        <v>149</v>
      </c>
      <c r="M24" s="10">
        <v>154.30000000000001</v>
      </c>
      <c r="N24" s="10">
        <v>205.2</v>
      </c>
      <c r="O24" s="10">
        <v>229</v>
      </c>
      <c r="P24" s="10">
        <v>301.3</v>
      </c>
      <c r="Q24" s="10">
        <v>383.9</v>
      </c>
      <c r="R24" s="28">
        <v>413.39771065859281</v>
      </c>
      <c r="S24" s="28">
        <v>553.51042078457124</v>
      </c>
      <c r="T24" s="10"/>
      <c r="U24" s="10"/>
      <c r="V24" s="10"/>
    </row>
    <row r="25" spans="1:22">
      <c r="A25" s="11" t="s">
        <v>29</v>
      </c>
      <c r="B25" s="10">
        <v>31.27</v>
      </c>
      <c r="C25" s="29">
        <v>35.71</v>
      </c>
      <c r="D25" s="14">
        <v>29.34</v>
      </c>
      <c r="E25" s="14">
        <v>44.149333333333331</v>
      </c>
      <c r="F25" s="14">
        <v>39.097746402389355</v>
      </c>
      <c r="G25" s="10">
        <v>62.3</v>
      </c>
      <c r="H25" s="10">
        <v>96.1</v>
      </c>
      <c r="I25" s="10">
        <v>86.6</v>
      </c>
      <c r="J25" s="10">
        <v>93</v>
      </c>
      <c r="K25" s="10">
        <v>110.9</v>
      </c>
      <c r="L25" s="10">
        <v>95.6</v>
      </c>
      <c r="M25" s="10">
        <v>123.8</v>
      </c>
      <c r="N25" s="10">
        <v>129.30000000000001</v>
      </c>
      <c r="O25" s="10">
        <v>138.4</v>
      </c>
      <c r="P25" s="10">
        <v>290.10000000000002</v>
      </c>
      <c r="Q25" s="10">
        <v>306.5</v>
      </c>
      <c r="R25" s="28">
        <v>362.23978583409763</v>
      </c>
      <c r="S25" s="28">
        <v>454.11641733021543</v>
      </c>
      <c r="T25" s="10"/>
      <c r="U25" s="10"/>
      <c r="V25" s="10"/>
    </row>
    <row r="26" spans="1:22">
      <c r="A26" s="11"/>
      <c r="B26" s="10"/>
      <c r="C26" s="29"/>
      <c r="D26" s="14"/>
      <c r="E26" s="14"/>
      <c r="F26" s="14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30"/>
      <c r="S26" s="30"/>
      <c r="T26" s="10"/>
      <c r="U26" s="10"/>
      <c r="V26" s="10"/>
    </row>
    <row r="27" spans="1:22">
      <c r="A27" s="11" t="s">
        <v>30</v>
      </c>
      <c r="B27" s="10">
        <v>40.64</v>
      </c>
      <c r="C27" s="29">
        <v>47.41</v>
      </c>
      <c r="D27" s="14">
        <v>47.82</v>
      </c>
      <c r="E27" s="14">
        <v>68.874024024024024</v>
      </c>
      <c r="F27" s="14">
        <v>86.045840922890108</v>
      </c>
      <c r="G27" s="10">
        <v>75.900000000000006</v>
      </c>
      <c r="H27" s="10">
        <v>89.4</v>
      </c>
      <c r="I27" s="10">
        <v>115.3</v>
      </c>
      <c r="J27" s="10">
        <v>142.6</v>
      </c>
      <c r="K27" s="10">
        <v>159.69999999999999</v>
      </c>
      <c r="L27" s="10">
        <v>168.6</v>
      </c>
      <c r="M27" s="10">
        <v>197.2</v>
      </c>
      <c r="N27" s="10">
        <v>242.6</v>
      </c>
      <c r="O27" s="10">
        <v>270.3</v>
      </c>
      <c r="P27" s="10">
        <v>375.3</v>
      </c>
      <c r="Q27" s="10">
        <v>482.2</v>
      </c>
      <c r="R27" s="28">
        <v>535.87671392977393</v>
      </c>
      <c r="S27" s="28">
        <v>677.01539704967763</v>
      </c>
      <c r="T27" s="10"/>
      <c r="U27" s="10"/>
      <c r="V27" s="10"/>
    </row>
    <row r="28" spans="1:22">
      <c r="A28" s="11" t="s">
        <v>31</v>
      </c>
      <c r="B28" s="10">
        <v>48.8</v>
      </c>
      <c r="C28" s="29">
        <v>53.21</v>
      </c>
      <c r="D28" s="14">
        <v>57.13</v>
      </c>
      <c r="E28" s="14">
        <v>72.839035475318767</v>
      </c>
      <c r="F28" s="14">
        <v>82.453902967018976</v>
      </c>
      <c r="G28" s="10">
        <v>78.3</v>
      </c>
      <c r="H28" s="10">
        <v>91.4</v>
      </c>
      <c r="I28" s="10">
        <v>117.4</v>
      </c>
      <c r="J28" s="10">
        <v>144.5</v>
      </c>
      <c r="K28" s="10">
        <v>160.30000000000001</v>
      </c>
      <c r="L28" s="10">
        <v>174.8</v>
      </c>
      <c r="M28" s="10">
        <v>209.2</v>
      </c>
      <c r="N28" s="10">
        <v>258.10000000000002</v>
      </c>
      <c r="O28" s="10">
        <v>276.10000000000002</v>
      </c>
      <c r="P28" s="10">
        <v>413.1</v>
      </c>
      <c r="Q28" s="10">
        <v>498.3</v>
      </c>
      <c r="R28" s="28">
        <v>557.42825561798361</v>
      </c>
      <c r="S28" s="28">
        <v>723.73877117912502</v>
      </c>
      <c r="T28" s="10"/>
      <c r="U28" s="10"/>
      <c r="V28" s="10"/>
    </row>
    <row r="29" spans="1:22">
      <c r="A29" s="11" t="s">
        <v>32</v>
      </c>
      <c r="B29" s="10">
        <v>24.77</v>
      </c>
      <c r="C29" s="29">
        <v>26.67</v>
      </c>
      <c r="D29" s="14">
        <v>23.62</v>
      </c>
      <c r="E29" s="14">
        <v>27.676270350271338</v>
      </c>
      <c r="F29" s="14">
        <v>30.855430112898393</v>
      </c>
      <c r="G29" s="10">
        <v>32.4</v>
      </c>
      <c r="H29" s="10">
        <v>46.6</v>
      </c>
      <c r="I29" s="10">
        <v>47.2</v>
      </c>
      <c r="J29" s="10">
        <v>71.8</v>
      </c>
      <c r="K29" s="10">
        <v>76.8</v>
      </c>
      <c r="L29" s="10">
        <v>79.3</v>
      </c>
      <c r="M29" s="10">
        <v>96.4</v>
      </c>
      <c r="N29" s="10">
        <v>133.19999999999999</v>
      </c>
      <c r="O29" s="10">
        <v>178.1</v>
      </c>
      <c r="P29" s="10">
        <v>246.3</v>
      </c>
      <c r="Q29" s="10">
        <v>282.5</v>
      </c>
      <c r="R29" s="28">
        <v>302.3007112290237</v>
      </c>
      <c r="S29" s="28">
        <v>372.97856472686379</v>
      </c>
      <c r="T29" s="10"/>
      <c r="U29" s="10"/>
      <c r="V29" s="10"/>
    </row>
    <row r="30" spans="1:22">
      <c r="A30" s="11" t="s">
        <v>33</v>
      </c>
      <c r="B30" s="10">
        <v>43.3</v>
      </c>
      <c r="C30" s="29">
        <v>53.07</v>
      </c>
      <c r="D30" s="14">
        <v>58.4</v>
      </c>
      <c r="E30" s="14">
        <v>64.309506398537479</v>
      </c>
      <c r="F30" s="14">
        <v>69.041720749119236</v>
      </c>
      <c r="G30" s="10">
        <v>69</v>
      </c>
      <c r="H30" s="10">
        <v>79.900000000000006</v>
      </c>
      <c r="I30" s="10">
        <v>87.7</v>
      </c>
      <c r="J30" s="10">
        <v>122.3</v>
      </c>
      <c r="K30" s="10">
        <v>138.19999999999999</v>
      </c>
      <c r="L30" s="10">
        <v>167.9</v>
      </c>
      <c r="M30" s="10">
        <v>182</v>
      </c>
      <c r="N30" s="10">
        <v>197.6</v>
      </c>
      <c r="O30" s="10">
        <v>239.9</v>
      </c>
      <c r="P30" s="10">
        <v>309.3</v>
      </c>
      <c r="Q30" s="10">
        <v>362.6</v>
      </c>
      <c r="R30" s="28">
        <v>352.92320986054449</v>
      </c>
      <c r="S30" s="28">
        <v>513.95161869047206</v>
      </c>
      <c r="T30" s="10"/>
      <c r="U30" s="10"/>
      <c r="V30" s="10"/>
    </row>
    <row r="31" spans="1:22">
      <c r="A31" s="11" t="s">
        <v>34</v>
      </c>
      <c r="B31" s="10">
        <v>16.05</v>
      </c>
      <c r="C31" s="29">
        <v>13.42</v>
      </c>
      <c r="D31" s="14">
        <v>17.02</v>
      </c>
      <c r="E31" s="14">
        <v>16.066359447004608</v>
      </c>
      <c r="F31" s="14">
        <v>41.370086956521739</v>
      </c>
      <c r="G31" s="10">
        <v>33</v>
      </c>
      <c r="H31" s="10">
        <v>21.3</v>
      </c>
      <c r="I31" s="10">
        <v>28.9</v>
      </c>
      <c r="J31" s="10">
        <v>44.4</v>
      </c>
      <c r="K31" s="10">
        <v>54.4</v>
      </c>
      <c r="L31" s="10">
        <v>50</v>
      </c>
      <c r="M31" s="10">
        <v>53.8</v>
      </c>
      <c r="N31" s="10">
        <v>71.5</v>
      </c>
      <c r="O31" s="10">
        <v>71.2</v>
      </c>
      <c r="P31" s="10">
        <v>65.8</v>
      </c>
      <c r="Q31" s="10">
        <v>82.7</v>
      </c>
      <c r="R31" s="28">
        <v>71.469113489962609</v>
      </c>
      <c r="S31" s="28">
        <v>91.646102082700153</v>
      </c>
      <c r="T31" s="10"/>
      <c r="U31" s="10"/>
      <c r="V31" s="10"/>
    </row>
    <row r="32" spans="1:22">
      <c r="A32" s="11"/>
      <c r="B32" s="10"/>
      <c r="C32" s="29"/>
      <c r="D32" s="14"/>
      <c r="E32" s="14"/>
      <c r="F32" s="14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30"/>
      <c r="S32" s="30"/>
      <c r="T32" s="10"/>
      <c r="U32" s="10"/>
      <c r="V32" s="10"/>
    </row>
    <row r="33" spans="1:22">
      <c r="A33" s="11" t="s">
        <v>35</v>
      </c>
      <c r="B33" s="10">
        <v>63.27</v>
      </c>
      <c r="C33" s="29">
        <v>64.88</v>
      </c>
      <c r="D33" s="14">
        <v>64.930000000000007</v>
      </c>
      <c r="E33" s="14">
        <v>91.39725609756097</v>
      </c>
      <c r="F33" s="14">
        <v>86.022324628776246</v>
      </c>
      <c r="G33" s="10">
        <v>103.1</v>
      </c>
      <c r="H33" s="10">
        <v>106.7</v>
      </c>
      <c r="I33" s="10">
        <v>118.1</v>
      </c>
      <c r="J33" s="10">
        <v>165.8</v>
      </c>
      <c r="K33" s="10">
        <v>195.6</v>
      </c>
      <c r="L33" s="10">
        <v>222.5</v>
      </c>
      <c r="M33" s="10">
        <v>251.2</v>
      </c>
      <c r="N33" s="10">
        <v>329.3</v>
      </c>
      <c r="O33" s="10">
        <v>376.2</v>
      </c>
      <c r="P33" s="10">
        <v>533.4</v>
      </c>
      <c r="Q33" s="10">
        <v>619.9</v>
      </c>
      <c r="R33" s="28">
        <v>776.37973552292806</v>
      </c>
      <c r="S33" s="28">
        <v>883.70027844113315</v>
      </c>
      <c r="T33" s="10"/>
      <c r="U33" s="10"/>
      <c r="V33" s="10"/>
    </row>
    <row r="34" spans="1:22">
      <c r="A34" s="11" t="s">
        <v>36</v>
      </c>
      <c r="B34" s="10">
        <v>38.53</v>
      </c>
      <c r="C34" s="29">
        <v>43.36</v>
      </c>
      <c r="D34" s="14">
        <v>41.22</v>
      </c>
      <c r="E34" s="14">
        <v>70.596264536591093</v>
      </c>
      <c r="F34" s="14">
        <v>75.722518045201753</v>
      </c>
      <c r="G34" s="10">
        <v>82.7</v>
      </c>
      <c r="H34" s="10">
        <v>96.2</v>
      </c>
      <c r="I34" s="10">
        <v>85.3</v>
      </c>
      <c r="J34" s="10">
        <v>114</v>
      </c>
      <c r="K34" s="10">
        <v>127.4</v>
      </c>
      <c r="L34" s="10">
        <v>149.80000000000001</v>
      </c>
      <c r="M34" s="10">
        <v>164.7</v>
      </c>
      <c r="N34" s="10">
        <v>180.1</v>
      </c>
      <c r="O34" s="10">
        <v>203.1</v>
      </c>
      <c r="P34" s="10">
        <v>339.3</v>
      </c>
      <c r="Q34" s="10">
        <v>398</v>
      </c>
      <c r="R34" s="28">
        <v>513.26086461365526</v>
      </c>
      <c r="S34" s="28">
        <v>546.2017258287691</v>
      </c>
      <c r="T34" s="10"/>
      <c r="U34" s="10"/>
      <c r="V34" s="10"/>
    </row>
    <row r="35" spans="1:22">
      <c r="A35" s="11" t="s">
        <v>37</v>
      </c>
      <c r="B35" s="10">
        <v>49.53</v>
      </c>
      <c r="C35" s="29">
        <v>57.01</v>
      </c>
      <c r="D35" s="14">
        <v>56.94</v>
      </c>
      <c r="E35" s="14">
        <v>78.202507836990591</v>
      </c>
      <c r="F35" s="14">
        <v>85.621664548919952</v>
      </c>
      <c r="G35" s="10">
        <v>118</v>
      </c>
      <c r="H35" s="10">
        <v>115.7</v>
      </c>
      <c r="I35" s="10">
        <v>126.6</v>
      </c>
      <c r="J35" s="10">
        <v>152.30000000000001</v>
      </c>
      <c r="K35" s="10">
        <v>192.8</v>
      </c>
      <c r="L35" s="10">
        <v>229.3</v>
      </c>
      <c r="M35" s="10">
        <v>270.10000000000002</v>
      </c>
      <c r="N35" s="10">
        <v>291.3</v>
      </c>
      <c r="O35" s="10">
        <v>307.89999999999998</v>
      </c>
      <c r="P35" s="10">
        <v>308.10000000000002</v>
      </c>
      <c r="Q35" s="10">
        <v>520.1</v>
      </c>
      <c r="R35" s="28">
        <v>676.74971691935161</v>
      </c>
      <c r="S35" s="28">
        <v>944.45559213782224</v>
      </c>
      <c r="T35" s="10"/>
      <c r="U35" s="10"/>
      <c r="V35" s="10"/>
    </row>
    <row r="36" spans="1:22">
      <c r="A36" s="11" t="s">
        <v>38</v>
      </c>
      <c r="B36" s="10">
        <v>61.5</v>
      </c>
      <c r="C36" s="29">
        <v>79.349999999999994</v>
      </c>
      <c r="D36" s="14">
        <v>69.75</v>
      </c>
      <c r="E36" s="14">
        <v>88.531578947368416</v>
      </c>
      <c r="F36" s="14">
        <v>98.212668082094837</v>
      </c>
      <c r="G36" s="10">
        <v>123.3</v>
      </c>
      <c r="H36" s="10">
        <v>116.3</v>
      </c>
      <c r="I36" s="10">
        <v>186.9</v>
      </c>
      <c r="J36" s="10">
        <v>198.8</v>
      </c>
      <c r="K36" s="10">
        <v>187.6</v>
      </c>
      <c r="L36" s="10">
        <v>239.4</v>
      </c>
      <c r="M36" s="10">
        <v>318.8</v>
      </c>
      <c r="N36" s="10">
        <v>356.4</v>
      </c>
      <c r="O36" s="10">
        <v>417.9</v>
      </c>
      <c r="P36" s="10">
        <v>444.7</v>
      </c>
      <c r="Q36" s="10">
        <v>492.1</v>
      </c>
      <c r="R36" s="28">
        <v>701.96957240667609</v>
      </c>
      <c r="S36" s="28">
        <v>856.92922570738767</v>
      </c>
      <c r="T36" s="10"/>
      <c r="U36" s="10"/>
      <c r="V36" s="10"/>
    </row>
    <row r="37" spans="1:22">
      <c r="A37" s="11" t="s">
        <v>39</v>
      </c>
      <c r="B37" s="10">
        <v>67.3</v>
      </c>
      <c r="C37" s="29">
        <v>99.69</v>
      </c>
      <c r="D37" s="14">
        <v>72.84</v>
      </c>
      <c r="E37" s="14">
        <v>73.66620827603451</v>
      </c>
      <c r="F37" s="14">
        <v>86.596921536728814</v>
      </c>
      <c r="G37" s="10">
        <v>99.8</v>
      </c>
      <c r="H37" s="10">
        <v>116.5</v>
      </c>
      <c r="I37" s="10">
        <v>142</v>
      </c>
      <c r="J37" s="10">
        <v>169.3</v>
      </c>
      <c r="K37" s="10">
        <v>189.7</v>
      </c>
      <c r="L37" s="10">
        <v>210.7</v>
      </c>
      <c r="M37" s="10">
        <v>244.6</v>
      </c>
      <c r="N37" s="10">
        <v>316.60000000000002</v>
      </c>
      <c r="O37" s="10">
        <v>314.7</v>
      </c>
      <c r="P37" s="10">
        <v>376.9</v>
      </c>
      <c r="Q37" s="10">
        <v>444.2</v>
      </c>
      <c r="R37" s="28">
        <v>593.36549748194011</v>
      </c>
      <c r="S37" s="28">
        <v>717.18117180069055</v>
      </c>
      <c r="T37" s="10"/>
      <c r="U37" s="10"/>
      <c r="V37" s="10"/>
    </row>
    <row r="38" spans="1:22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</row>
    <row r="39" spans="1:22"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</row>
    <row r="40" spans="1:22"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</row>
  </sheetData>
  <phoneticPr fontId="6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88026-9B25-134D-9F11-D5528A8A9B3C}">
  <dimension ref="A1:T44"/>
  <sheetViews>
    <sheetView workbookViewId="0">
      <selection activeCell="C13" sqref="C13"/>
    </sheetView>
  </sheetViews>
  <sheetFormatPr baseColWidth="10" defaultRowHeight="16"/>
  <cols>
    <col min="1" max="1" width="19" customWidth="1"/>
  </cols>
  <sheetData>
    <row r="1" spans="1:20" ht="17">
      <c r="A1" s="23" t="s">
        <v>6</v>
      </c>
      <c r="B1" s="23">
        <v>1997</v>
      </c>
      <c r="C1" s="23">
        <v>1998</v>
      </c>
      <c r="D1" s="23">
        <v>1999</v>
      </c>
      <c r="E1" s="23">
        <v>2000</v>
      </c>
      <c r="F1" s="23">
        <v>2001</v>
      </c>
      <c r="G1" s="23">
        <v>2002</v>
      </c>
      <c r="H1" s="23">
        <v>2003</v>
      </c>
      <c r="I1" s="23">
        <v>2004</v>
      </c>
      <c r="J1" s="23">
        <v>2005</v>
      </c>
      <c r="K1" s="23">
        <v>2006</v>
      </c>
      <c r="L1" s="23">
        <v>2007</v>
      </c>
      <c r="M1" s="23">
        <v>2008</v>
      </c>
      <c r="N1" s="23">
        <v>2009</v>
      </c>
      <c r="O1" s="23">
        <v>2010</v>
      </c>
      <c r="P1" s="23">
        <v>2011</v>
      </c>
      <c r="Q1" s="23">
        <v>2012</v>
      </c>
      <c r="R1" s="23">
        <v>2013</v>
      </c>
      <c r="S1" s="23">
        <v>2014</v>
      </c>
    </row>
    <row r="2" spans="1:20">
      <c r="A2" s="16" t="s">
        <v>9</v>
      </c>
      <c r="B2" s="29">
        <v>68.757269214255004</v>
      </c>
      <c r="C2" s="29">
        <v>67.889032471320249</v>
      </c>
      <c r="D2" s="29">
        <v>95.006532925454849</v>
      </c>
      <c r="E2" s="29">
        <v>96.919481996633991</v>
      </c>
      <c r="F2" s="29">
        <v>105.8045583209845</v>
      </c>
      <c r="G2" s="29">
        <v>123.36649415372821</v>
      </c>
      <c r="H2" s="29">
        <v>162.08322216521293</v>
      </c>
      <c r="I2" s="29">
        <v>236.20991678717908</v>
      </c>
      <c r="J2" s="29">
        <v>308.53425736415443</v>
      </c>
      <c r="K2" s="29">
        <v>369.35181323662738</v>
      </c>
      <c r="L2" s="29">
        <v>435.36950516056311</v>
      </c>
      <c r="M2" s="29">
        <v>539.5391392401491</v>
      </c>
      <c r="N2" s="29">
        <v>700.34545249231837</v>
      </c>
      <c r="O2" s="29">
        <v>703.65454453798452</v>
      </c>
      <c r="P2" s="29">
        <v>798.21087598677013</v>
      </c>
      <c r="Q2" s="29">
        <v>927.61710792638485</v>
      </c>
      <c r="R2" s="29">
        <v>984.81984454744963</v>
      </c>
      <c r="S2" s="29">
        <v>1256.6667638641163</v>
      </c>
      <c r="T2" s="10"/>
    </row>
    <row r="3" spans="1:20">
      <c r="A3" s="11" t="s">
        <v>10</v>
      </c>
      <c r="B3" s="29">
        <v>38.14163675397166</v>
      </c>
      <c r="C3" s="29">
        <v>36.789776783978226</v>
      </c>
      <c r="D3" s="29">
        <v>35.309042666237325</v>
      </c>
      <c r="E3" s="29">
        <v>35.905419112677684</v>
      </c>
      <c r="F3" s="29">
        <v>53.126241538910662</v>
      </c>
      <c r="G3" s="29">
        <v>68.214414414414421</v>
      </c>
      <c r="H3" s="29">
        <v>81.783222165212933</v>
      </c>
      <c r="I3" s="29">
        <v>106.25295749270998</v>
      </c>
      <c r="J3" s="29">
        <v>164.21742114134361</v>
      </c>
      <c r="K3" s="29">
        <v>233.48367738336006</v>
      </c>
      <c r="L3" s="29">
        <v>223.75252281919245</v>
      </c>
      <c r="M3" s="29">
        <v>228.70101967370442</v>
      </c>
      <c r="N3" s="29">
        <v>297.74425075925524</v>
      </c>
      <c r="O3" s="29">
        <v>295.71961486111809</v>
      </c>
      <c r="P3" s="29">
        <v>507.96419204629501</v>
      </c>
      <c r="Q3" s="29">
        <v>707.11904645546474</v>
      </c>
      <c r="R3" s="29">
        <v>1231.6398427748845</v>
      </c>
      <c r="S3" s="29">
        <v>1372.0021185249095</v>
      </c>
      <c r="T3" s="10"/>
    </row>
    <row r="4" spans="1:20">
      <c r="A4" s="11" t="s">
        <v>11</v>
      </c>
      <c r="B4" s="29">
        <v>27.029544010304853</v>
      </c>
      <c r="C4" s="29">
        <v>26.970838421154969</v>
      </c>
      <c r="D4" s="29">
        <v>31.893602318467241</v>
      </c>
      <c r="E4" s="29">
        <v>34.723892779368242</v>
      </c>
      <c r="F4" s="29">
        <v>37.982002994439824</v>
      </c>
      <c r="G4" s="29">
        <v>47.126854514088564</v>
      </c>
      <c r="H4" s="29">
        <v>61.594920472036947</v>
      </c>
      <c r="I4" s="29">
        <v>81.44215405040184</v>
      </c>
      <c r="J4" s="29">
        <v>111.28286780640501</v>
      </c>
      <c r="K4" s="29">
        <v>151.15859195201895</v>
      </c>
      <c r="L4" s="29">
        <v>177.95064424160716</v>
      </c>
      <c r="M4" s="29">
        <v>196.79981017839</v>
      </c>
      <c r="N4" s="29">
        <v>217.07554039356461</v>
      </c>
      <c r="O4" s="29">
        <v>294.01171548117151</v>
      </c>
      <c r="P4" s="29">
        <v>338.0795454228284</v>
      </c>
      <c r="Q4" s="29">
        <v>400.74279262218636</v>
      </c>
      <c r="R4" s="29">
        <v>537.26912620709959</v>
      </c>
      <c r="S4" s="29">
        <v>794.71465383152815</v>
      </c>
      <c r="T4" s="10"/>
    </row>
    <row r="5" spans="1:20">
      <c r="A5" s="11" t="s">
        <v>12</v>
      </c>
      <c r="B5" s="29">
        <v>19.819115500214686</v>
      </c>
      <c r="C5" s="29">
        <v>14.228534318491153</v>
      </c>
      <c r="D5" s="29">
        <v>20.391280631138308</v>
      </c>
      <c r="E5" s="29">
        <v>20.049368635851756</v>
      </c>
      <c r="F5" s="29">
        <v>21.766156634192544</v>
      </c>
      <c r="G5" s="29">
        <v>44.053364002300178</v>
      </c>
      <c r="H5" s="29">
        <v>49.0287326834274</v>
      </c>
      <c r="I5" s="29">
        <v>59.951755529740879</v>
      </c>
      <c r="J5" s="29">
        <v>80.354250943093348</v>
      </c>
      <c r="K5" s="29">
        <v>118.62007810865471</v>
      </c>
      <c r="L5" s="29">
        <v>150.32411430592083</v>
      </c>
      <c r="M5" s="29">
        <v>186.58234094501526</v>
      </c>
      <c r="N5" s="29">
        <v>200.99128832678582</v>
      </c>
      <c r="O5" s="29">
        <v>226.26504007662447</v>
      </c>
      <c r="P5" s="29">
        <v>298.17550065358256</v>
      </c>
      <c r="Q5" s="29">
        <v>415.13319242344647</v>
      </c>
      <c r="R5" s="29">
        <v>474.07794700622185</v>
      </c>
      <c r="S5" s="29">
        <v>489.71469802778921</v>
      </c>
      <c r="T5" s="10"/>
    </row>
    <row r="6" spans="1:20">
      <c r="A6" s="11" t="s">
        <v>13</v>
      </c>
      <c r="B6" s="29">
        <v>31.332850150279089</v>
      </c>
      <c r="C6" s="29">
        <v>32.366791366906476</v>
      </c>
      <c r="D6" s="29">
        <v>29.98095572371599</v>
      </c>
      <c r="E6" s="29">
        <v>38.371556087833376</v>
      </c>
      <c r="F6" s="29">
        <v>38.245150590996609</v>
      </c>
      <c r="G6" s="29">
        <v>50.157657657657666</v>
      </c>
      <c r="H6" s="29">
        <v>79.105182144689593</v>
      </c>
      <c r="I6" s="29">
        <v>111.55638202034091</v>
      </c>
      <c r="J6" s="29">
        <v>147.02371679107472</v>
      </c>
      <c r="K6" s="29">
        <v>191.42169607364531</v>
      </c>
      <c r="L6" s="29">
        <v>210.05110615068403</v>
      </c>
      <c r="M6" s="29">
        <v>230.85804095630576</v>
      </c>
      <c r="N6" s="29">
        <v>288.46487456688283</v>
      </c>
      <c r="O6" s="29">
        <v>378.64761808741241</v>
      </c>
      <c r="P6" s="29">
        <v>473.71430345770779</v>
      </c>
      <c r="Q6" s="29">
        <v>604.92731330458128</v>
      </c>
      <c r="R6" s="29">
        <v>750.3992465502788</v>
      </c>
      <c r="S6" s="29">
        <v>1017.2279462920119</v>
      </c>
      <c r="T6" s="10"/>
    </row>
    <row r="7" spans="1:20">
      <c r="A7" s="11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10"/>
    </row>
    <row r="8" spans="1:20">
      <c r="A8" s="11" t="s">
        <v>14</v>
      </c>
      <c r="B8" s="29">
        <v>30.151831687419495</v>
      </c>
      <c r="C8" s="29">
        <v>30.777908613649618</v>
      </c>
      <c r="D8" s="29">
        <v>35.798221864434076</v>
      </c>
      <c r="E8" s="29">
        <v>46.312714416308211</v>
      </c>
      <c r="F8" s="29">
        <v>47.553048569405469</v>
      </c>
      <c r="G8" s="29">
        <v>61.640559708644822</v>
      </c>
      <c r="H8" s="29">
        <v>70.288250384812727</v>
      </c>
      <c r="I8" s="29">
        <v>86.146061022735353</v>
      </c>
      <c r="J8" s="29">
        <v>150.7331457179549</v>
      </c>
      <c r="K8" s="29">
        <v>178.35338238370878</v>
      </c>
      <c r="L8" s="29">
        <v>202.33357349658542</v>
      </c>
      <c r="M8" s="29">
        <v>242.09725711301797</v>
      </c>
      <c r="N8" s="29">
        <v>257.59548310025735</v>
      </c>
      <c r="O8" s="29">
        <v>284.0173413318546</v>
      </c>
      <c r="P8" s="29">
        <v>375.44896845591688</v>
      </c>
      <c r="Q8" s="29">
        <v>443.44978558076463</v>
      </c>
      <c r="R8" s="29">
        <v>576.60896054921648</v>
      </c>
      <c r="S8" s="29">
        <v>727.58857116328738</v>
      </c>
      <c r="T8" s="10"/>
    </row>
    <row r="9" spans="1:20">
      <c r="A9" s="11" t="s">
        <v>15</v>
      </c>
      <c r="B9" s="29">
        <v>25.188685272649206</v>
      </c>
      <c r="C9" s="29">
        <v>18.981793116857865</v>
      </c>
      <c r="D9" s="29">
        <v>27.526245693125105</v>
      </c>
      <c r="E9" s="29">
        <v>34.928027788093289</v>
      </c>
      <c r="F9" s="29">
        <v>38.754598465789748</v>
      </c>
      <c r="G9" s="29">
        <v>56.432700785892273</v>
      </c>
      <c r="H9" s="29">
        <v>71.606670087224231</v>
      </c>
      <c r="I9" s="29">
        <v>99.150980299186841</v>
      </c>
      <c r="J9" s="29">
        <v>142.81301368488641</v>
      </c>
      <c r="K9" s="29">
        <v>156.60813166887507</v>
      </c>
      <c r="L9" s="29">
        <v>188.74400512741175</v>
      </c>
      <c r="M9" s="29">
        <v>201.8517810771142</v>
      </c>
      <c r="N9" s="29">
        <v>220.23052829897125</v>
      </c>
      <c r="O9" s="29">
        <v>233.15989312900135</v>
      </c>
      <c r="P9" s="29">
        <v>366.74026813168405</v>
      </c>
      <c r="Q9" s="29">
        <v>463.54329313736275</v>
      </c>
      <c r="R9" s="29">
        <v>651.82630107969715</v>
      </c>
      <c r="S9" s="29">
        <v>645.47089333911686</v>
      </c>
      <c r="T9" s="10"/>
    </row>
    <row r="10" spans="1:20">
      <c r="A10" s="11" t="s">
        <v>16</v>
      </c>
      <c r="B10" s="29">
        <v>23.462581365392872</v>
      </c>
      <c r="C10" s="29">
        <v>22.449663620454988</v>
      </c>
      <c r="D10" s="29">
        <v>25.860392207374016</v>
      </c>
      <c r="E10" s="29">
        <v>34.565357860469135</v>
      </c>
      <c r="F10" s="29">
        <v>43.187722674388873</v>
      </c>
      <c r="G10" s="29">
        <v>53.401897642323178</v>
      </c>
      <c r="H10" s="29">
        <v>65.055772190867117</v>
      </c>
      <c r="I10" s="29">
        <v>81.119336905241695</v>
      </c>
      <c r="J10" s="29">
        <v>128.62695441046634</v>
      </c>
      <c r="K10" s="29">
        <v>141.31767557012344</v>
      </c>
      <c r="L10" s="29">
        <v>187.51367383472939</v>
      </c>
      <c r="M10" s="29">
        <v>224.21668595461219</v>
      </c>
      <c r="N10" s="29">
        <v>264.40035897466379</v>
      </c>
      <c r="O10" s="29">
        <v>288.38197308060688</v>
      </c>
      <c r="P10" s="29">
        <v>374.5391042429373</v>
      </c>
      <c r="Q10" s="29">
        <v>405.38485707420574</v>
      </c>
      <c r="R10" s="29">
        <v>548.84910857777834</v>
      </c>
      <c r="S10" s="29">
        <v>669.72834775277875</v>
      </c>
      <c r="T10" s="10"/>
    </row>
    <row r="11" spans="1:20">
      <c r="A11" s="11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10"/>
    </row>
    <row r="12" spans="1:20">
      <c r="A12" s="11" t="s">
        <v>17</v>
      </c>
      <c r="B12" s="29">
        <v>114.84567797337913</v>
      </c>
      <c r="C12" s="29">
        <v>101.0904335990667</v>
      </c>
      <c r="D12" s="29">
        <v>86.809476090806641</v>
      </c>
      <c r="E12" s="29">
        <v>114.4251484706319</v>
      </c>
      <c r="F12" s="29">
        <v>130.66454031039828</v>
      </c>
      <c r="G12" s="29">
        <v>197.00220433199158</v>
      </c>
      <c r="H12" s="29">
        <v>241.84761416110828</v>
      </c>
      <c r="I12" s="29">
        <v>332.22495910481018</v>
      </c>
      <c r="J12" s="29">
        <v>374.7024490328277</v>
      </c>
      <c r="K12" s="29">
        <v>412.63068205593135</v>
      </c>
      <c r="L12" s="29">
        <v>494.20171061064826</v>
      </c>
      <c r="M12" s="29">
        <v>499.29366320424532</v>
      </c>
      <c r="N12" s="29">
        <v>750.0210463754853</v>
      </c>
      <c r="O12" s="29">
        <v>923.21449816000393</v>
      </c>
      <c r="P12" s="29">
        <v>850.6580488349482</v>
      </c>
      <c r="Q12" s="29">
        <v>1130.5416396860887</v>
      </c>
      <c r="R12" s="29">
        <v>1165.5417862511131</v>
      </c>
      <c r="S12" s="29">
        <v>1268.6848957192815</v>
      </c>
      <c r="T12" s="10"/>
    </row>
    <row r="13" spans="1:20">
      <c r="A13" s="11" t="s">
        <v>18</v>
      </c>
      <c r="B13" s="29">
        <v>60.394510948905108</v>
      </c>
      <c r="C13" s="29">
        <v>58.980577483958783</v>
      </c>
      <c r="D13" s="29">
        <v>57.441096119787481</v>
      </c>
      <c r="E13" s="29">
        <v>63.848091846899344</v>
      </c>
      <c r="F13" s="29">
        <v>67.890966593567299</v>
      </c>
      <c r="G13" s="29">
        <v>87.039543799118277</v>
      </c>
      <c r="H13" s="29">
        <v>110.62365315546435</v>
      </c>
      <c r="I13" s="29">
        <v>135.16815035205425</v>
      </c>
      <c r="J13" s="29">
        <v>182.36354643229794</v>
      </c>
      <c r="K13" s="29">
        <v>246.12872585256989</v>
      </c>
      <c r="L13" s="29">
        <v>304.22737419055409</v>
      </c>
      <c r="M13" s="29">
        <v>348.6427557299312</v>
      </c>
      <c r="N13" s="29">
        <v>427.84110497631605</v>
      </c>
      <c r="O13" s="29">
        <v>496.87220849926899</v>
      </c>
      <c r="P13" s="29">
        <v>600.44539026557311</v>
      </c>
      <c r="Q13" s="29">
        <v>869.45867186322778</v>
      </c>
      <c r="R13" s="29">
        <v>963.49495986537136</v>
      </c>
      <c r="S13" s="29">
        <v>1239.7018030917227</v>
      </c>
      <c r="T13" s="10"/>
    </row>
    <row r="14" spans="1:20">
      <c r="A14" s="11" t="s">
        <v>19</v>
      </c>
      <c r="B14" s="29">
        <v>59.509942464577072</v>
      </c>
      <c r="C14" s="29">
        <v>75.418372934085156</v>
      </c>
      <c r="D14" s="29">
        <v>87.408830784092743</v>
      </c>
      <c r="E14" s="29">
        <v>113.12533214763114</v>
      </c>
      <c r="F14" s="29">
        <v>115.15009803468058</v>
      </c>
      <c r="G14" s="29">
        <v>153.41840138010352</v>
      </c>
      <c r="H14" s="29">
        <v>204.39625448948181</v>
      </c>
      <c r="I14" s="29">
        <v>229.15405632867876</v>
      </c>
      <c r="J14" s="29">
        <v>309.93782506621716</v>
      </c>
      <c r="K14" s="29">
        <v>351.7333984238789</v>
      </c>
      <c r="L14" s="29">
        <v>437.88609189559526</v>
      </c>
      <c r="M14" s="29">
        <v>483.11600358473532</v>
      </c>
      <c r="N14" s="29">
        <v>598.95280196366286</v>
      </c>
      <c r="O14" s="29">
        <v>724.90840348843062</v>
      </c>
      <c r="P14" s="29">
        <v>897.25609459968632</v>
      </c>
      <c r="Q14" s="29">
        <v>994.66178165483609</v>
      </c>
      <c r="R14" s="29">
        <v>1282.4358373511291</v>
      </c>
      <c r="S14" s="29">
        <v>1564.2744434588799</v>
      </c>
      <c r="T14" s="10"/>
    </row>
    <row r="15" spans="1:20">
      <c r="A15" s="11" t="s">
        <v>20</v>
      </c>
      <c r="B15" s="29">
        <v>15.625782739373122</v>
      </c>
      <c r="C15" s="29">
        <v>15.41573322963251</v>
      </c>
      <c r="D15" s="29">
        <v>16.790745451618101</v>
      </c>
      <c r="E15" s="29">
        <v>23.99913620876027</v>
      </c>
      <c r="F15" s="29">
        <v>31.119986776787481</v>
      </c>
      <c r="G15" s="29">
        <v>38.717442974889785</v>
      </c>
      <c r="H15" s="29">
        <v>51.953976398152896</v>
      </c>
      <c r="I15" s="29">
        <v>75.585328702496383</v>
      </c>
      <c r="J15" s="29">
        <v>98.600631069909298</v>
      </c>
      <c r="K15" s="29">
        <v>125.49813794546341</v>
      </c>
      <c r="L15" s="29">
        <v>144.45207859084582</v>
      </c>
      <c r="M15" s="29">
        <v>159.27899260471946</v>
      </c>
      <c r="N15" s="29">
        <v>186.94849902232895</v>
      </c>
      <c r="O15" s="29">
        <v>214.43625548217975</v>
      </c>
      <c r="P15" s="29">
        <v>308.8339100056287</v>
      </c>
      <c r="Q15" s="29">
        <v>342.58435655902946</v>
      </c>
      <c r="R15" s="29">
        <v>366.83753730643343</v>
      </c>
      <c r="S15" s="29">
        <v>562.63726709686978</v>
      </c>
      <c r="T15" s="10"/>
    </row>
    <row r="16" spans="1:20">
      <c r="A16" s="11" t="s">
        <v>21</v>
      </c>
      <c r="B16" s="29">
        <v>42.239340489480469</v>
      </c>
      <c r="C16" s="29">
        <v>51.647615788450324</v>
      </c>
      <c r="D16" s="29">
        <v>56.537657060054741</v>
      </c>
      <c r="E16" s="29">
        <v>84.632017962483758</v>
      </c>
      <c r="F16" s="29">
        <v>93.600426463352633</v>
      </c>
      <c r="G16" s="29">
        <v>107.52948054437418</v>
      </c>
      <c r="H16" s="29">
        <v>114.70251410979989</v>
      </c>
      <c r="I16" s="29">
        <v>141.16332590502833</v>
      </c>
      <c r="J16" s="29">
        <v>183.2658399550526</v>
      </c>
      <c r="K16" s="29">
        <v>228.24577027686726</v>
      </c>
      <c r="L16" s="29">
        <v>260.27099255199238</v>
      </c>
      <c r="M16" s="29">
        <v>303.51559994919279</v>
      </c>
      <c r="N16" s="29">
        <v>352.74002032604892</v>
      </c>
      <c r="O16" s="29">
        <v>403.63355346070472</v>
      </c>
      <c r="P16" s="29">
        <v>473.45434225399936</v>
      </c>
      <c r="Q16" s="29">
        <v>527.20589133648548</v>
      </c>
      <c r="R16" s="29">
        <v>546.79529775314188</v>
      </c>
      <c r="S16" s="29">
        <v>760.87504440846578</v>
      </c>
      <c r="T16" s="10"/>
    </row>
    <row r="17" spans="1:20">
      <c r="A17" s="11" t="s">
        <v>22</v>
      </c>
      <c r="B17" s="29">
        <v>19.503539716616572</v>
      </c>
      <c r="C17" s="29">
        <v>18.026678203383241</v>
      </c>
      <c r="D17" s="29">
        <v>24.313528256319437</v>
      </c>
      <c r="E17" s="29">
        <v>39.259249917183389</v>
      </c>
      <c r="F17" s="29">
        <v>43.559793179597428</v>
      </c>
      <c r="G17" s="29">
        <v>53.700709219858162</v>
      </c>
      <c r="H17" s="29">
        <v>58.381272447408925</v>
      </c>
      <c r="I17" s="29">
        <v>79.274667504326587</v>
      </c>
      <c r="J17" s="29">
        <v>115.09255156914681</v>
      </c>
      <c r="K17" s="29">
        <v>132.74655485040796</v>
      </c>
      <c r="L17" s="29">
        <v>155.02174287798084</v>
      </c>
      <c r="M17" s="29">
        <v>171.25613709495315</v>
      </c>
      <c r="N17" s="29">
        <v>182.98929851358341</v>
      </c>
      <c r="O17" s="29">
        <v>209.88185713565559</v>
      </c>
      <c r="P17" s="29">
        <v>255.60685354632525</v>
      </c>
      <c r="Q17" s="29">
        <v>327.92869593193973</v>
      </c>
      <c r="R17" s="29">
        <v>398.45344222029672</v>
      </c>
      <c r="S17" s="29">
        <v>526.37213476023692</v>
      </c>
      <c r="T17" s="10"/>
    </row>
    <row r="18" spans="1:20">
      <c r="A18" s="11" t="s">
        <v>23</v>
      </c>
      <c r="B18" s="29">
        <v>30.778201803349081</v>
      </c>
      <c r="C18" s="29">
        <v>35.098241493291852</v>
      </c>
      <c r="D18" s="29">
        <v>39.808609885686685</v>
      </c>
      <c r="E18" s="29">
        <v>41.74263704762776</v>
      </c>
      <c r="F18" s="29">
        <v>51.129089434426106</v>
      </c>
      <c r="G18" s="29">
        <v>66.506919685643098</v>
      </c>
      <c r="H18" s="29">
        <v>77.045151359671635</v>
      </c>
      <c r="I18" s="29">
        <v>102.33303501576539</v>
      </c>
      <c r="J18" s="29">
        <v>147.57511838831365</v>
      </c>
      <c r="K18" s="29">
        <v>186.34251342492502</v>
      </c>
      <c r="L18" s="29">
        <v>236.22360819501844</v>
      </c>
      <c r="M18" s="29">
        <v>256.91258750141134</v>
      </c>
      <c r="N18" s="29">
        <v>330.09834241666027</v>
      </c>
      <c r="O18" s="29">
        <v>410.65491757826283</v>
      </c>
      <c r="P18" s="29">
        <v>489.44195628206853</v>
      </c>
      <c r="Q18" s="29">
        <v>621.77137574476581</v>
      </c>
      <c r="R18" s="29">
        <v>705.63177606068098</v>
      </c>
      <c r="S18" s="29">
        <v>849.64102436057442</v>
      </c>
      <c r="T18" s="10"/>
    </row>
    <row r="19" spans="1:20">
      <c r="A19" s="11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10"/>
    </row>
    <row r="20" spans="1:20">
      <c r="A20" s="11" t="s">
        <v>24</v>
      </c>
      <c r="B20" s="29">
        <v>12.393521683125806</v>
      </c>
      <c r="C20" s="29">
        <v>13.264493097413961</v>
      </c>
      <c r="D20" s="29">
        <v>15.027937530188378</v>
      </c>
      <c r="E20" s="29">
        <v>23.154511197189546</v>
      </c>
      <c r="F20" s="29">
        <v>28.74599643086205</v>
      </c>
      <c r="G20" s="29">
        <v>32.997335633505848</v>
      </c>
      <c r="H20" s="29">
        <v>41.283016931759882</v>
      </c>
      <c r="I20" s="29">
        <v>55.893482847727647</v>
      </c>
      <c r="J20" s="29">
        <v>80.053486435508461</v>
      </c>
      <c r="K20" s="29">
        <v>116.82120092056628</v>
      </c>
      <c r="L20" s="29">
        <v>150.71558335359251</v>
      </c>
      <c r="M20" s="29">
        <v>165.06889183696515</v>
      </c>
      <c r="N20" s="29">
        <v>191.83563715031175</v>
      </c>
      <c r="O20" s="29">
        <v>253.90770781872254</v>
      </c>
      <c r="P20" s="29">
        <v>278.09349766710545</v>
      </c>
      <c r="Q20" s="29">
        <v>348.22114910791015</v>
      </c>
      <c r="R20" s="29">
        <v>417.74956731004534</v>
      </c>
      <c r="S20" s="29">
        <v>595.81221230542053</v>
      </c>
      <c r="T20" s="10"/>
    </row>
    <row r="21" spans="1:20">
      <c r="A21" s="11" t="s">
        <v>25</v>
      </c>
      <c r="B21" s="29">
        <v>21.511749248604552</v>
      </c>
      <c r="C21" s="29">
        <v>20.784907252576318</v>
      </c>
      <c r="D21" s="29">
        <v>30.45250684269844</v>
      </c>
      <c r="E21" s="29">
        <v>29.842884858417719</v>
      </c>
      <c r="F21" s="29">
        <v>33.852069514438121</v>
      </c>
      <c r="G21" s="29">
        <v>42.217807168871005</v>
      </c>
      <c r="H21" s="29">
        <v>50.305951770138535</v>
      </c>
      <c r="I21" s="29">
        <v>75.031927882221851</v>
      </c>
      <c r="J21" s="29">
        <v>111.88439682157475</v>
      </c>
      <c r="K21" s="29">
        <v>130.20696352604782</v>
      </c>
      <c r="L21" s="29">
        <v>157.20278471500873</v>
      </c>
      <c r="M21" s="29">
        <v>164.84183696511235</v>
      </c>
      <c r="N21" s="29">
        <v>190.04162441978642</v>
      </c>
      <c r="O21" s="29">
        <v>209.6288350052931</v>
      </c>
      <c r="P21" s="29">
        <v>269.31980704194552</v>
      </c>
      <c r="Q21" s="29">
        <v>328.98973923525847</v>
      </c>
      <c r="R21" s="29">
        <v>410.92439565757644</v>
      </c>
      <c r="S21" s="29">
        <v>565.91294126272101</v>
      </c>
      <c r="T21" s="10"/>
    </row>
    <row r="22" spans="1:20">
      <c r="A22" s="11" t="s">
        <v>26</v>
      </c>
      <c r="B22" s="29">
        <v>21.942079862601975</v>
      </c>
      <c r="C22" s="29">
        <v>20.485875947890335</v>
      </c>
      <c r="D22" s="29">
        <v>25.503423603284496</v>
      </c>
      <c r="E22" s="29">
        <v>40.812202155192132</v>
      </c>
      <c r="F22" s="29">
        <v>39.346118850539817</v>
      </c>
      <c r="G22" s="29">
        <v>50.627218708069776</v>
      </c>
      <c r="H22" s="29">
        <v>60.523704463827613</v>
      </c>
      <c r="I22" s="29">
        <v>80.473702614921407</v>
      </c>
      <c r="J22" s="29">
        <v>109.77904526848062</v>
      </c>
      <c r="K22" s="29">
        <v>132.11165701931793</v>
      </c>
      <c r="L22" s="29">
        <v>155.91652927265898</v>
      </c>
      <c r="M22" s="29">
        <v>162.34423337473186</v>
      </c>
      <c r="N22" s="29">
        <v>211.13673963044633</v>
      </c>
      <c r="O22" s="29">
        <v>217.47252104652921</v>
      </c>
      <c r="P22" s="29">
        <v>274.06409900962461</v>
      </c>
      <c r="Q22" s="29">
        <v>319.3740342989326</v>
      </c>
      <c r="R22" s="29">
        <v>434.0183489397084</v>
      </c>
      <c r="S22" s="29">
        <v>604.34398705414856</v>
      </c>
      <c r="T22" s="10"/>
    </row>
    <row r="23" spans="1:20">
      <c r="A23" s="11" t="s">
        <v>27</v>
      </c>
      <c r="B23" s="29">
        <v>54.991471017604127</v>
      </c>
      <c r="C23" s="29">
        <v>63.943604510985814</v>
      </c>
      <c r="D23" s="29">
        <v>65.03879826114958</v>
      </c>
      <c r="E23" s="29">
        <v>84.40204966740221</v>
      </c>
      <c r="F23" s="29">
        <v>85.578347124251593</v>
      </c>
      <c r="G23" s="29">
        <v>107.1879815986199</v>
      </c>
      <c r="H23" s="29">
        <v>118.12216521292972</v>
      </c>
      <c r="I23" s="29">
        <v>161.54692278514023</v>
      </c>
      <c r="J23" s="29">
        <v>206.3244522032266</v>
      </c>
      <c r="K23" s="29">
        <v>234.64765674035846</v>
      </c>
      <c r="L23" s="29">
        <v>247.85583132583375</v>
      </c>
      <c r="M23" s="29">
        <v>274.56610378796432</v>
      </c>
      <c r="N23" s="29">
        <v>345.68769441984585</v>
      </c>
      <c r="O23" s="29">
        <v>403.00099813479858</v>
      </c>
      <c r="P23" s="29">
        <v>443.55880382752855</v>
      </c>
      <c r="Q23" s="29">
        <v>504.06188428284611</v>
      </c>
      <c r="R23" s="29">
        <v>705.94525727705116</v>
      </c>
      <c r="S23" s="29">
        <v>740.7567764686288</v>
      </c>
      <c r="T23" s="10"/>
    </row>
    <row r="24" spans="1:20">
      <c r="A24" s="11" t="s">
        <v>28</v>
      </c>
      <c r="B24" s="29">
        <v>12.068382996994417</v>
      </c>
      <c r="C24" s="29">
        <v>17.624994361267742</v>
      </c>
      <c r="D24" s="29">
        <v>20.400094670745453</v>
      </c>
      <c r="E24" s="29">
        <v>26.622328361793304</v>
      </c>
      <c r="F24" s="29">
        <v>31.374045107354142</v>
      </c>
      <c r="G24" s="29">
        <v>48.791661874640603</v>
      </c>
      <c r="H24" s="29">
        <v>50.058748075936379</v>
      </c>
      <c r="I24" s="29">
        <v>64.609545767051515</v>
      </c>
      <c r="J24" s="29">
        <v>107.32280178987078</v>
      </c>
      <c r="K24" s="29">
        <v>126.71502545505264</v>
      </c>
      <c r="L24" s="29">
        <v>137.57340818175791</v>
      </c>
      <c r="M24" s="29">
        <v>148.66417734560235</v>
      </c>
      <c r="N24" s="29">
        <v>170.49307190785527</v>
      </c>
      <c r="O24" s="29">
        <v>196.28191762867368</v>
      </c>
      <c r="P24" s="29">
        <v>250.08267796752088</v>
      </c>
      <c r="Q24" s="29">
        <v>300.40788525211059</v>
      </c>
      <c r="R24" s="29">
        <v>350.12117351879749</v>
      </c>
      <c r="S24" s="29">
        <v>491.96347864420636</v>
      </c>
      <c r="T24" s="10"/>
    </row>
    <row r="25" spans="1:20">
      <c r="A25" s="11" t="s">
        <v>29</v>
      </c>
      <c r="B25" s="29">
        <v>13.770579647917561</v>
      </c>
      <c r="C25" s="29">
        <v>10.720495430682481</v>
      </c>
      <c r="D25" s="29">
        <v>11.308412815971664</v>
      </c>
      <c r="E25" s="29">
        <v>25.164298274305295</v>
      </c>
      <c r="F25" s="29">
        <v>17.219496065321017</v>
      </c>
      <c r="G25" s="29">
        <v>30.179969331033163</v>
      </c>
      <c r="H25" s="29">
        <v>44.414263724987173</v>
      </c>
      <c r="I25" s="29">
        <v>61.704191460610232</v>
      </c>
      <c r="J25" s="29">
        <v>89.22680391684726</v>
      </c>
      <c r="K25" s="29">
        <v>108.83206987935002</v>
      </c>
      <c r="L25" s="29">
        <v>138.74781532477292</v>
      </c>
      <c r="M25" s="29">
        <v>148.49388619171279</v>
      </c>
      <c r="N25" s="29">
        <v>221.0347409023102</v>
      </c>
      <c r="O25" s="29">
        <v>197.67353934566717</v>
      </c>
      <c r="P25" s="29">
        <v>240.65908433308985</v>
      </c>
      <c r="Q25" s="29">
        <v>288.86903932851965</v>
      </c>
      <c r="R25" s="29">
        <v>399.57533522669627</v>
      </c>
      <c r="S25" s="29">
        <v>458.70652802996995</v>
      </c>
      <c r="T25" s="10"/>
    </row>
    <row r="26" spans="1:20">
      <c r="A26" s="11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10"/>
    </row>
    <row r="27" spans="1:20">
      <c r="A27" s="11" t="s">
        <v>30</v>
      </c>
      <c r="B27" s="29">
        <v>11.078622584800344</v>
      </c>
      <c r="C27" s="29">
        <v>15.424659537235078</v>
      </c>
      <c r="D27" s="29">
        <v>16.376485590082112</v>
      </c>
      <c r="E27" s="29">
        <v>25.177778712866434</v>
      </c>
      <c r="F27" s="29">
        <v>28.905163129204514</v>
      </c>
      <c r="G27" s="29">
        <v>34.491393521180754</v>
      </c>
      <c r="H27" s="29">
        <v>42.189430477167782</v>
      </c>
      <c r="I27" s="29">
        <v>55.201731822384488</v>
      </c>
      <c r="J27" s="29">
        <v>81.707691227225297</v>
      </c>
      <c r="K27" s="29">
        <v>98.726612734500307</v>
      </c>
      <c r="L27" s="29">
        <v>116.71370035582468</v>
      </c>
      <c r="M27" s="29">
        <v>135.32470362425201</v>
      </c>
      <c r="N27" s="29">
        <v>161.02810819163545</v>
      </c>
      <c r="O27" s="29">
        <v>178.19083530775822</v>
      </c>
      <c r="P27" s="29">
        <v>261.06603882420251</v>
      </c>
      <c r="Q27" s="29">
        <v>324.48030519615395</v>
      </c>
      <c r="R27" s="29">
        <v>394.53728962528425</v>
      </c>
      <c r="S27" s="29">
        <v>540.92894822768108</v>
      </c>
      <c r="T27" s="10"/>
    </row>
    <row r="28" spans="1:20">
      <c r="A28" s="11" t="s">
        <v>31</v>
      </c>
      <c r="B28" s="29">
        <v>15.640127093173037</v>
      </c>
      <c r="C28" s="29">
        <v>16.156616760645541</v>
      </c>
      <c r="D28" s="29">
        <v>16.632092738689426</v>
      </c>
      <c r="E28" s="29">
        <v>22.330747722836708</v>
      </c>
      <c r="F28" s="29">
        <v>24.459684766086312</v>
      </c>
      <c r="G28" s="29">
        <v>36.113513513513517</v>
      </c>
      <c r="H28" s="29">
        <v>43.343047716777839</v>
      </c>
      <c r="I28" s="29">
        <v>58.844953889191814</v>
      </c>
      <c r="J28" s="29">
        <v>85.968521751344412</v>
      </c>
      <c r="K28" s="29">
        <v>107.72099867494245</v>
      </c>
      <c r="L28" s="29">
        <v>135.05682144672573</v>
      </c>
      <c r="M28" s="29">
        <v>145.37188170373719</v>
      </c>
      <c r="N28" s="29">
        <v>200.49638826319264</v>
      </c>
      <c r="O28" s="29">
        <v>228.16270605434286</v>
      </c>
      <c r="P28" s="29">
        <v>280.17318729677299</v>
      </c>
      <c r="Q28" s="29">
        <v>307.63624275596931</v>
      </c>
      <c r="R28" s="29">
        <v>450.94359756407897</v>
      </c>
      <c r="S28" s="29">
        <v>613.36803326815516</v>
      </c>
      <c r="T28" s="10"/>
    </row>
    <row r="29" spans="1:20">
      <c r="A29" s="11" t="s">
        <v>32</v>
      </c>
      <c r="B29" s="29">
        <v>7.1100180334907686</v>
      </c>
      <c r="C29" s="29">
        <v>8.917381294964029</v>
      </c>
      <c r="D29" s="29">
        <v>10.880931895024958</v>
      </c>
      <c r="E29" s="29">
        <v>11.055596669088217</v>
      </c>
      <c r="F29" s="29">
        <v>13.588989519077924</v>
      </c>
      <c r="G29" s="29">
        <v>20.78874832279088</v>
      </c>
      <c r="H29" s="29">
        <v>20.435505387378143</v>
      </c>
      <c r="I29" s="29">
        <v>32.466181456105829</v>
      </c>
      <c r="J29" s="29">
        <v>49.726398587366567</v>
      </c>
      <c r="K29" s="29">
        <v>64.812486923774316</v>
      </c>
      <c r="L29" s="29">
        <v>86.402811236104057</v>
      </c>
      <c r="M29" s="29">
        <v>90.594893869255969</v>
      </c>
      <c r="N29" s="29">
        <v>108.32125141896029</v>
      </c>
      <c r="O29" s="29">
        <v>145.2979583606392</v>
      </c>
      <c r="P29" s="29">
        <v>197.89546632305121</v>
      </c>
      <c r="Q29" s="29">
        <v>246.22836157639884</v>
      </c>
      <c r="R29" s="29">
        <v>332.07195475122381</v>
      </c>
      <c r="S29" s="29">
        <v>441.17255465288304</v>
      </c>
      <c r="T29" s="10"/>
    </row>
    <row r="30" spans="1:20">
      <c r="A30" s="11" t="s">
        <v>33</v>
      </c>
      <c r="B30" s="29">
        <v>10.954304851867754</v>
      </c>
      <c r="C30" s="29">
        <v>11.898768034221272</v>
      </c>
      <c r="D30" s="29">
        <v>12.322027370793755</v>
      </c>
      <c r="E30" s="29">
        <v>13.12461077628979</v>
      </c>
      <c r="F30" s="29">
        <v>15.932724313734969</v>
      </c>
      <c r="G30" s="29">
        <v>19.465439907993101</v>
      </c>
      <c r="H30" s="29">
        <v>24.5143663417137</v>
      </c>
      <c r="I30" s="29">
        <v>48.653155449135866</v>
      </c>
      <c r="J30" s="29">
        <v>50.02716309495144</v>
      </c>
      <c r="K30" s="29">
        <v>83.224524025385307</v>
      </c>
      <c r="L30" s="29">
        <v>121.18763232921519</v>
      </c>
      <c r="M30" s="29">
        <v>140.94431170260813</v>
      </c>
      <c r="N30" s="29">
        <v>193.81523740468452</v>
      </c>
      <c r="O30" s="29">
        <v>213.74044462368298</v>
      </c>
      <c r="P30" s="29">
        <v>255.41188264354392</v>
      </c>
      <c r="Q30" s="29">
        <v>311.81410076278678</v>
      </c>
      <c r="R30" s="29">
        <v>400.05047890473747</v>
      </c>
      <c r="S30" s="29">
        <v>593.89206675619698</v>
      </c>
      <c r="T30" s="10"/>
    </row>
    <row r="31" spans="1:20">
      <c r="A31" s="11" t="s">
        <v>34</v>
      </c>
      <c r="B31" s="29">
        <v>6.3784559896951478</v>
      </c>
      <c r="C31" s="29">
        <v>3.5392809644176548</v>
      </c>
      <c r="D31" s="29">
        <v>4.5127882788600875</v>
      </c>
      <c r="E31" s="29">
        <v>6.3338289866545994</v>
      </c>
      <c r="F31" s="29">
        <v>5.2561834188590355</v>
      </c>
      <c r="G31" s="29">
        <v>9.049722062488021</v>
      </c>
      <c r="H31" s="29">
        <v>15.285428424833249</v>
      </c>
      <c r="I31" s="29">
        <v>41.136127640406819</v>
      </c>
      <c r="J31" s="29">
        <v>39.751042419134762</v>
      </c>
      <c r="K31" s="29">
        <v>55.183203152242129</v>
      </c>
      <c r="L31" s="29">
        <v>87.57721837911906</v>
      </c>
      <c r="M31" s="29">
        <v>83.556192841820035</v>
      </c>
      <c r="N31" s="29">
        <v>139.06691786968747</v>
      </c>
      <c r="O31" s="29">
        <v>178.6336240358925</v>
      </c>
      <c r="P31" s="29">
        <v>226.75115993468822</v>
      </c>
      <c r="Q31" s="29">
        <v>241.38735150500722</v>
      </c>
      <c r="R31" s="29">
        <v>354.50530924029579</v>
      </c>
      <c r="S31" s="29">
        <v>358.35293052389096</v>
      </c>
      <c r="T31" s="10"/>
    </row>
    <row r="32" spans="1:20">
      <c r="A32" s="11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10"/>
    </row>
    <row r="33" spans="1:20">
      <c r="A33" s="11" t="s">
        <v>35</v>
      </c>
      <c r="B33" s="29">
        <v>12.584779733791327</v>
      </c>
      <c r="C33" s="29">
        <v>13.08596694536263</v>
      </c>
      <c r="D33" s="29">
        <v>15.944597649331833</v>
      </c>
      <c r="E33" s="29">
        <v>24.022292375843939</v>
      </c>
      <c r="F33" s="29">
        <v>28.162627496462253</v>
      </c>
      <c r="G33" s="29">
        <v>36.369637722829218</v>
      </c>
      <c r="H33" s="29">
        <v>40.088199076449463</v>
      </c>
      <c r="I33" s="29">
        <v>58.153202863848648</v>
      </c>
      <c r="J33" s="29">
        <v>81.807946063086916</v>
      </c>
      <c r="K33" s="29">
        <v>114.65196666434198</v>
      </c>
      <c r="L33" s="29">
        <v>142.43880920282007</v>
      </c>
      <c r="M33" s="29">
        <v>153.60262080840016</v>
      </c>
      <c r="N33" s="29">
        <v>185.77311137129513</v>
      </c>
      <c r="O33" s="29">
        <v>212.66510056964256</v>
      </c>
      <c r="P33" s="29">
        <v>264.31555387055806</v>
      </c>
      <c r="Q33" s="29">
        <v>333.76443410019266</v>
      </c>
      <c r="R33" s="29">
        <v>393.97875364414892</v>
      </c>
      <c r="S33" s="29">
        <v>478.599752118298</v>
      </c>
      <c r="T33" s="10"/>
    </row>
    <row r="34" spans="1:20">
      <c r="A34" s="11" t="s">
        <v>36</v>
      </c>
      <c r="B34" s="29">
        <v>8.7596187204808924</v>
      </c>
      <c r="C34" s="29">
        <v>10.287569511958001</v>
      </c>
      <c r="D34" s="29">
        <v>11.321633875382387</v>
      </c>
      <c r="E34" s="29">
        <v>17.972509945393522</v>
      </c>
      <c r="F34" s="29">
        <v>24.608249251952738</v>
      </c>
      <c r="G34" s="29">
        <v>30.13728196281388</v>
      </c>
      <c r="H34" s="29">
        <v>45.032272960492563</v>
      </c>
      <c r="I34" s="29">
        <v>60.043988999786627</v>
      </c>
      <c r="J34" s="29">
        <v>77.697497792760259</v>
      </c>
      <c r="K34" s="29">
        <v>92.377634423599957</v>
      </c>
      <c r="L34" s="29">
        <v>104.13076668066391</v>
      </c>
      <c r="M34" s="29">
        <v>133.22444605961388</v>
      </c>
      <c r="N34" s="29">
        <v>147.17090641102601</v>
      </c>
      <c r="O34" s="29">
        <v>162.37695216010482</v>
      </c>
      <c r="P34" s="29">
        <v>238.25444319878679</v>
      </c>
      <c r="Q34" s="29">
        <v>289.13430015434932</v>
      </c>
      <c r="R34" s="29">
        <v>405.82309484914219</v>
      </c>
      <c r="S34" s="29">
        <v>506.27653557840341</v>
      </c>
      <c r="T34" s="10"/>
    </row>
    <row r="35" spans="1:20">
      <c r="A35" s="11" t="s">
        <v>37</v>
      </c>
      <c r="B35" s="29">
        <v>12.809507943323315</v>
      </c>
      <c r="C35" s="29">
        <v>11.510473653509624</v>
      </c>
      <c r="D35" s="29">
        <v>15.592036065045889</v>
      </c>
      <c r="E35" s="29">
        <v>21.825411094310617</v>
      </c>
      <c r="F35" s="29">
        <v>33.861174362703366</v>
      </c>
      <c r="G35" s="29">
        <v>47.895227142035658</v>
      </c>
      <c r="H35" s="29">
        <v>60.111698306824017</v>
      </c>
      <c r="I35" s="29">
        <v>81.349920580356084</v>
      </c>
      <c r="J35" s="29">
        <v>104.46553896781444</v>
      </c>
      <c r="K35" s="29">
        <v>135.33905432735895</v>
      </c>
      <c r="L35" s="29">
        <v>163.35444117842067</v>
      </c>
      <c r="M35" s="29">
        <v>179.82745850739531</v>
      </c>
      <c r="N35" s="29">
        <v>211.01301461454801</v>
      </c>
      <c r="O35" s="29">
        <v>233.79244845490749</v>
      </c>
      <c r="P35" s="29">
        <v>293.04126688034086</v>
      </c>
      <c r="Q35" s="29">
        <v>453.3970665493776</v>
      </c>
      <c r="R35" s="29">
        <v>617.73766659659157</v>
      </c>
      <c r="S35" s="29">
        <v>965.04652030976001</v>
      </c>
      <c r="T35" s="10"/>
    </row>
    <row r="36" spans="1:20">
      <c r="A36" s="11" t="s">
        <v>38</v>
      </c>
      <c r="B36" s="29">
        <v>15.549279519106914</v>
      </c>
      <c r="C36" s="29">
        <v>22.061369239743339</v>
      </c>
      <c r="D36" s="29">
        <v>16.469033005957172</v>
      </c>
      <c r="E36" s="29">
        <v>32.76739429648017</v>
      </c>
      <c r="F36" s="29">
        <v>36.87317378656271</v>
      </c>
      <c r="G36" s="29">
        <v>47.382978723404257</v>
      </c>
      <c r="H36" s="29">
        <v>70.247049769112365</v>
      </c>
      <c r="I36" s="29">
        <v>71.619289490528914</v>
      </c>
      <c r="J36" s="29">
        <v>89.477441006501323</v>
      </c>
      <c r="K36" s="29">
        <v>119.78405746565311</v>
      </c>
      <c r="L36" s="29">
        <v>148.6463898158994</v>
      </c>
      <c r="M36" s="29">
        <v>169.89380786383654</v>
      </c>
      <c r="N36" s="29">
        <v>226.16932906208959</v>
      </c>
      <c r="O36" s="29">
        <v>280.8545647023239</v>
      </c>
      <c r="P36" s="29">
        <v>314.16311468165173</v>
      </c>
      <c r="Q36" s="29">
        <v>411.68480168766064</v>
      </c>
      <c r="R36" s="29">
        <v>560.85365438269798</v>
      </c>
      <c r="S36" s="29">
        <v>666.4303663099347</v>
      </c>
      <c r="T36" s="10"/>
    </row>
    <row r="37" spans="1:20">
      <c r="A37" s="11" t="s">
        <v>39</v>
      </c>
      <c r="B37" s="29">
        <v>30.739950193215975</v>
      </c>
      <c r="C37" s="29">
        <v>33.39331674120163</v>
      </c>
      <c r="D37" s="29">
        <v>26.014637900499118</v>
      </c>
      <c r="E37" s="29">
        <v>25.067901702441546</v>
      </c>
      <c r="F37" s="29">
        <v>25.01460997151181</v>
      </c>
      <c r="G37" s="29">
        <v>31.204466168295955</v>
      </c>
      <c r="H37" s="29">
        <v>40.78860954335557</v>
      </c>
      <c r="I37" s="29">
        <v>60.689623290106915</v>
      </c>
      <c r="J37" s="29">
        <v>91.733174813387919</v>
      </c>
      <c r="K37" s="29">
        <v>110.84257967780179</v>
      </c>
      <c r="L37" s="29">
        <v>131.25397926934383</v>
      </c>
      <c r="M37" s="29">
        <v>156.83815273230215</v>
      </c>
      <c r="N37" s="29">
        <v>197.5888503895826</v>
      </c>
      <c r="O37" s="29">
        <v>241.69939002873417</v>
      </c>
      <c r="P37" s="29">
        <v>344.83853671924788</v>
      </c>
      <c r="Q37" s="29">
        <v>428.66149454076003</v>
      </c>
      <c r="R37" s="29">
        <v>470.5375476252587</v>
      </c>
      <c r="S37" s="29">
        <v>700.37856810402525</v>
      </c>
      <c r="T37" s="10"/>
    </row>
    <row r="38" spans="1:20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</row>
    <row r="39" spans="1:20"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</row>
    <row r="40" spans="1:20"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</row>
    <row r="41" spans="1:20"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</row>
    <row r="42" spans="1:20"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</row>
    <row r="43" spans="1:20"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</row>
    <row r="44" spans="1:20"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</row>
  </sheetData>
  <phoneticPr fontId="6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62936-175D-9A46-932B-3B128298D8D3}">
  <dimension ref="A1:U38"/>
  <sheetViews>
    <sheetView workbookViewId="0">
      <selection activeCell="F33" sqref="F33"/>
    </sheetView>
  </sheetViews>
  <sheetFormatPr baseColWidth="10" defaultRowHeight="16"/>
  <cols>
    <col min="1" max="1" width="19" customWidth="1"/>
  </cols>
  <sheetData>
    <row r="1" spans="1:21" ht="17">
      <c r="A1" s="23" t="s">
        <v>1</v>
      </c>
      <c r="B1" s="23">
        <v>1997</v>
      </c>
      <c r="C1" s="23">
        <v>1998</v>
      </c>
      <c r="D1" s="23">
        <v>1999</v>
      </c>
      <c r="E1" s="23">
        <v>2000</v>
      </c>
      <c r="F1" s="23">
        <v>2001</v>
      </c>
      <c r="G1" s="23">
        <v>2002</v>
      </c>
      <c r="H1" s="23">
        <v>2003</v>
      </c>
      <c r="I1" s="23">
        <v>2004</v>
      </c>
      <c r="J1" s="23">
        <v>2005</v>
      </c>
      <c r="K1" s="23">
        <v>2006</v>
      </c>
      <c r="L1" s="23">
        <v>2007</v>
      </c>
      <c r="M1" s="23">
        <v>2008</v>
      </c>
      <c r="N1" s="23">
        <v>2009</v>
      </c>
      <c r="O1" s="23">
        <v>2010</v>
      </c>
      <c r="P1" s="23">
        <v>2011</v>
      </c>
      <c r="Q1" s="23">
        <v>2012</v>
      </c>
      <c r="R1" s="23">
        <v>2013</v>
      </c>
      <c r="S1" s="23">
        <v>2014</v>
      </c>
      <c r="T1" s="23">
        <v>2015</v>
      </c>
      <c r="U1" s="23">
        <v>2016</v>
      </c>
    </row>
    <row r="2" spans="1:21">
      <c r="A2" s="16" t="s">
        <v>9</v>
      </c>
      <c r="B2" s="29">
        <v>2077.09</v>
      </c>
      <c r="C2" s="29">
        <v>2377.1799999999998</v>
      </c>
      <c r="D2" s="29">
        <v>2678.82</v>
      </c>
      <c r="E2" s="29">
        <v>3161.66</v>
      </c>
      <c r="F2" s="29">
        <v>3707.96</v>
      </c>
      <c r="G2" s="29">
        <v>4315</v>
      </c>
      <c r="H2" s="29">
        <v>5007.21</v>
      </c>
      <c r="I2" s="29">
        <v>6033.21</v>
      </c>
      <c r="J2" s="29">
        <v>6969.52</v>
      </c>
      <c r="K2" s="29">
        <v>8117.78</v>
      </c>
      <c r="L2" s="29">
        <v>9846.81</v>
      </c>
      <c r="M2" s="29">
        <v>11115</v>
      </c>
      <c r="N2" s="29">
        <v>12153.03</v>
      </c>
      <c r="O2" s="29">
        <v>14113.58</v>
      </c>
      <c r="P2" s="29">
        <v>16251.93</v>
      </c>
      <c r="Q2" s="29">
        <v>17879.400000000001</v>
      </c>
      <c r="R2" s="29">
        <v>19800.810000000001</v>
      </c>
      <c r="S2" s="29">
        <v>21330.83</v>
      </c>
      <c r="T2" s="29">
        <v>23014.59</v>
      </c>
      <c r="U2" s="10">
        <v>25669.13</v>
      </c>
    </row>
    <row r="3" spans="1:21">
      <c r="A3" s="11" t="s">
        <v>10</v>
      </c>
      <c r="B3" s="29">
        <v>1264.6300000000001</v>
      </c>
      <c r="C3" s="29">
        <v>1374.6</v>
      </c>
      <c r="D3" s="29">
        <v>1500.95</v>
      </c>
      <c r="E3" s="29">
        <v>1701.88</v>
      </c>
      <c r="F3" s="29">
        <v>1919.09</v>
      </c>
      <c r="G3" s="29">
        <v>2150.7600000000002</v>
      </c>
      <c r="H3" s="29">
        <v>2578.0300000000002</v>
      </c>
      <c r="I3" s="29">
        <v>3110.97</v>
      </c>
      <c r="J3" s="29">
        <v>3905.64</v>
      </c>
      <c r="K3" s="29">
        <v>4462.74</v>
      </c>
      <c r="L3" s="29">
        <v>5252.76</v>
      </c>
      <c r="M3" s="29">
        <v>6719.01</v>
      </c>
      <c r="N3" s="29">
        <v>7521.85</v>
      </c>
      <c r="O3" s="29">
        <v>9224.4599999999991</v>
      </c>
      <c r="P3" s="29">
        <v>11307.28</v>
      </c>
      <c r="Q3" s="29">
        <v>12893.88</v>
      </c>
      <c r="R3" s="29">
        <v>14442.01</v>
      </c>
      <c r="S3" s="29">
        <v>15726.93</v>
      </c>
      <c r="T3" s="29">
        <v>16538.189999999999</v>
      </c>
      <c r="U3" s="10">
        <v>17885.39</v>
      </c>
    </row>
    <row r="4" spans="1:21">
      <c r="A4" s="11" t="s">
        <v>11</v>
      </c>
      <c r="B4" s="29">
        <v>3953.78</v>
      </c>
      <c r="C4" s="29">
        <v>4256.01</v>
      </c>
      <c r="D4" s="29">
        <v>4514.1899999999996</v>
      </c>
      <c r="E4" s="29">
        <v>5043.96</v>
      </c>
      <c r="F4" s="29">
        <v>5516.76</v>
      </c>
      <c r="G4" s="29">
        <v>6018.28</v>
      </c>
      <c r="H4" s="29">
        <v>6921.29</v>
      </c>
      <c r="I4" s="29">
        <v>8477.6299999999992</v>
      </c>
      <c r="J4" s="29">
        <v>10012.11</v>
      </c>
      <c r="K4" s="29">
        <v>11467.6</v>
      </c>
      <c r="L4" s="29">
        <v>13607.32</v>
      </c>
      <c r="M4" s="29">
        <v>16011.97</v>
      </c>
      <c r="N4" s="29">
        <v>17235.48</v>
      </c>
      <c r="O4" s="29">
        <v>20394.259999999998</v>
      </c>
      <c r="P4" s="29">
        <v>24515.759999999998</v>
      </c>
      <c r="Q4" s="29">
        <v>26575.01</v>
      </c>
      <c r="R4" s="29">
        <v>28442.95</v>
      </c>
      <c r="S4" s="29">
        <v>29421.15</v>
      </c>
      <c r="T4" s="29">
        <v>29806.11</v>
      </c>
      <c r="U4" s="10">
        <v>32070.45</v>
      </c>
    </row>
    <row r="5" spans="1:21">
      <c r="A5" s="11" t="s">
        <v>12</v>
      </c>
      <c r="B5" s="29">
        <v>1476</v>
      </c>
      <c r="C5" s="29">
        <v>1611.08</v>
      </c>
      <c r="D5" s="29">
        <v>1667.1</v>
      </c>
      <c r="E5" s="29">
        <v>1845.72</v>
      </c>
      <c r="F5" s="29">
        <v>2029.53</v>
      </c>
      <c r="G5" s="29">
        <v>2324.8000000000002</v>
      </c>
      <c r="H5" s="29">
        <v>2855.23</v>
      </c>
      <c r="I5" s="29">
        <v>3571.37</v>
      </c>
      <c r="J5" s="29">
        <v>4230.53</v>
      </c>
      <c r="K5" s="29">
        <v>4878.6099999999997</v>
      </c>
      <c r="L5" s="29">
        <v>6024.45</v>
      </c>
      <c r="M5" s="29">
        <v>7315.4</v>
      </c>
      <c r="N5" s="29">
        <v>7358.31</v>
      </c>
      <c r="O5" s="29">
        <v>9200.86</v>
      </c>
      <c r="P5" s="29">
        <v>11237.55</v>
      </c>
      <c r="Q5" s="29">
        <v>12112.83</v>
      </c>
      <c r="R5" s="29">
        <v>12665.25</v>
      </c>
      <c r="S5" s="29">
        <v>12761.49</v>
      </c>
      <c r="T5" s="29">
        <v>12766.49</v>
      </c>
      <c r="U5" s="10">
        <v>13050.41</v>
      </c>
    </row>
    <row r="6" spans="1:21">
      <c r="A6" s="11" t="s">
        <v>13</v>
      </c>
      <c r="B6" s="29">
        <v>1153.51</v>
      </c>
      <c r="C6" s="29">
        <v>1262.54</v>
      </c>
      <c r="D6" s="29">
        <v>1379.31</v>
      </c>
      <c r="E6" s="29">
        <v>1539.12</v>
      </c>
      <c r="F6" s="29">
        <v>1713.81</v>
      </c>
      <c r="G6" s="29">
        <v>1940.94</v>
      </c>
      <c r="H6" s="29">
        <v>2388.38</v>
      </c>
      <c r="I6" s="29">
        <v>3041.07</v>
      </c>
      <c r="J6" s="29">
        <v>3905.03</v>
      </c>
      <c r="K6" s="29">
        <v>4944.25</v>
      </c>
      <c r="L6" s="29">
        <v>6423.18</v>
      </c>
      <c r="M6" s="29">
        <v>8496.2000000000007</v>
      </c>
      <c r="N6" s="29">
        <v>9740.25</v>
      </c>
      <c r="O6" s="29">
        <v>11672</v>
      </c>
      <c r="P6" s="29">
        <v>14359.88</v>
      </c>
      <c r="Q6" s="29">
        <v>15880.58</v>
      </c>
      <c r="R6" s="29">
        <v>16916.5</v>
      </c>
      <c r="S6" s="29">
        <v>17770.189999999999</v>
      </c>
      <c r="T6" s="29">
        <v>17831.509999999998</v>
      </c>
      <c r="U6" s="10">
        <v>18128.099999999999</v>
      </c>
    </row>
    <row r="7" spans="1:21">
      <c r="A7" s="11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10"/>
    </row>
    <row r="8" spans="1:21">
      <c r="A8" s="11" t="s">
        <v>14</v>
      </c>
      <c r="B8" s="29">
        <v>3582.46</v>
      </c>
      <c r="C8" s="29">
        <v>3881.73</v>
      </c>
      <c r="D8" s="29">
        <v>4171.6899999999996</v>
      </c>
      <c r="E8" s="29">
        <v>4669.0600000000004</v>
      </c>
      <c r="F8" s="29">
        <v>5033.08</v>
      </c>
      <c r="G8" s="29">
        <v>5458.22</v>
      </c>
      <c r="H8" s="29">
        <v>6002.54</v>
      </c>
      <c r="I8" s="29">
        <v>6672</v>
      </c>
      <c r="J8" s="29">
        <v>8047.26</v>
      </c>
      <c r="K8" s="29">
        <v>9304.52</v>
      </c>
      <c r="L8" s="29">
        <v>11164.3</v>
      </c>
      <c r="M8" s="29">
        <v>13668.58</v>
      </c>
      <c r="N8" s="29">
        <v>15212.49</v>
      </c>
      <c r="O8" s="29">
        <v>18457.27</v>
      </c>
      <c r="P8" s="29">
        <v>22226.7</v>
      </c>
      <c r="Q8" s="29">
        <v>24846.43</v>
      </c>
      <c r="R8" s="29">
        <v>27213.22</v>
      </c>
      <c r="S8" s="29">
        <v>28626.58</v>
      </c>
      <c r="T8" s="29">
        <v>28669.02</v>
      </c>
      <c r="U8" s="10">
        <v>22246.9</v>
      </c>
    </row>
    <row r="9" spans="1:21">
      <c r="A9" s="11" t="s">
        <v>15</v>
      </c>
      <c r="B9" s="29">
        <v>1464.34</v>
      </c>
      <c r="C9" s="29">
        <v>1577.05</v>
      </c>
      <c r="D9" s="29">
        <v>1672.96</v>
      </c>
      <c r="E9" s="29">
        <v>1951.51</v>
      </c>
      <c r="F9" s="29">
        <v>2120.35</v>
      </c>
      <c r="G9" s="29">
        <v>2348.54</v>
      </c>
      <c r="H9" s="29">
        <v>2662.08</v>
      </c>
      <c r="I9" s="29">
        <v>3122.01</v>
      </c>
      <c r="J9" s="29">
        <v>3620.27</v>
      </c>
      <c r="K9" s="29">
        <v>4275.12</v>
      </c>
      <c r="L9" s="29">
        <v>5284.69</v>
      </c>
      <c r="M9" s="29">
        <v>6426.1</v>
      </c>
      <c r="N9" s="29">
        <v>7278.75</v>
      </c>
      <c r="O9" s="29">
        <v>8667.58</v>
      </c>
      <c r="P9" s="29">
        <v>10568.83</v>
      </c>
      <c r="Q9" s="29">
        <v>11939.24</v>
      </c>
      <c r="R9" s="29">
        <v>13046.4</v>
      </c>
      <c r="S9" s="29">
        <v>13803.14</v>
      </c>
      <c r="T9" s="29">
        <v>14063.13</v>
      </c>
      <c r="U9" s="10">
        <v>14776.8</v>
      </c>
    </row>
    <row r="10" spans="1:21">
      <c r="A10" s="11" t="s">
        <v>16</v>
      </c>
      <c r="B10" s="29">
        <v>2667.5</v>
      </c>
      <c r="C10" s="29">
        <v>2774.4</v>
      </c>
      <c r="D10" s="29">
        <v>2866.3</v>
      </c>
      <c r="E10" s="29">
        <v>3151.4</v>
      </c>
      <c r="F10" s="29">
        <v>3390.1</v>
      </c>
      <c r="G10" s="29">
        <v>3637.2</v>
      </c>
      <c r="H10" s="29">
        <v>4057.4</v>
      </c>
      <c r="I10" s="29">
        <v>4750.6000000000004</v>
      </c>
      <c r="J10" s="29">
        <v>5513.7</v>
      </c>
      <c r="K10" s="29">
        <v>6211.8</v>
      </c>
      <c r="L10" s="29">
        <v>7104</v>
      </c>
      <c r="M10" s="29">
        <v>8314.3700000000008</v>
      </c>
      <c r="N10" s="29">
        <v>8587</v>
      </c>
      <c r="O10" s="29">
        <v>10368.6</v>
      </c>
      <c r="P10" s="29">
        <v>12582</v>
      </c>
      <c r="Q10" s="29">
        <v>13691.58</v>
      </c>
      <c r="R10" s="29">
        <v>14454.91</v>
      </c>
      <c r="S10" s="29">
        <v>15039.38</v>
      </c>
      <c r="T10" s="29">
        <v>15083.67</v>
      </c>
      <c r="U10" s="10">
        <v>15386.09</v>
      </c>
    </row>
    <row r="11" spans="1:21">
      <c r="A11" s="11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10"/>
    </row>
    <row r="12" spans="1:21">
      <c r="A12" s="11" t="s">
        <v>17</v>
      </c>
      <c r="B12" s="29">
        <v>3438.79</v>
      </c>
      <c r="C12" s="29">
        <v>3801.09</v>
      </c>
      <c r="D12" s="29">
        <v>4188.7299999999996</v>
      </c>
      <c r="E12" s="29">
        <v>4771.17</v>
      </c>
      <c r="F12" s="29">
        <v>5210.12</v>
      </c>
      <c r="G12" s="29">
        <v>5741.03</v>
      </c>
      <c r="H12" s="29">
        <v>6694.23</v>
      </c>
      <c r="I12" s="29">
        <v>8072.83</v>
      </c>
      <c r="J12" s="29">
        <v>9247.66</v>
      </c>
      <c r="K12" s="29">
        <v>10572.24</v>
      </c>
      <c r="L12" s="29">
        <v>12494.01</v>
      </c>
      <c r="M12" s="29">
        <v>14069.86</v>
      </c>
      <c r="N12" s="29">
        <v>15046.45</v>
      </c>
      <c r="O12" s="29">
        <v>17165.98</v>
      </c>
      <c r="P12" s="29">
        <v>19195.689999999999</v>
      </c>
      <c r="Q12" s="29">
        <v>20181.72</v>
      </c>
      <c r="R12" s="29">
        <v>21818.15</v>
      </c>
      <c r="S12" s="29">
        <v>23567.7</v>
      </c>
      <c r="T12" s="29">
        <v>25123.45</v>
      </c>
      <c r="U12" s="10">
        <v>28178.65</v>
      </c>
    </row>
    <row r="13" spans="1:21">
      <c r="A13" s="11" t="s">
        <v>18</v>
      </c>
      <c r="B13" s="29">
        <v>6680.34</v>
      </c>
      <c r="C13" s="29">
        <v>7199.95</v>
      </c>
      <c r="D13" s="29">
        <v>7697.82</v>
      </c>
      <c r="E13" s="29">
        <v>8553.69</v>
      </c>
      <c r="F13" s="29">
        <v>9456.84</v>
      </c>
      <c r="G13" s="29">
        <v>10606.85</v>
      </c>
      <c r="H13" s="29">
        <v>12442.87</v>
      </c>
      <c r="I13" s="29">
        <v>15003.6</v>
      </c>
      <c r="J13" s="29">
        <v>18598.689999999999</v>
      </c>
      <c r="K13" s="29">
        <v>21742.05</v>
      </c>
      <c r="L13" s="29">
        <v>26018.48</v>
      </c>
      <c r="M13" s="29">
        <v>30981.98</v>
      </c>
      <c r="N13" s="29">
        <v>34457.300000000003</v>
      </c>
      <c r="O13" s="29">
        <v>41425.480000000003</v>
      </c>
      <c r="P13" s="29">
        <v>49110.27</v>
      </c>
      <c r="Q13" s="29">
        <v>54058.22</v>
      </c>
      <c r="R13" s="29">
        <v>59753.37</v>
      </c>
      <c r="S13" s="29">
        <v>65088.32</v>
      </c>
      <c r="T13" s="29">
        <v>70116.38</v>
      </c>
      <c r="U13" s="10">
        <v>77388.28</v>
      </c>
    </row>
    <row r="14" spans="1:21">
      <c r="A14" s="11" t="s">
        <v>19</v>
      </c>
      <c r="B14" s="29">
        <v>4686.1099999999997</v>
      </c>
      <c r="C14" s="29">
        <v>5052.62</v>
      </c>
      <c r="D14" s="29">
        <v>5443.92</v>
      </c>
      <c r="E14" s="29">
        <v>6141.03</v>
      </c>
      <c r="F14" s="29">
        <v>6898.34</v>
      </c>
      <c r="G14" s="29">
        <v>8003.67</v>
      </c>
      <c r="H14" s="29">
        <v>9705.02</v>
      </c>
      <c r="I14" s="29">
        <v>11648.7</v>
      </c>
      <c r="J14" s="29">
        <v>13417.68</v>
      </c>
      <c r="K14" s="29">
        <v>15718.47</v>
      </c>
      <c r="L14" s="29">
        <v>18753.73</v>
      </c>
      <c r="M14" s="29">
        <v>21462.69</v>
      </c>
      <c r="N14" s="29">
        <v>22990.35</v>
      </c>
      <c r="O14" s="29">
        <v>27722.31</v>
      </c>
      <c r="P14" s="29">
        <v>32318.85</v>
      </c>
      <c r="Q14" s="29">
        <v>34665.33</v>
      </c>
      <c r="R14" s="29">
        <v>37756.58</v>
      </c>
      <c r="S14" s="29">
        <v>40173.03</v>
      </c>
      <c r="T14" s="29">
        <v>42886.49</v>
      </c>
      <c r="U14" s="10">
        <v>47251.360000000001</v>
      </c>
    </row>
    <row r="15" spans="1:21">
      <c r="A15" s="11" t="s">
        <v>20</v>
      </c>
      <c r="B15" s="29">
        <v>2347.3200000000002</v>
      </c>
      <c r="C15" s="29">
        <v>2542.96</v>
      </c>
      <c r="D15" s="29">
        <v>2712.34</v>
      </c>
      <c r="E15" s="29">
        <v>2902.09</v>
      </c>
      <c r="F15" s="29">
        <v>3246.71</v>
      </c>
      <c r="G15" s="29">
        <v>3519.72</v>
      </c>
      <c r="H15" s="29">
        <v>3923.11</v>
      </c>
      <c r="I15" s="29">
        <v>4759.3</v>
      </c>
      <c r="J15" s="29">
        <v>5350.17</v>
      </c>
      <c r="K15" s="29">
        <v>6112.5</v>
      </c>
      <c r="L15" s="29">
        <v>7360.92</v>
      </c>
      <c r="M15" s="29">
        <v>8851.66</v>
      </c>
      <c r="N15" s="29">
        <v>10062.82</v>
      </c>
      <c r="O15" s="29">
        <v>12359.33</v>
      </c>
      <c r="P15" s="29">
        <v>15300.65</v>
      </c>
      <c r="Q15" s="29">
        <v>17212.05</v>
      </c>
      <c r="R15" s="29">
        <v>19229.34</v>
      </c>
      <c r="S15" s="29">
        <v>20848.75</v>
      </c>
      <c r="T15" s="29">
        <v>22005.63</v>
      </c>
      <c r="U15" s="10">
        <v>24407.62</v>
      </c>
    </row>
    <row r="16" spans="1:21">
      <c r="A16" s="11" t="s">
        <v>21</v>
      </c>
      <c r="B16" s="29">
        <v>2870.9</v>
      </c>
      <c r="C16" s="29">
        <v>3159.91</v>
      </c>
      <c r="D16" s="29">
        <v>3414.19</v>
      </c>
      <c r="E16" s="29">
        <v>3764.54</v>
      </c>
      <c r="F16" s="29">
        <v>4072.85</v>
      </c>
      <c r="G16" s="29">
        <v>4467.55</v>
      </c>
      <c r="H16" s="29">
        <v>4983.67</v>
      </c>
      <c r="I16" s="29">
        <v>5763.35</v>
      </c>
      <c r="J16" s="29">
        <v>6554.69</v>
      </c>
      <c r="K16" s="29">
        <v>7583.85</v>
      </c>
      <c r="L16" s="29">
        <v>9248.5300000000007</v>
      </c>
      <c r="M16" s="29">
        <v>10823.01</v>
      </c>
      <c r="N16" s="29">
        <v>12236.53</v>
      </c>
      <c r="O16" s="29">
        <v>14737.12</v>
      </c>
      <c r="P16" s="29">
        <v>17560.18</v>
      </c>
      <c r="Q16" s="29">
        <v>19701.78</v>
      </c>
      <c r="R16" s="29">
        <v>21868.49</v>
      </c>
      <c r="S16" s="29">
        <v>24055.759999999998</v>
      </c>
      <c r="T16" s="29">
        <v>25979.82</v>
      </c>
      <c r="U16" s="10">
        <v>28810.58</v>
      </c>
    </row>
    <row r="17" spans="1:21">
      <c r="A17" s="11" t="s">
        <v>22</v>
      </c>
      <c r="B17" s="29">
        <v>1605.77</v>
      </c>
      <c r="C17" s="29">
        <v>1719.87</v>
      </c>
      <c r="D17" s="29">
        <v>1853.65</v>
      </c>
      <c r="E17" s="29">
        <v>2003.07</v>
      </c>
      <c r="F17" s="29">
        <v>2175.6799999999998</v>
      </c>
      <c r="G17" s="29">
        <v>2450.48</v>
      </c>
      <c r="H17" s="29">
        <v>2807.41</v>
      </c>
      <c r="I17" s="29">
        <v>3456.7</v>
      </c>
      <c r="J17" s="29">
        <v>4056.76</v>
      </c>
      <c r="K17" s="29">
        <v>4820.53</v>
      </c>
      <c r="L17" s="29">
        <v>5800.25</v>
      </c>
      <c r="M17" s="29">
        <v>6971.05</v>
      </c>
      <c r="N17" s="29">
        <v>7655.18</v>
      </c>
      <c r="O17" s="29">
        <v>9451.26</v>
      </c>
      <c r="P17" s="29">
        <v>11702.82</v>
      </c>
      <c r="Q17" s="29">
        <v>12948.88</v>
      </c>
      <c r="R17" s="29">
        <v>14410.19</v>
      </c>
      <c r="S17" s="29">
        <v>15714.63</v>
      </c>
      <c r="T17" s="29">
        <v>16723.78</v>
      </c>
      <c r="U17" s="10">
        <v>18499</v>
      </c>
    </row>
    <row r="18" spans="1:21">
      <c r="A18" s="11" t="s">
        <v>23</v>
      </c>
      <c r="B18" s="29">
        <v>6537.07</v>
      </c>
      <c r="C18" s="29">
        <v>7021.35</v>
      </c>
      <c r="D18" s="29">
        <v>7493.84</v>
      </c>
      <c r="E18" s="29">
        <v>8337.4699999999993</v>
      </c>
      <c r="F18" s="29">
        <v>9195.0400000000009</v>
      </c>
      <c r="G18" s="29">
        <v>10275.5</v>
      </c>
      <c r="H18" s="29">
        <v>12078.15</v>
      </c>
      <c r="I18" s="29">
        <v>15021.84</v>
      </c>
      <c r="J18" s="29">
        <v>18366.87</v>
      </c>
      <c r="K18" s="29">
        <v>21900.19</v>
      </c>
      <c r="L18" s="29">
        <v>25776.91</v>
      </c>
      <c r="M18" s="29">
        <v>30933.279999999999</v>
      </c>
      <c r="N18" s="29">
        <v>33896.65</v>
      </c>
      <c r="O18" s="29">
        <v>39169.919999999998</v>
      </c>
      <c r="P18" s="29">
        <v>45361.85</v>
      </c>
      <c r="Q18" s="29">
        <v>50013.24</v>
      </c>
      <c r="R18" s="29">
        <v>55230.32</v>
      </c>
      <c r="S18" s="29">
        <v>59426.59</v>
      </c>
      <c r="T18" s="29">
        <v>63002.33</v>
      </c>
      <c r="U18" s="10">
        <v>68024.490000000005</v>
      </c>
    </row>
    <row r="19" spans="1:21">
      <c r="A19" s="11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10"/>
    </row>
    <row r="20" spans="1:21">
      <c r="A20" s="11" t="s">
        <v>24</v>
      </c>
      <c r="B20" s="29">
        <v>4041.09</v>
      </c>
      <c r="C20" s="29">
        <v>4308.24</v>
      </c>
      <c r="D20" s="29">
        <v>4517.9399999999996</v>
      </c>
      <c r="E20" s="29">
        <v>5052.99</v>
      </c>
      <c r="F20" s="29">
        <v>5533.01</v>
      </c>
      <c r="G20" s="29">
        <v>6035.48</v>
      </c>
      <c r="H20" s="29">
        <v>6867.7</v>
      </c>
      <c r="I20" s="29">
        <v>8553.7900000000009</v>
      </c>
      <c r="J20" s="29">
        <v>10587.42</v>
      </c>
      <c r="K20" s="29">
        <v>12362.79</v>
      </c>
      <c r="L20" s="29">
        <v>15012.46</v>
      </c>
      <c r="M20" s="29">
        <v>18018.53</v>
      </c>
      <c r="N20" s="29">
        <v>19480.46</v>
      </c>
      <c r="O20" s="29">
        <v>23092.36</v>
      </c>
      <c r="P20" s="29">
        <v>26931.03</v>
      </c>
      <c r="Q20" s="29">
        <v>29599.31</v>
      </c>
      <c r="R20" s="29">
        <v>32191.3</v>
      </c>
      <c r="S20" s="29">
        <v>34938.239999999998</v>
      </c>
      <c r="T20" s="29">
        <v>37002.160000000003</v>
      </c>
      <c r="U20" s="10">
        <v>40471.79</v>
      </c>
    </row>
    <row r="21" spans="1:21">
      <c r="A21" s="11" t="s">
        <v>25</v>
      </c>
      <c r="B21" s="29">
        <v>2856.47</v>
      </c>
      <c r="C21" s="29">
        <v>3114.02</v>
      </c>
      <c r="D21" s="29">
        <v>3229.29</v>
      </c>
      <c r="E21" s="29">
        <v>3545.39</v>
      </c>
      <c r="F21" s="29">
        <v>3880.53</v>
      </c>
      <c r="G21" s="29">
        <v>4212.82</v>
      </c>
      <c r="H21" s="29">
        <v>4757.45</v>
      </c>
      <c r="I21" s="29">
        <v>5633.24</v>
      </c>
      <c r="J21" s="29">
        <v>6590.19</v>
      </c>
      <c r="K21" s="29">
        <v>7617.47</v>
      </c>
      <c r="L21" s="29">
        <v>9333.4</v>
      </c>
      <c r="M21" s="29">
        <v>11328.92</v>
      </c>
      <c r="N21" s="29">
        <v>12961.1</v>
      </c>
      <c r="O21" s="29">
        <v>15967.61</v>
      </c>
      <c r="P21" s="29">
        <v>19632.259999999998</v>
      </c>
      <c r="Q21" s="29">
        <v>22250.45</v>
      </c>
      <c r="R21" s="29">
        <v>24791.83</v>
      </c>
      <c r="S21" s="29">
        <v>27379.22</v>
      </c>
      <c r="T21" s="29">
        <v>29550.19</v>
      </c>
      <c r="U21" s="10">
        <v>32665.38</v>
      </c>
    </row>
    <row r="22" spans="1:21">
      <c r="A22" s="11" t="s">
        <v>26</v>
      </c>
      <c r="B22" s="29">
        <v>2849.27</v>
      </c>
      <c r="C22" s="29">
        <v>3025.53</v>
      </c>
      <c r="D22" s="29">
        <v>3214.54</v>
      </c>
      <c r="E22" s="29">
        <v>3551.49</v>
      </c>
      <c r="F22" s="29">
        <v>3831.9</v>
      </c>
      <c r="G22" s="29">
        <v>4151.54</v>
      </c>
      <c r="H22" s="29">
        <v>4659.99</v>
      </c>
      <c r="I22" s="29">
        <v>5641.94</v>
      </c>
      <c r="J22" s="29">
        <v>6596.1</v>
      </c>
      <c r="K22" s="29">
        <v>7688.67</v>
      </c>
      <c r="L22" s="29">
        <v>9439.6</v>
      </c>
      <c r="M22" s="29">
        <v>11555</v>
      </c>
      <c r="N22" s="29">
        <v>13059.69</v>
      </c>
      <c r="O22" s="29">
        <v>16037.96</v>
      </c>
      <c r="P22" s="29">
        <v>19669.560000000001</v>
      </c>
      <c r="Q22" s="29">
        <v>22154.23</v>
      </c>
      <c r="R22" s="29">
        <v>24621.67</v>
      </c>
      <c r="S22" s="29">
        <v>27037.32</v>
      </c>
      <c r="T22" s="29">
        <v>28902.21</v>
      </c>
      <c r="U22" s="10">
        <v>31551.37</v>
      </c>
    </row>
    <row r="23" spans="1:21">
      <c r="A23" s="11" t="s">
        <v>27</v>
      </c>
      <c r="B23" s="29">
        <v>7774.53</v>
      </c>
      <c r="C23" s="29">
        <v>8530.8799999999992</v>
      </c>
      <c r="D23" s="29">
        <v>9250.68</v>
      </c>
      <c r="E23" s="29">
        <v>10741.25</v>
      </c>
      <c r="F23" s="29">
        <v>12039.25</v>
      </c>
      <c r="G23" s="29">
        <v>13502.42</v>
      </c>
      <c r="H23" s="29">
        <v>15844.64</v>
      </c>
      <c r="I23" s="29">
        <v>18864.62</v>
      </c>
      <c r="J23" s="29">
        <v>22557.37</v>
      </c>
      <c r="K23" s="29">
        <v>26587.759999999998</v>
      </c>
      <c r="L23" s="29">
        <v>31777.01</v>
      </c>
      <c r="M23" s="29">
        <v>36796.71</v>
      </c>
      <c r="N23" s="29">
        <v>39482.559999999998</v>
      </c>
      <c r="O23" s="29">
        <v>46013.06</v>
      </c>
      <c r="P23" s="29">
        <v>53210.28</v>
      </c>
      <c r="Q23" s="29">
        <v>57067.92</v>
      </c>
      <c r="R23" s="29">
        <v>62474.79</v>
      </c>
      <c r="S23" s="29">
        <v>67809.850000000006</v>
      </c>
      <c r="T23" s="29">
        <v>72812.55</v>
      </c>
      <c r="U23" s="10">
        <v>80854.91</v>
      </c>
    </row>
    <row r="24" spans="1:21">
      <c r="A24" s="11" t="s">
        <v>28</v>
      </c>
      <c r="B24" s="29">
        <v>1817.25</v>
      </c>
      <c r="C24" s="29">
        <v>1911.3</v>
      </c>
      <c r="D24" s="29">
        <v>1971.41</v>
      </c>
      <c r="E24" s="29">
        <v>2080.04</v>
      </c>
      <c r="F24" s="29">
        <v>2279.34</v>
      </c>
      <c r="G24" s="29">
        <v>2523.73</v>
      </c>
      <c r="H24" s="29">
        <v>2821.11</v>
      </c>
      <c r="I24" s="29">
        <v>3433.5</v>
      </c>
      <c r="J24" s="29">
        <v>3984.1</v>
      </c>
      <c r="K24" s="29">
        <v>4746.16</v>
      </c>
      <c r="L24" s="29">
        <v>5823.41</v>
      </c>
      <c r="M24" s="29">
        <v>7021</v>
      </c>
      <c r="N24" s="29">
        <v>7759.16</v>
      </c>
      <c r="O24" s="29">
        <v>9569.85</v>
      </c>
      <c r="P24" s="29">
        <v>11720.87</v>
      </c>
      <c r="Q24" s="29">
        <v>13035.1</v>
      </c>
      <c r="R24" s="29">
        <v>14449.9</v>
      </c>
      <c r="S24" s="29">
        <v>15672.89</v>
      </c>
      <c r="T24" s="29">
        <v>16803.12</v>
      </c>
      <c r="U24" s="10">
        <v>18317.64</v>
      </c>
    </row>
    <row r="25" spans="1:21">
      <c r="A25" s="11" t="s">
        <v>29</v>
      </c>
      <c r="B25" s="29">
        <v>411.16</v>
      </c>
      <c r="C25" s="29">
        <v>442.13</v>
      </c>
      <c r="D25" s="29">
        <v>476.67</v>
      </c>
      <c r="E25" s="29">
        <v>526.82000000000005</v>
      </c>
      <c r="F25" s="29">
        <v>579.16999999999996</v>
      </c>
      <c r="G25" s="29">
        <v>642.73</v>
      </c>
      <c r="H25" s="29">
        <v>713.96</v>
      </c>
      <c r="I25" s="29">
        <v>819.66</v>
      </c>
      <c r="J25" s="29">
        <v>918.75</v>
      </c>
      <c r="K25" s="29">
        <v>1065.67</v>
      </c>
      <c r="L25" s="29">
        <v>1254.17</v>
      </c>
      <c r="M25" s="29">
        <v>1503.06</v>
      </c>
      <c r="N25" s="29">
        <v>1654.21</v>
      </c>
      <c r="O25" s="29">
        <v>2064.5</v>
      </c>
      <c r="P25" s="29">
        <v>2522.66</v>
      </c>
      <c r="Q25" s="29">
        <v>2855.54</v>
      </c>
      <c r="R25" s="29">
        <v>3177.56</v>
      </c>
      <c r="S25" s="29">
        <v>3500.72</v>
      </c>
      <c r="T25" s="29">
        <v>3702.76</v>
      </c>
      <c r="U25" s="10">
        <v>4053.2</v>
      </c>
    </row>
    <row r="26" spans="1:21">
      <c r="A26" s="11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10"/>
    </row>
    <row r="27" spans="1:21">
      <c r="A27" s="11" t="s">
        <v>30</v>
      </c>
      <c r="B27" s="29">
        <v>1509.75</v>
      </c>
      <c r="C27" s="29">
        <v>1602.38</v>
      </c>
      <c r="D27" s="29">
        <v>1663.2</v>
      </c>
      <c r="E27" s="29">
        <v>1791</v>
      </c>
      <c r="F27" s="29">
        <v>1976.86</v>
      </c>
      <c r="G27" s="29">
        <v>2232.86</v>
      </c>
      <c r="H27" s="29">
        <v>2555.7199999999998</v>
      </c>
      <c r="I27" s="29">
        <v>3034.58</v>
      </c>
      <c r="J27" s="29">
        <v>3467.72</v>
      </c>
      <c r="K27" s="29">
        <v>3907.23</v>
      </c>
      <c r="L27" s="29">
        <v>4676.13</v>
      </c>
      <c r="M27" s="29">
        <v>5793.66</v>
      </c>
      <c r="N27" s="29">
        <v>6530.01</v>
      </c>
      <c r="O27" s="29">
        <v>7925.58</v>
      </c>
      <c r="P27" s="29">
        <v>10011.370000000001</v>
      </c>
      <c r="Q27" s="29">
        <v>11409.6</v>
      </c>
      <c r="R27" s="29">
        <v>12783.26</v>
      </c>
      <c r="S27" s="29">
        <v>14262.6</v>
      </c>
      <c r="T27" s="29">
        <v>15717.27</v>
      </c>
      <c r="U27" s="10">
        <v>17740.59</v>
      </c>
    </row>
    <row r="28" spans="1:21">
      <c r="A28" s="11" t="s">
        <v>31</v>
      </c>
      <c r="B28" s="29">
        <v>3241.47</v>
      </c>
      <c r="C28" s="29">
        <v>3474.09</v>
      </c>
      <c r="D28" s="29">
        <v>3649.12</v>
      </c>
      <c r="E28" s="29">
        <v>3928.2</v>
      </c>
      <c r="F28" s="29">
        <v>4293.49</v>
      </c>
      <c r="G28" s="29">
        <v>4725.01</v>
      </c>
      <c r="H28" s="29">
        <v>5333.09</v>
      </c>
      <c r="I28" s="29">
        <v>6379.63</v>
      </c>
      <c r="J28" s="29">
        <v>7385.1</v>
      </c>
      <c r="K28" s="29">
        <v>8690.24</v>
      </c>
      <c r="L28" s="29">
        <v>10562.39</v>
      </c>
      <c r="M28" s="29">
        <v>12601.23</v>
      </c>
      <c r="N28" s="29">
        <v>14151.28</v>
      </c>
      <c r="O28" s="29">
        <v>17185.48</v>
      </c>
      <c r="P28" s="29">
        <v>21026.68</v>
      </c>
      <c r="Q28" s="29">
        <v>23872.799999999999</v>
      </c>
      <c r="R28" s="29">
        <v>26392.07</v>
      </c>
      <c r="S28" s="29">
        <v>28536.66</v>
      </c>
      <c r="T28" s="29">
        <v>30053.1</v>
      </c>
      <c r="U28" s="10">
        <v>32934.54</v>
      </c>
    </row>
    <row r="29" spans="1:21">
      <c r="A29" s="11" t="s">
        <v>32</v>
      </c>
      <c r="B29" s="29">
        <v>805.79</v>
      </c>
      <c r="C29" s="29">
        <v>858.39</v>
      </c>
      <c r="D29" s="29">
        <v>937.5</v>
      </c>
      <c r="E29" s="29">
        <v>1029.92</v>
      </c>
      <c r="F29" s="29">
        <v>1133.27</v>
      </c>
      <c r="G29" s="29">
        <v>1243.43</v>
      </c>
      <c r="H29" s="29">
        <v>1426.34</v>
      </c>
      <c r="I29" s="29">
        <v>1677.8</v>
      </c>
      <c r="J29" s="29">
        <v>2005.42</v>
      </c>
      <c r="K29" s="29">
        <v>2338.98</v>
      </c>
      <c r="L29" s="29">
        <v>2884.11</v>
      </c>
      <c r="M29" s="29">
        <v>3561.56</v>
      </c>
      <c r="N29" s="29">
        <v>3912.68</v>
      </c>
      <c r="O29" s="29">
        <v>4602.16</v>
      </c>
      <c r="P29" s="29">
        <v>5701.84</v>
      </c>
      <c r="Q29" s="29">
        <v>6852.2</v>
      </c>
      <c r="R29" s="29">
        <v>8086.86</v>
      </c>
      <c r="S29" s="29">
        <v>9266.39</v>
      </c>
      <c r="T29" s="29">
        <v>10502.56</v>
      </c>
      <c r="U29" s="10">
        <v>11776.73</v>
      </c>
    </row>
    <row r="30" spans="1:21">
      <c r="A30" s="11" t="s">
        <v>33</v>
      </c>
      <c r="B30" s="29">
        <v>1676.17</v>
      </c>
      <c r="C30" s="29">
        <v>1831.33</v>
      </c>
      <c r="D30" s="29">
        <v>1899.82</v>
      </c>
      <c r="E30" s="29">
        <v>2011.19</v>
      </c>
      <c r="F30" s="29">
        <v>2138.31</v>
      </c>
      <c r="G30" s="29">
        <v>2312.8200000000002</v>
      </c>
      <c r="H30" s="29">
        <v>2556.02</v>
      </c>
      <c r="I30" s="29">
        <v>3081.91</v>
      </c>
      <c r="J30" s="29">
        <v>3462.73</v>
      </c>
      <c r="K30" s="29">
        <v>3988.14</v>
      </c>
      <c r="L30" s="29">
        <v>4772.5200000000004</v>
      </c>
      <c r="M30" s="29">
        <v>5692.12</v>
      </c>
      <c r="N30" s="29">
        <v>6169.75</v>
      </c>
      <c r="O30" s="29">
        <v>7224.18</v>
      </c>
      <c r="P30" s="29">
        <v>8893.1200000000008</v>
      </c>
      <c r="Q30" s="29">
        <v>10309.469999999999</v>
      </c>
      <c r="R30" s="29">
        <v>11832.31</v>
      </c>
      <c r="S30" s="29">
        <v>12814.59</v>
      </c>
      <c r="T30" s="29">
        <v>13619.17</v>
      </c>
      <c r="U30" s="10">
        <v>14788.42</v>
      </c>
    </row>
    <row r="31" spans="1:21">
      <c r="A31" s="11" t="s">
        <v>34</v>
      </c>
      <c r="B31" s="29">
        <v>77.239999999999995</v>
      </c>
      <c r="C31" s="29">
        <v>91.5</v>
      </c>
      <c r="D31" s="29">
        <v>105.98</v>
      </c>
      <c r="E31" s="29">
        <v>117.8</v>
      </c>
      <c r="F31" s="29">
        <v>139.16</v>
      </c>
      <c r="G31" s="29">
        <v>162.04</v>
      </c>
      <c r="H31" s="29">
        <v>185.09</v>
      </c>
      <c r="I31" s="29">
        <v>220.34</v>
      </c>
      <c r="J31" s="29">
        <v>248.8</v>
      </c>
      <c r="K31" s="29">
        <v>290.76</v>
      </c>
      <c r="L31" s="29">
        <v>341.43</v>
      </c>
      <c r="M31" s="29">
        <v>394.85</v>
      </c>
      <c r="N31" s="29">
        <v>441.36</v>
      </c>
      <c r="O31" s="29">
        <v>507.46</v>
      </c>
      <c r="P31" s="29">
        <v>605.83000000000004</v>
      </c>
      <c r="Q31" s="29">
        <v>701.03</v>
      </c>
      <c r="R31" s="29">
        <v>815.67</v>
      </c>
      <c r="S31" s="29">
        <v>920.83</v>
      </c>
      <c r="T31" s="29">
        <v>1026.3900000000001</v>
      </c>
      <c r="U31" s="10">
        <v>1151.4100000000001</v>
      </c>
    </row>
    <row r="32" spans="1:21">
      <c r="A32" s="11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10"/>
    </row>
    <row r="33" spans="1:21">
      <c r="A33" s="11" t="s">
        <v>35</v>
      </c>
      <c r="B33" s="29">
        <v>1363.6</v>
      </c>
      <c r="C33" s="29">
        <v>1458.4</v>
      </c>
      <c r="D33" s="29">
        <v>1592.64</v>
      </c>
      <c r="E33" s="29">
        <v>1804</v>
      </c>
      <c r="F33" s="29">
        <v>2010.62</v>
      </c>
      <c r="G33" s="29">
        <v>2253.39</v>
      </c>
      <c r="H33" s="29">
        <v>2587.7199999999998</v>
      </c>
      <c r="I33" s="29">
        <v>3175.58</v>
      </c>
      <c r="J33" s="29">
        <v>3933.72</v>
      </c>
      <c r="K33" s="29">
        <v>4743.6099999999997</v>
      </c>
      <c r="L33" s="29">
        <v>5757.29</v>
      </c>
      <c r="M33" s="29">
        <v>7314.58</v>
      </c>
      <c r="N33" s="29">
        <v>8169.8</v>
      </c>
      <c r="O33" s="29">
        <v>10123.48</v>
      </c>
      <c r="P33" s="29">
        <v>12512.3</v>
      </c>
      <c r="Q33" s="29">
        <v>14453.68</v>
      </c>
      <c r="R33" s="29">
        <v>16205.45</v>
      </c>
      <c r="S33" s="29">
        <v>17689.939999999999</v>
      </c>
      <c r="T33" s="29">
        <v>18021.86</v>
      </c>
      <c r="U33" s="10">
        <v>19399.59</v>
      </c>
    </row>
    <row r="34" spans="1:21">
      <c r="A34" s="11" t="s">
        <v>36</v>
      </c>
      <c r="B34" s="29">
        <v>793.57</v>
      </c>
      <c r="C34" s="29">
        <v>887.67</v>
      </c>
      <c r="D34" s="29">
        <v>956.32</v>
      </c>
      <c r="E34" s="29">
        <v>1052.8800000000001</v>
      </c>
      <c r="F34" s="29">
        <v>1125.3699999999999</v>
      </c>
      <c r="G34" s="29">
        <v>1232.03</v>
      </c>
      <c r="H34" s="29">
        <v>1399.83</v>
      </c>
      <c r="I34" s="29">
        <v>1688.49</v>
      </c>
      <c r="J34" s="29">
        <v>1933.98</v>
      </c>
      <c r="K34" s="29">
        <v>2277.35</v>
      </c>
      <c r="L34" s="29">
        <v>2703.98</v>
      </c>
      <c r="M34" s="29">
        <v>3166.82</v>
      </c>
      <c r="N34" s="29">
        <v>3387.56</v>
      </c>
      <c r="O34" s="29">
        <v>4120.75</v>
      </c>
      <c r="P34" s="29">
        <v>5020.37</v>
      </c>
      <c r="Q34" s="29">
        <v>5650.2</v>
      </c>
      <c r="R34" s="29">
        <v>6330.69</v>
      </c>
      <c r="S34" s="29">
        <v>6836.82</v>
      </c>
      <c r="T34" s="29">
        <v>6790.32</v>
      </c>
      <c r="U34" s="10">
        <v>7200.37</v>
      </c>
    </row>
    <row r="35" spans="1:21">
      <c r="A35" s="11" t="s">
        <v>37</v>
      </c>
      <c r="B35" s="29">
        <v>202.79</v>
      </c>
      <c r="C35" s="29">
        <v>220.92</v>
      </c>
      <c r="D35" s="29">
        <v>239.38</v>
      </c>
      <c r="E35" s="29">
        <v>263.68</v>
      </c>
      <c r="F35" s="29">
        <v>300.13</v>
      </c>
      <c r="G35" s="29">
        <v>340.65</v>
      </c>
      <c r="H35" s="29">
        <v>390.2</v>
      </c>
      <c r="I35" s="29">
        <v>466.1</v>
      </c>
      <c r="J35" s="29">
        <v>543.32000000000005</v>
      </c>
      <c r="K35" s="29">
        <v>648.5</v>
      </c>
      <c r="L35" s="29">
        <v>797.35</v>
      </c>
      <c r="M35" s="29">
        <v>1018.62</v>
      </c>
      <c r="N35" s="29">
        <v>1081.27</v>
      </c>
      <c r="O35" s="29">
        <v>1350.43</v>
      </c>
      <c r="P35" s="29">
        <v>1670.44</v>
      </c>
      <c r="Q35" s="29">
        <v>1893.54</v>
      </c>
      <c r="R35" s="29">
        <v>2122.06</v>
      </c>
      <c r="S35" s="29">
        <v>2303.3200000000002</v>
      </c>
      <c r="T35" s="29">
        <v>2417.0500000000002</v>
      </c>
      <c r="U35" s="10">
        <v>2572.4899999999998</v>
      </c>
    </row>
    <row r="36" spans="1:21">
      <c r="A36" s="11" t="s">
        <v>38</v>
      </c>
      <c r="B36" s="29">
        <v>224.59</v>
      </c>
      <c r="C36" s="29">
        <v>245.44</v>
      </c>
      <c r="D36" s="29">
        <v>264.58</v>
      </c>
      <c r="E36" s="29">
        <v>295.02</v>
      </c>
      <c r="F36" s="29">
        <v>337.44</v>
      </c>
      <c r="G36" s="29">
        <v>377.16</v>
      </c>
      <c r="H36" s="29">
        <v>445.36</v>
      </c>
      <c r="I36" s="29">
        <v>537.11</v>
      </c>
      <c r="J36" s="29">
        <v>612.61</v>
      </c>
      <c r="K36" s="29">
        <v>725.9</v>
      </c>
      <c r="L36" s="29">
        <v>919.11</v>
      </c>
      <c r="M36" s="29">
        <v>1203.92</v>
      </c>
      <c r="N36" s="29">
        <v>1353.31</v>
      </c>
      <c r="O36" s="29">
        <v>1689.65</v>
      </c>
      <c r="P36" s="29">
        <v>2102.21</v>
      </c>
      <c r="Q36" s="29">
        <v>2341.29</v>
      </c>
      <c r="R36" s="29">
        <v>2577.5700000000002</v>
      </c>
      <c r="S36" s="29">
        <v>2752.1</v>
      </c>
      <c r="T36" s="29">
        <v>2911.77</v>
      </c>
      <c r="U36" s="10">
        <v>3168.59</v>
      </c>
    </row>
    <row r="37" spans="1:21">
      <c r="A37" s="11" t="s">
        <v>39</v>
      </c>
      <c r="B37" s="29">
        <v>1039.8499999999999</v>
      </c>
      <c r="C37" s="29">
        <v>1106.95</v>
      </c>
      <c r="D37" s="29">
        <v>1163.17</v>
      </c>
      <c r="E37" s="29">
        <v>1363.56</v>
      </c>
      <c r="F37" s="29">
        <v>1491.6</v>
      </c>
      <c r="G37" s="29">
        <v>1612.65</v>
      </c>
      <c r="H37" s="29">
        <v>1886.35</v>
      </c>
      <c r="I37" s="29">
        <v>2209.09</v>
      </c>
      <c r="J37" s="29">
        <v>2604.19</v>
      </c>
      <c r="K37" s="29">
        <v>3045.26</v>
      </c>
      <c r="L37" s="29">
        <v>3523.16</v>
      </c>
      <c r="M37" s="29">
        <v>4183.21</v>
      </c>
      <c r="N37" s="29">
        <v>4277.05</v>
      </c>
      <c r="O37" s="29">
        <v>5437.47</v>
      </c>
      <c r="P37" s="29">
        <v>6610.05</v>
      </c>
      <c r="Q37" s="29">
        <v>7505.31</v>
      </c>
      <c r="R37" s="29">
        <v>8443.84</v>
      </c>
      <c r="S37" s="29">
        <v>9273.4599999999991</v>
      </c>
      <c r="T37" s="29">
        <v>9324.7999999999993</v>
      </c>
      <c r="U37" s="10">
        <v>9649.7000000000007</v>
      </c>
    </row>
    <row r="38" spans="1:21">
      <c r="A38" s="10"/>
    </row>
  </sheetData>
  <phoneticPr fontId="6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357A6-E8CE-344B-98E7-9E3551909F26}">
  <dimension ref="A1:X42"/>
  <sheetViews>
    <sheetView workbookViewId="0">
      <selection sqref="A1:A1048576"/>
    </sheetView>
  </sheetViews>
  <sheetFormatPr baseColWidth="10" defaultRowHeight="16"/>
  <cols>
    <col min="1" max="1" width="19" customWidth="1"/>
  </cols>
  <sheetData>
    <row r="1" spans="1:24" ht="17">
      <c r="A1" s="23" t="s">
        <v>46</v>
      </c>
      <c r="B1" s="23">
        <v>1997</v>
      </c>
      <c r="C1" s="23">
        <v>1998</v>
      </c>
      <c r="D1" s="23">
        <v>1999</v>
      </c>
      <c r="E1" s="23">
        <v>2000</v>
      </c>
      <c r="F1" s="23">
        <v>2001</v>
      </c>
      <c r="G1" s="23">
        <v>2002</v>
      </c>
      <c r="H1" s="23">
        <v>2003</v>
      </c>
      <c r="I1" s="23">
        <v>2004</v>
      </c>
      <c r="J1" s="23">
        <v>2005</v>
      </c>
      <c r="K1" s="23">
        <v>2006</v>
      </c>
      <c r="L1" s="23">
        <v>2007</v>
      </c>
      <c r="M1" s="23">
        <v>2008</v>
      </c>
      <c r="N1" s="23">
        <v>2009</v>
      </c>
      <c r="O1" s="23">
        <v>2010</v>
      </c>
      <c r="P1" s="23">
        <v>2011</v>
      </c>
      <c r="Q1" s="23">
        <v>2012</v>
      </c>
      <c r="R1" s="23">
        <v>2013</v>
      </c>
      <c r="S1" s="23">
        <v>2014</v>
      </c>
      <c r="T1" s="23">
        <v>2015</v>
      </c>
      <c r="U1" s="23">
        <v>2016</v>
      </c>
    </row>
    <row r="2" spans="1:24">
      <c r="A2" s="16" t="s">
        <v>9</v>
      </c>
      <c r="B2" s="10">
        <v>13477.1</v>
      </c>
      <c r="C2" s="10">
        <v>16454.599999999999</v>
      </c>
      <c r="D2" s="10">
        <v>15539.4</v>
      </c>
      <c r="E2" s="28">
        <v>14272.7</v>
      </c>
      <c r="F2" s="10">
        <v>6267.1</v>
      </c>
      <c r="G2" s="28">
        <v>4112</v>
      </c>
      <c r="H2" s="28">
        <v>4361.3999999999996</v>
      </c>
      <c r="I2" s="28">
        <v>4058</v>
      </c>
      <c r="J2" s="28">
        <v>2915.6</v>
      </c>
      <c r="K2" s="28">
        <v>2772</v>
      </c>
      <c r="L2" s="28">
        <v>2620.1999999999998</v>
      </c>
      <c r="M2" s="28">
        <v>2066.6</v>
      </c>
      <c r="N2" s="28">
        <v>2054.8000000000002</v>
      </c>
      <c r="O2" s="28">
        <v>2431.3000000000002</v>
      </c>
      <c r="P2" s="28">
        <v>1946.8</v>
      </c>
      <c r="Q2" s="28">
        <v>3017.9</v>
      </c>
      <c r="R2" s="28">
        <v>2805.2</v>
      </c>
      <c r="S2" s="28">
        <v>3064.7</v>
      </c>
      <c r="T2" s="28">
        <v>2088.4</v>
      </c>
      <c r="U2" s="28">
        <v>2819.4</v>
      </c>
      <c r="V2" s="28"/>
      <c r="W2" s="28"/>
      <c r="X2" s="28"/>
    </row>
    <row r="3" spans="1:24">
      <c r="A3" s="11" t="s">
        <v>10</v>
      </c>
      <c r="B3" s="10">
        <v>2176.8000000000002</v>
      </c>
      <c r="C3" s="10">
        <v>3508.2</v>
      </c>
      <c r="D3" s="10">
        <v>4991.3999999999996</v>
      </c>
      <c r="E3" s="28">
        <v>5294.9</v>
      </c>
      <c r="F3" s="10">
        <v>5313.1</v>
      </c>
      <c r="G3" s="28">
        <v>5402.9</v>
      </c>
      <c r="H3" s="28">
        <v>5460.5</v>
      </c>
      <c r="I3" s="28">
        <v>3273.8</v>
      </c>
      <c r="J3" s="28">
        <v>2455.8000000000002</v>
      </c>
      <c r="K3" s="28">
        <v>3319.2</v>
      </c>
      <c r="L3" s="28">
        <v>2532.9</v>
      </c>
      <c r="M3" s="28">
        <v>3069.7</v>
      </c>
      <c r="N3" s="28">
        <v>2256.1999999999998</v>
      </c>
      <c r="O3" s="28">
        <v>1987.1</v>
      </c>
      <c r="P3" s="28">
        <v>2170.8000000000002</v>
      </c>
      <c r="Q3" s="28">
        <v>3396.9</v>
      </c>
      <c r="R3" s="28">
        <v>3924.2</v>
      </c>
      <c r="S3" s="28">
        <v>4256.3</v>
      </c>
      <c r="T3" s="28">
        <v>3925.5</v>
      </c>
      <c r="U3" s="28">
        <v>4488.8</v>
      </c>
      <c r="V3" s="28"/>
      <c r="W3" s="28"/>
      <c r="X3" s="28"/>
    </row>
    <row r="4" spans="1:24">
      <c r="A4" s="11" t="s">
        <v>11</v>
      </c>
      <c r="B4" s="10">
        <v>5734.8</v>
      </c>
      <c r="C4" s="10">
        <v>5059.3999999999996</v>
      </c>
      <c r="D4" s="10">
        <v>5494.2</v>
      </c>
      <c r="E4" s="28">
        <v>11616.7</v>
      </c>
      <c r="F4" s="10">
        <v>14121.6</v>
      </c>
      <c r="G4" s="28">
        <v>13368.5</v>
      </c>
      <c r="H4" s="28">
        <v>10642.6</v>
      </c>
      <c r="I4" s="28">
        <v>7760.1</v>
      </c>
      <c r="J4" s="28">
        <v>7646.2</v>
      </c>
      <c r="K4" s="28">
        <v>5846</v>
      </c>
      <c r="L4" s="28">
        <v>5363.7</v>
      </c>
      <c r="M4" s="28">
        <v>4821</v>
      </c>
      <c r="N4" s="28">
        <v>4451.7</v>
      </c>
      <c r="O4" s="28">
        <v>3890.8</v>
      </c>
      <c r="P4" s="28">
        <v>3372.3</v>
      </c>
      <c r="Q4" s="28">
        <v>5022.3</v>
      </c>
      <c r="R4" s="28">
        <v>3938.3</v>
      </c>
      <c r="S4" s="28">
        <v>4947.8999999999996</v>
      </c>
      <c r="T4" s="28">
        <v>3995.3</v>
      </c>
      <c r="U4" s="28">
        <v>5008.3</v>
      </c>
      <c r="V4" s="28"/>
      <c r="W4" s="28"/>
      <c r="X4" s="28"/>
    </row>
    <row r="5" spans="1:24">
      <c r="A5" s="11" t="s">
        <v>12</v>
      </c>
      <c r="B5" s="10">
        <v>2381.5</v>
      </c>
      <c r="C5" s="10">
        <v>2309.6999999999998</v>
      </c>
      <c r="D5" s="10">
        <v>2605.1</v>
      </c>
      <c r="E5" s="28">
        <v>4415.8999999999996</v>
      </c>
      <c r="F5" s="10">
        <v>6285.7</v>
      </c>
      <c r="G5" s="28">
        <v>7931</v>
      </c>
      <c r="H5" s="28">
        <v>8783</v>
      </c>
      <c r="I5" s="28">
        <v>8403.2000000000007</v>
      </c>
      <c r="J5" s="28">
        <v>5782.9</v>
      </c>
      <c r="K5" s="28">
        <v>5422.9</v>
      </c>
      <c r="L5" s="28">
        <v>3860.3</v>
      </c>
      <c r="M5" s="28">
        <v>3423.7</v>
      </c>
      <c r="N5" s="28">
        <v>3501.2</v>
      </c>
      <c r="O5" s="28">
        <v>3593.7</v>
      </c>
      <c r="P5" s="28">
        <v>3113</v>
      </c>
      <c r="Q5" s="28">
        <v>3528.5</v>
      </c>
      <c r="R5" s="28">
        <v>2889.6</v>
      </c>
      <c r="S5" s="28">
        <v>2952.2</v>
      </c>
      <c r="T5" s="28">
        <v>3646.8</v>
      </c>
      <c r="U5" s="28">
        <v>3975.6</v>
      </c>
      <c r="V5" s="28"/>
      <c r="W5" s="28"/>
      <c r="X5" s="28"/>
    </row>
    <row r="6" spans="1:24">
      <c r="A6" s="11" t="s">
        <v>13</v>
      </c>
      <c r="B6" s="10">
        <v>1802.6</v>
      </c>
      <c r="C6" s="10">
        <v>1614.8</v>
      </c>
      <c r="D6" s="10">
        <v>1894.5</v>
      </c>
      <c r="E6" s="10">
        <v>2540</v>
      </c>
      <c r="F6" s="10">
        <v>2247.1999999999998</v>
      </c>
      <c r="G6" s="28">
        <v>2446.1999999999998</v>
      </c>
      <c r="H6" s="28">
        <v>2368.9</v>
      </c>
      <c r="I6" s="28">
        <v>2798.8</v>
      </c>
      <c r="J6" s="28">
        <v>2784.7</v>
      </c>
      <c r="K6" s="28">
        <v>1879.3</v>
      </c>
      <c r="L6" s="28">
        <v>1807.4</v>
      </c>
      <c r="M6" s="28">
        <v>1441.8</v>
      </c>
      <c r="N6" s="28">
        <v>1528.5</v>
      </c>
      <c r="O6" s="28">
        <v>2359.8000000000002</v>
      </c>
      <c r="P6" s="28">
        <v>2335.6999999999998</v>
      </c>
      <c r="Q6" s="28">
        <v>1878.1</v>
      </c>
      <c r="R6" s="28">
        <v>1607.3</v>
      </c>
      <c r="S6" s="28">
        <v>1491.9</v>
      </c>
      <c r="T6" s="28">
        <v>1587.2</v>
      </c>
      <c r="U6" s="28">
        <v>1402.6</v>
      </c>
      <c r="V6" s="28"/>
      <c r="W6" s="28"/>
      <c r="X6" s="28"/>
    </row>
    <row r="7" spans="1:24">
      <c r="A7" s="11"/>
      <c r="B7" s="10"/>
      <c r="C7" s="10"/>
      <c r="D7" s="10"/>
      <c r="E7" s="10"/>
      <c r="F7" s="10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</row>
    <row r="8" spans="1:24">
      <c r="A8" s="11" t="s">
        <v>14</v>
      </c>
      <c r="B8" s="10">
        <v>9635.6</v>
      </c>
      <c r="C8" s="10">
        <v>9182</v>
      </c>
      <c r="D8" s="10">
        <v>8645.7000000000007</v>
      </c>
      <c r="E8" s="10">
        <v>9875</v>
      </c>
      <c r="F8" s="10">
        <v>12633.1</v>
      </c>
      <c r="G8" s="28">
        <v>11179.1</v>
      </c>
      <c r="H8" s="28">
        <v>8908.6</v>
      </c>
      <c r="I8" s="28">
        <v>7398.9</v>
      </c>
      <c r="J8" s="28">
        <v>5907</v>
      </c>
      <c r="K8" s="28">
        <v>4397.7</v>
      </c>
      <c r="L8" s="28">
        <v>3610.1</v>
      </c>
      <c r="M8" s="28">
        <v>3762.8</v>
      </c>
      <c r="N8" s="28">
        <v>3145.6</v>
      </c>
      <c r="O8" s="28">
        <v>3124.9</v>
      </c>
      <c r="P8" s="28">
        <v>2745.2</v>
      </c>
      <c r="Q8" s="28">
        <v>2914.7</v>
      </c>
      <c r="R8" s="28">
        <v>2880.4</v>
      </c>
      <c r="S8" s="28">
        <v>2623.6</v>
      </c>
      <c r="T8" s="28">
        <v>1914.2</v>
      </c>
      <c r="U8" s="28">
        <v>1849.6</v>
      </c>
      <c r="V8" s="28"/>
      <c r="W8" s="28"/>
      <c r="X8" s="28"/>
    </row>
    <row r="9" spans="1:24">
      <c r="A9" s="11" t="s">
        <v>15</v>
      </c>
      <c r="B9" s="10">
        <v>3469.6</v>
      </c>
      <c r="C9" s="10">
        <v>3720.9</v>
      </c>
      <c r="D9" s="10">
        <v>2825.6</v>
      </c>
      <c r="E9" s="10">
        <v>4512.8</v>
      </c>
      <c r="F9" s="10">
        <v>4872.8</v>
      </c>
      <c r="G9" s="28">
        <v>5610.8</v>
      </c>
      <c r="H9" s="28">
        <v>5280.1</v>
      </c>
      <c r="I9" s="28">
        <v>5046.3</v>
      </c>
      <c r="J9" s="28">
        <v>4468.2</v>
      </c>
      <c r="K9" s="28">
        <v>3703.9</v>
      </c>
      <c r="L9" s="28">
        <v>3218.4</v>
      </c>
      <c r="M9" s="28">
        <v>2448.3000000000002</v>
      </c>
      <c r="N9" s="28">
        <v>2261.4</v>
      </c>
      <c r="O9" s="28">
        <v>2666.1</v>
      </c>
      <c r="P9" s="28">
        <v>5971.5</v>
      </c>
      <c r="Q9" s="28">
        <v>5128.3999999999996</v>
      </c>
      <c r="R9" s="28">
        <v>3118.5</v>
      </c>
      <c r="S9" s="28">
        <v>3448.5</v>
      </c>
      <c r="T9" s="28">
        <v>3188.1</v>
      </c>
      <c r="U9" s="28">
        <v>5326.4</v>
      </c>
      <c r="V9" s="28"/>
      <c r="W9" s="28"/>
      <c r="X9" s="28"/>
    </row>
    <row r="10" spans="1:24">
      <c r="A10" s="11" t="s">
        <v>16</v>
      </c>
      <c r="B10" s="10">
        <v>1058.5999999999999</v>
      </c>
      <c r="C10" s="10">
        <v>1250.2</v>
      </c>
      <c r="D10" s="10">
        <v>1235.9000000000001</v>
      </c>
      <c r="E10" s="10">
        <v>4037.4</v>
      </c>
      <c r="F10" s="10">
        <v>4721.8</v>
      </c>
      <c r="G10" s="28">
        <v>4936.1000000000004</v>
      </c>
      <c r="H10" s="28">
        <v>4605.7</v>
      </c>
      <c r="I10" s="28">
        <v>4331.3999999999996</v>
      </c>
      <c r="J10" s="28">
        <v>3464.9</v>
      </c>
      <c r="K10" s="28">
        <v>3236.8</v>
      </c>
      <c r="L10" s="28">
        <v>2613.3000000000002</v>
      </c>
      <c r="M10" s="28">
        <v>2005.7</v>
      </c>
      <c r="N10" s="28">
        <v>2110</v>
      </c>
      <c r="O10" s="28">
        <v>2456.6</v>
      </c>
      <c r="P10" s="28">
        <v>4560.2</v>
      </c>
      <c r="Q10" s="28">
        <v>3962</v>
      </c>
      <c r="R10" s="28">
        <v>3760.1</v>
      </c>
      <c r="S10" s="28">
        <v>4069.3</v>
      </c>
      <c r="T10" s="28">
        <v>3824.6</v>
      </c>
      <c r="U10" s="28">
        <v>4217</v>
      </c>
      <c r="V10" s="28"/>
      <c r="W10" s="28"/>
      <c r="X10" s="28"/>
    </row>
    <row r="11" spans="1:24">
      <c r="A11" s="11"/>
      <c r="B11" s="10"/>
      <c r="C11" s="10"/>
      <c r="D11" s="10"/>
      <c r="E11" s="10"/>
      <c r="F11" s="10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</row>
    <row r="12" spans="1:24">
      <c r="A12" s="11" t="s">
        <v>17</v>
      </c>
      <c r="B12" s="10">
        <v>13682.4</v>
      </c>
      <c r="C12" s="10">
        <v>15187.8</v>
      </c>
      <c r="D12" s="10">
        <v>15929.7</v>
      </c>
      <c r="E12" s="10">
        <v>20377.5</v>
      </c>
      <c r="F12" s="10">
        <v>23883</v>
      </c>
      <c r="G12" s="28">
        <v>29754.2</v>
      </c>
      <c r="H12" s="28">
        <v>39721.199999999997</v>
      </c>
      <c r="I12" s="28">
        <v>19148.599999999999</v>
      </c>
      <c r="J12" s="28">
        <v>7960.9</v>
      </c>
      <c r="K12" s="28">
        <v>3301</v>
      </c>
      <c r="L12" s="28">
        <v>1933.2</v>
      </c>
      <c r="M12" s="28">
        <v>1476.9</v>
      </c>
      <c r="N12" s="28">
        <v>1216.3</v>
      </c>
      <c r="O12" s="28">
        <v>956.6</v>
      </c>
      <c r="P12" s="28">
        <v>1295.8</v>
      </c>
      <c r="Q12" s="28">
        <v>1488</v>
      </c>
      <c r="R12" s="28">
        <v>986.2</v>
      </c>
      <c r="S12" s="28">
        <v>462.9</v>
      </c>
      <c r="T12" s="28">
        <v>469.6</v>
      </c>
      <c r="U12" s="28">
        <v>370.8</v>
      </c>
      <c r="V12" s="28"/>
      <c r="W12" s="28"/>
      <c r="X12" s="28"/>
    </row>
    <row r="13" spans="1:24">
      <c r="A13" s="11" t="s">
        <v>18</v>
      </c>
      <c r="B13" s="10">
        <v>10170.799999999999</v>
      </c>
      <c r="C13" s="10">
        <v>14180.9</v>
      </c>
      <c r="D13" s="10">
        <v>16546.400000000001</v>
      </c>
      <c r="E13" s="10">
        <v>23696.9</v>
      </c>
      <c r="F13" s="10">
        <v>24714.799999999999</v>
      </c>
      <c r="G13" s="10">
        <v>23653.4</v>
      </c>
      <c r="H13" s="10">
        <v>24302</v>
      </c>
      <c r="I13" s="10">
        <v>17655.8</v>
      </c>
      <c r="J13" s="10">
        <v>12668.1</v>
      </c>
      <c r="K13" s="10">
        <v>9179.7000000000007</v>
      </c>
      <c r="L13" s="10">
        <v>6309.6</v>
      </c>
      <c r="M13" s="10">
        <v>5008.5</v>
      </c>
      <c r="N13" s="10">
        <v>5496.9</v>
      </c>
      <c r="O13" s="10">
        <v>4951.1000000000004</v>
      </c>
      <c r="P13" s="10">
        <v>6012.7</v>
      </c>
      <c r="Q13" s="10">
        <v>7198.6</v>
      </c>
      <c r="R13" s="10">
        <v>6764.1</v>
      </c>
      <c r="S13" s="10">
        <v>6328</v>
      </c>
      <c r="T13" s="10">
        <v>6680.4</v>
      </c>
      <c r="U13" s="10">
        <v>6390</v>
      </c>
      <c r="V13" s="10"/>
      <c r="W13" s="10"/>
      <c r="X13" s="10"/>
    </row>
    <row r="14" spans="1:24">
      <c r="A14" s="11" t="s">
        <v>19</v>
      </c>
      <c r="B14" s="10">
        <v>23507</v>
      </c>
      <c r="C14" s="10">
        <v>24891.1</v>
      </c>
      <c r="D14" s="10">
        <v>33679.1</v>
      </c>
      <c r="E14" s="10">
        <v>35910.1</v>
      </c>
      <c r="F14" s="10">
        <v>42145.2</v>
      </c>
      <c r="G14" s="10">
        <v>52382.8</v>
      </c>
      <c r="H14" s="10">
        <v>54268.1</v>
      </c>
      <c r="I14" s="10">
        <v>27853.4</v>
      </c>
      <c r="J14" s="10">
        <v>15718</v>
      </c>
      <c r="K14" s="10">
        <v>14233.4</v>
      </c>
      <c r="L14" s="10">
        <v>11432.9</v>
      </c>
      <c r="M14" s="10">
        <v>9803.2999999999993</v>
      </c>
      <c r="N14" s="10">
        <v>8847</v>
      </c>
      <c r="O14" s="10">
        <v>9047.2000000000007</v>
      </c>
      <c r="P14" s="10">
        <v>8453.7999999999993</v>
      </c>
      <c r="Q14" s="10">
        <v>8054.5</v>
      </c>
      <c r="R14" s="10">
        <v>7522.8</v>
      </c>
      <c r="S14" s="10">
        <v>6655.3</v>
      </c>
      <c r="T14" s="10">
        <v>6355.4</v>
      </c>
      <c r="U14" s="10">
        <v>5983</v>
      </c>
      <c r="V14" s="10"/>
      <c r="W14" s="10"/>
      <c r="X14" s="10"/>
    </row>
    <row r="15" spans="1:24">
      <c r="A15" s="11" t="s">
        <v>20</v>
      </c>
      <c r="B15" s="10">
        <v>3030.8</v>
      </c>
      <c r="C15" s="10">
        <v>3303.6</v>
      </c>
      <c r="D15" s="10">
        <v>3445.5</v>
      </c>
      <c r="E15" s="10">
        <v>6479</v>
      </c>
      <c r="F15" s="10">
        <v>8639.2000000000007</v>
      </c>
      <c r="G15" s="10">
        <v>9462.4</v>
      </c>
      <c r="H15" s="10">
        <v>8561</v>
      </c>
      <c r="I15" s="10">
        <v>6996</v>
      </c>
      <c r="J15" s="10">
        <v>6118.5</v>
      </c>
      <c r="K15" s="10">
        <v>4848.1000000000004</v>
      </c>
      <c r="L15" s="10">
        <v>3467</v>
      </c>
      <c r="M15" s="10">
        <v>2308.1999999999998</v>
      </c>
      <c r="N15" s="10">
        <v>2426.8000000000002</v>
      </c>
      <c r="O15" s="10">
        <v>2417.6999999999998</v>
      </c>
      <c r="P15" s="10">
        <v>4837.3999999999996</v>
      </c>
      <c r="Q15" s="10">
        <v>10726.6</v>
      </c>
      <c r="R15" s="10">
        <v>7375.6</v>
      </c>
      <c r="S15" s="10">
        <v>6733.9</v>
      </c>
      <c r="T15" s="10">
        <v>6176.4</v>
      </c>
      <c r="U15" s="10">
        <v>6323</v>
      </c>
      <c r="V15" s="10"/>
      <c r="W15" s="10"/>
      <c r="X15" s="10"/>
    </row>
    <row r="16" spans="1:24">
      <c r="A16" s="11" t="s">
        <v>21</v>
      </c>
      <c r="B16" s="10">
        <v>10034</v>
      </c>
      <c r="C16" s="10">
        <v>10957</v>
      </c>
      <c r="D16" s="10">
        <v>9730</v>
      </c>
      <c r="E16" s="10">
        <v>12833.7</v>
      </c>
      <c r="F16" s="10">
        <v>14712.4</v>
      </c>
      <c r="G16" s="10">
        <v>15256.9</v>
      </c>
      <c r="H16" s="10">
        <v>14229.7</v>
      </c>
      <c r="I16" s="10">
        <v>9408.7999999999993</v>
      </c>
      <c r="J16" s="10">
        <v>9278.9</v>
      </c>
      <c r="K16" s="10">
        <v>8742.2999999999993</v>
      </c>
      <c r="L16" s="10">
        <v>5930.6</v>
      </c>
      <c r="M16" s="10">
        <v>4876.7</v>
      </c>
      <c r="N16" s="10">
        <v>4687.3999999999996</v>
      </c>
      <c r="O16" s="10">
        <v>4839.2</v>
      </c>
      <c r="P16" s="10">
        <v>4691.3</v>
      </c>
      <c r="Q16" s="10">
        <v>3939.7</v>
      </c>
      <c r="R16" s="10">
        <v>3408.1</v>
      </c>
      <c r="S16" s="10">
        <v>3756.2</v>
      </c>
      <c r="T16" s="10">
        <v>2703.9</v>
      </c>
      <c r="U16" s="10">
        <v>2410</v>
      </c>
      <c r="V16" s="10"/>
      <c r="W16" s="10"/>
      <c r="X16" s="10"/>
    </row>
    <row r="17" spans="1:24">
      <c r="A17" s="11" t="s">
        <v>22</v>
      </c>
      <c r="B17" s="10">
        <v>1997.2</v>
      </c>
      <c r="C17" s="10">
        <v>2258.1</v>
      </c>
      <c r="D17" s="10">
        <v>3856.6</v>
      </c>
      <c r="E17" s="10">
        <v>7065.5</v>
      </c>
      <c r="F17" s="10">
        <v>7150.5</v>
      </c>
      <c r="G17" s="10">
        <v>7456.3</v>
      </c>
      <c r="H17" s="10">
        <v>7783.4</v>
      </c>
      <c r="I17" s="10">
        <v>6370</v>
      </c>
      <c r="J17" s="10">
        <v>7697.6</v>
      </c>
      <c r="K17" s="10">
        <v>6073.1</v>
      </c>
      <c r="L17" s="10">
        <v>5564.6</v>
      </c>
      <c r="M17" s="10">
        <v>5527.6</v>
      </c>
      <c r="N17" s="10">
        <v>3921</v>
      </c>
      <c r="O17" s="10">
        <v>4184</v>
      </c>
      <c r="P17" s="10">
        <v>4857.1000000000004</v>
      </c>
      <c r="Q17" s="10">
        <v>4549.8</v>
      </c>
      <c r="R17" s="10">
        <v>3738.2</v>
      </c>
      <c r="S17" s="10">
        <v>4010.6</v>
      </c>
      <c r="T17" s="10">
        <v>5120.3</v>
      </c>
      <c r="U17" s="10">
        <v>5425.6</v>
      </c>
      <c r="V17" s="10"/>
      <c r="W17" s="10"/>
      <c r="X17" s="10"/>
    </row>
    <row r="18" spans="1:24">
      <c r="A18" s="11" t="s">
        <v>23</v>
      </c>
      <c r="B18" s="10">
        <v>7680.8</v>
      </c>
      <c r="C18" s="10">
        <v>9316.2999999999993</v>
      </c>
      <c r="D18" s="10">
        <v>14298</v>
      </c>
      <c r="E18" s="10">
        <v>15117.2</v>
      </c>
      <c r="F18" s="10">
        <v>18961</v>
      </c>
      <c r="G18" s="10">
        <v>17581.8</v>
      </c>
      <c r="H18" s="10">
        <v>17702</v>
      </c>
      <c r="I18" s="10">
        <v>13283.3</v>
      </c>
      <c r="J18" s="10">
        <v>11816.4</v>
      </c>
      <c r="K18" s="10">
        <v>9511.2000000000007</v>
      </c>
      <c r="L18" s="10">
        <v>8302.7000000000007</v>
      </c>
      <c r="M18" s="10">
        <v>6872</v>
      </c>
      <c r="N18" s="10">
        <v>5616.1</v>
      </c>
      <c r="O18" s="10">
        <v>5261.2</v>
      </c>
      <c r="P18" s="10">
        <v>5050.7</v>
      </c>
      <c r="Q18" s="10">
        <v>5260.3</v>
      </c>
      <c r="R18" s="10">
        <v>4970.6000000000004</v>
      </c>
      <c r="S18" s="10">
        <v>4927.6000000000004</v>
      </c>
      <c r="T18" s="10">
        <v>5276.8</v>
      </c>
      <c r="U18" s="10">
        <v>6276.9</v>
      </c>
      <c r="V18" s="10"/>
      <c r="W18" s="10"/>
      <c r="X18" s="10"/>
    </row>
    <row r="19" spans="1:24">
      <c r="A19" s="11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  <row r="20" spans="1:24">
      <c r="A20" s="11" t="s">
        <v>24</v>
      </c>
      <c r="B20" s="10">
        <v>6387.3</v>
      </c>
      <c r="C20" s="10">
        <v>7193.4</v>
      </c>
      <c r="D20" s="10">
        <v>7232.2</v>
      </c>
      <c r="E20" s="10">
        <v>8721.5</v>
      </c>
      <c r="F20" s="10">
        <v>14026.8</v>
      </c>
      <c r="G20" s="10">
        <v>14697.8</v>
      </c>
      <c r="H20" s="10">
        <v>15529</v>
      </c>
      <c r="I20" s="10">
        <v>12443</v>
      </c>
      <c r="J20" s="10">
        <v>10674.9</v>
      </c>
      <c r="K20" s="10">
        <v>6849.2</v>
      </c>
      <c r="L20" s="10">
        <v>6320.5</v>
      </c>
      <c r="M20" s="10">
        <v>4910.5</v>
      </c>
      <c r="N20" s="10">
        <v>3302.9</v>
      </c>
      <c r="O20" s="10">
        <v>3186.8</v>
      </c>
      <c r="P20" s="10">
        <v>3617.3</v>
      </c>
      <c r="Q20" s="10">
        <v>2825.7</v>
      </c>
      <c r="R20" s="10">
        <v>3034.9</v>
      </c>
      <c r="S20" s="10">
        <v>3360.9</v>
      </c>
      <c r="T20" s="10">
        <v>3524.4</v>
      </c>
      <c r="U20" s="10">
        <v>4376.1000000000004</v>
      </c>
      <c r="V20" s="10"/>
      <c r="W20" s="10"/>
      <c r="X20" s="10"/>
    </row>
    <row r="21" spans="1:24">
      <c r="A21" s="11" t="s">
        <v>25</v>
      </c>
      <c r="B21" s="10">
        <v>5453.7</v>
      </c>
      <c r="C21" s="10">
        <v>5040.1000000000004</v>
      </c>
      <c r="D21" s="10">
        <v>5450.6</v>
      </c>
      <c r="E21" s="10">
        <v>7038.2</v>
      </c>
      <c r="F21" s="10">
        <v>7178.4</v>
      </c>
      <c r="G21" s="10">
        <v>8154.9</v>
      </c>
      <c r="H21" s="10">
        <v>9671.7000000000007</v>
      </c>
      <c r="I21" s="10">
        <v>7741.2</v>
      </c>
      <c r="J21" s="10">
        <v>4958</v>
      </c>
      <c r="K21" s="10">
        <v>4750</v>
      </c>
      <c r="L21" s="10">
        <v>3425.3</v>
      </c>
      <c r="M21" s="10">
        <v>2790.5</v>
      </c>
      <c r="N21" s="10">
        <v>2850.3</v>
      </c>
      <c r="O21" s="10">
        <v>3436.5</v>
      </c>
      <c r="P21" s="10">
        <v>4030</v>
      </c>
      <c r="Q21" s="10">
        <v>5391.1</v>
      </c>
      <c r="R21" s="10">
        <v>4472.8</v>
      </c>
      <c r="S21" s="10">
        <v>5072.3999999999996</v>
      </c>
      <c r="T21" s="10">
        <v>5174.8999999999996</v>
      </c>
      <c r="U21" s="10">
        <v>8832.1</v>
      </c>
      <c r="V21" s="10"/>
      <c r="W21" s="10"/>
      <c r="X21" s="10"/>
    </row>
    <row r="22" spans="1:24">
      <c r="A22" s="11" t="s">
        <v>26</v>
      </c>
      <c r="B22" s="10">
        <v>6586.6</v>
      </c>
      <c r="C22" s="10">
        <v>5999.9</v>
      </c>
      <c r="D22" s="10">
        <v>7776.4</v>
      </c>
      <c r="E22" s="10">
        <v>8470.5</v>
      </c>
      <c r="F22" s="10">
        <v>8691</v>
      </c>
      <c r="G22" s="10">
        <v>9100.4</v>
      </c>
      <c r="H22" s="10">
        <v>10547.7</v>
      </c>
      <c r="I22" s="10">
        <v>8546.7000000000007</v>
      </c>
      <c r="J22" s="10">
        <v>7131.4</v>
      </c>
      <c r="K22" s="10">
        <v>5745.5</v>
      </c>
      <c r="L22" s="10">
        <v>4962.1000000000004</v>
      </c>
      <c r="M22" s="10">
        <v>3740.9</v>
      </c>
      <c r="N22" s="10">
        <v>3822</v>
      </c>
      <c r="O22" s="10">
        <v>4104.3999999999996</v>
      </c>
      <c r="P22" s="10">
        <v>5170.5</v>
      </c>
      <c r="Q22" s="10">
        <v>6685.1</v>
      </c>
      <c r="R22" s="10">
        <v>6455.5</v>
      </c>
      <c r="S22" s="10">
        <v>7012.1</v>
      </c>
      <c r="T22" s="10">
        <v>7253.7</v>
      </c>
      <c r="U22" s="10">
        <v>6383</v>
      </c>
      <c r="V22" s="10"/>
      <c r="W22" s="10"/>
      <c r="X22" s="10"/>
    </row>
    <row r="23" spans="1:24">
      <c r="A23" s="11" t="s">
        <v>27</v>
      </c>
      <c r="B23" s="10">
        <v>26020.3</v>
      </c>
      <c r="C23" s="10">
        <v>22922.3</v>
      </c>
      <c r="D23" s="10">
        <v>20232.5</v>
      </c>
      <c r="E23" s="10">
        <v>16382.1</v>
      </c>
      <c r="F23" s="10">
        <v>30098.9</v>
      </c>
      <c r="G23" s="10">
        <v>35833.800000000003</v>
      </c>
      <c r="H23" s="10">
        <v>31387.5</v>
      </c>
      <c r="I23" s="10">
        <v>24127.200000000001</v>
      </c>
      <c r="J23" s="10">
        <v>20882.8</v>
      </c>
      <c r="K23" s="10">
        <v>16384.900000000001</v>
      </c>
      <c r="L23" s="10">
        <v>12075.3</v>
      </c>
      <c r="M23" s="10">
        <v>10013.6</v>
      </c>
      <c r="N23" s="10">
        <v>8552.9</v>
      </c>
      <c r="O23" s="10">
        <v>8048.8</v>
      </c>
      <c r="P23" s="10">
        <v>9358.7000000000007</v>
      </c>
      <c r="Q23" s="10">
        <v>8005.2</v>
      </c>
      <c r="R23" s="10">
        <v>8016.9</v>
      </c>
      <c r="S23" s="10">
        <v>7200.1</v>
      </c>
      <c r="T23" s="10">
        <v>6783.4</v>
      </c>
      <c r="U23" s="10">
        <v>7380.5</v>
      </c>
      <c r="V23" s="10"/>
      <c r="W23" s="10"/>
      <c r="X23" s="10"/>
    </row>
    <row r="24" spans="1:24">
      <c r="A24" s="11" t="s">
        <v>28</v>
      </c>
      <c r="B24" s="10">
        <v>5027.1000000000004</v>
      </c>
      <c r="C24" s="10">
        <v>3381.8</v>
      </c>
      <c r="D24" s="10">
        <v>3715.1</v>
      </c>
      <c r="E24" s="10">
        <v>6100.6</v>
      </c>
      <c r="F24" s="10">
        <v>6884.4</v>
      </c>
      <c r="G24" s="10">
        <v>6887.2</v>
      </c>
      <c r="H24" s="10">
        <v>7066.5</v>
      </c>
      <c r="I24" s="10">
        <v>5427</v>
      </c>
      <c r="J24" s="10">
        <v>4405.6000000000004</v>
      </c>
      <c r="K24" s="10">
        <v>2803.6</v>
      </c>
      <c r="L24" s="10">
        <v>2690</v>
      </c>
      <c r="M24" s="10">
        <v>2023.6</v>
      </c>
      <c r="N24" s="10">
        <v>1862.7</v>
      </c>
      <c r="O24" s="10">
        <v>1678.4</v>
      </c>
      <c r="P24" s="10">
        <v>1622.6</v>
      </c>
      <c r="Q24" s="10">
        <v>1543.7</v>
      </c>
      <c r="R24" s="10">
        <v>1735.4</v>
      </c>
      <c r="S24" s="10">
        <v>1694.9</v>
      </c>
      <c r="T24" s="10">
        <v>2145.1999999999998</v>
      </c>
      <c r="U24" s="10">
        <v>1854</v>
      </c>
      <c r="V24" s="10"/>
      <c r="W24" s="10"/>
      <c r="X24" s="10"/>
    </row>
    <row r="25" spans="1:24">
      <c r="A25" s="11" t="s">
        <v>29</v>
      </c>
      <c r="B25" s="10">
        <v>1005.3</v>
      </c>
      <c r="C25" s="10">
        <v>1029.7</v>
      </c>
      <c r="D25" s="10">
        <v>1310.3</v>
      </c>
      <c r="E25" s="10">
        <v>779.4</v>
      </c>
      <c r="F25" s="10">
        <v>1166.0999999999999</v>
      </c>
      <c r="G25" s="10">
        <v>1186.3</v>
      </c>
      <c r="H25" s="10">
        <v>1156.4000000000001</v>
      </c>
      <c r="I25" s="10">
        <v>819.4</v>
      </c>
      <c r="J25" s="10">
        <v>638.20000000000005</v>
      </c>
      <c r="K25" s="10">
        <v>603.1</v>
      </c>
      <c r="L25" s="10">
        <v>679.4</v>
      </c>
      <c r="M25" s="10">
        <v>434.4</v>
      </c>
      <c r="N25" s="10">
        <v>399.6</v>
      </c>
      <c r="O25" s="10">
        <v>552.6</v>
      </c>
      <c r="P25" s="10">
        <v>554.9</v>
      </c>
      <c r="Q25" s="10">
        <v>939.9</v>
      </c>
      <c r="R25" s="10">
        <v>935</v>
      </c>
      <c r="S25" s="10">
        <v>1457.1</v>
      </c>
      <c r="T25" s="10">
        <v>1123.0999999999999</v>
      </c>
      <c r="U25" s="10">
        <v>1515</v>
      </c>
      <c r="V25" s="10"/>
      <c r="W25" s="10"/>
      <c r="X25" s="10"/>
    </row>
    <row r="26" spans="1:24">
      <c r="A26" s="11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</row>
    <row r="27" spans="1:24">
      <c r="A27" s="11" t="s">
        <v>30</v>
      </c>
      <c r="B27" s="10">
        <v>1797.6</v>
      </c>
      <c r="C27" s="10">
        <v>2082.3000000000002</v>
      </c>
      <c r="D27" s="10">
        <v>2608</v>
      </c>
      <c r="E27" s="10">
        <v>1889.4</v>
      </c>
      <c r="F27" s="10">
        <v>4186.3</v>
      </c>
      <c r="G27" s="10">
        <v>4683.1000000000004</v>
      </c>
      <c r="H27" s="10">
        <v>4291.3</v>
      </c>
      <c r="I27" s="10">
        <v>2894</v>
      </c>
      <c r="J27" s="10">
        <v>2598.5</v>
      </c>
      <c r="K27" s="10">
        <v>1775.3</v>
      </c>
      <c r="L27" s="10">
        <v>1320.8</v>
      </c>
      <c r="M27" s="10">
        <v>1089.8</v>
      </c>
      <c r="N27" s="10">
        <v>1048.4000000000001</v>
      </c>
      <c r="O27" s="10">
        <v>1225.9000000000001</v>
      </c>
      <c r="P27" s="10">
        <v>1363.5</v>
      </c>
      <c r="Q27" s="10">
        <v>1735.7</v>
      </c>
      <c r="R27" s="10">
        <v>1579.3</v>
      </c>
      <c r="S27" s="10">
        <v>1531.1</v>
      </c>
      <c r="T27" s="10">
        <v>1844.7</v>
      </c>
      <c r="U27" s="10">
        <v>2147.9</v>
      </c>
      <c r="V27" s="10"/>
      <c r="W27" s="10"/>
      <c r="X27" s="10"/>
    </row>
    <row r="28" spans="1:24">
      <c r="A28" s="11" t="s">
        <v>31</v>
      </c>
      <c r="B28" s="10">
        <v>6173.3</v>
      </c>
      <c r="C28" s="10">
        <v>6040</v>
      </c>
      <c r="D28" s="10">
        <v>6306.2</v>
      </c>
      <c r="E28" s="10">
        <v>11015.9</v>
      </c>
      <c r="F28" s="10">
        <v>12483.2</v>
      </c>
      <c r="G28" s="10">
        <v>13984.1</v>
      </c>
      <c r="H28" s="10">
        <v>13123.4</v>
      </c>
      <c r="I28" s="10">
        <v>11253.8</v>
      </c>
      <c r="J28" s="10">
        <v>10745.4</v>
      </c>
      <c r="K28" s="10">
        <v>8283.2999999999993</v>
      </c>
      <c r="L28" s="10">
        <v>7677.6</v>
      </c>
      <c r="M28" s="10">
        <v>5830.8</v>
      </c>
      <c r="N28" s="10">
        <v>5769.6</v>
      </c>
      <c r="O28" s="10">
        <v>5398.5</v>
      </c>
      <c r="P28" s="10">
        <v>7330.9</v>
      </c>
      <c r="Q28" s="10">
        <v>6704.4</v>
      </c>
      <c r="R28" s="10">
        <v>5910.5</v>
      </c>
      <c r="S28" s="10">
        <v>7320.4</v>
      </c>
      <c r="T28" s="10">
        <v>6317.4</v>
      </c>
      <c r="U28" s="10">
        <v>5760.5</v>
      </c>
      <c r="V28" s="10"/>
      <c r="W28" s="10"/>
      <c r="X28" s="10"/>
    </row>
    <row r="29" spans="1:24">
      <c r="A29" s="11" t="s">
        <v>32</v>
      </c>
      <c r="B29" s="10">
        <v>1789.7</v>
      </c>
      <c r="C29" s="10">
        <v>1734.2</v>
      </c>
      <c r="D29" s="10">
        <v>1596.1</v>
      </c>
      <c r="E29" s="10">
        <v>1899.6</v>
      </c>
      <c r="F29" s="10">
        <v>2067.8000000000002</v>
      </c>
      <c r="G29" s="10">
        <v>2420.1</v>
      </c>
      <c r="H29" s="10">
        <v>2815.2</v>
      </c>
      <c r="I29" s="10">
        <v>2353.3000000000002</v>
      </c>
      <c r="J29" s="10">
        <v>2507.1</v>
      </c>
      <c r="K29" s="10">
        <v>1869.4</v>
      </c>
      <c r="L29" s="10">
        <v>1848.8</v>
      </c>
      <c r="M29" s="10">
        <v>1480.2</v>
      </c>
      <c r="N29" s="10">
        <v>1213.9000000000001</v>
      </c>
      <c r="O29" s="10">
        <v>1296</v>
      </c>
      <c r="P29" s="10">
        <v>1611.4</v>
      </c>
      <c r="Q29" s="10">
        <v>1698.4</v>
      </c>
      <c r="R29" s="10">
        <v>1477.9</v>
      </c>
      <c r="S29" s="10">
        <v>1282.5</v>
      </c>
      <c r="T29" s="10">
        <v>1197</v>
      </c>
      <c r="U29" s="10">
        <v>9475.1</v>
      </c>
      <c r="V29" s="10"/>
      <c r="W29" s="10"/>
      <c r="X29" s="10"/>
    </row>
    <row r="30" spans="1:24">
      <c r="A30" s="11" t="s">
        <v>33</v>
      </c>
      <c r="B30" s="10">
        <v>2764.7</v>
      </c>
      <c r="C30" s="10">
        <v>3545.5</v>
      </c>
      <c r="D30" s="10">
        <v>4300.7</v>
      </c>
      <c r="E30" s="10">
        <v>8661.1</v>
      </c>
      <c r="F30" s="10">
        <v>10739.8</v>
      </c>
      <c r="G30" s="10">
        <v>10732.7</v>
      </c>
      <c r="H30" s="10">
        <v>9783.5</v>
      </c>
      <c r="I30" s="10">
        <v>5195.8999999999996</v>
      </c>
      <c r="J30" s="10">
        <v>3502.2</v>
      </c>
      <c r="K30" s="10">
        <v>2761.9</v>
      </c>
      <c r="L30" s="10">
        <v>2214.1</v>
      </c>
      <c r="M30" s="10">
        <v>2542</v>
      </c>
      <c r="N30" s="10">
        <v>2371.6999999999998</v>
      </c>
      <c r="O30" s="10">
        <v>2530.1999999999998</v>
      </c>
      <c r="P30" s="10">
        <v>2688.6</v>
      </c>
      <c r="Q30" s="10">
        <v>2881.1</v>
      </c>
      <c r="R30" s="10">
        <v>2051.6</v>
      </c>
      <c r="S30" s="10">
        <v>3460.9</v>
      </c>
      <c r="T30" s="10">
        <v>3414</v>
      </c>
      <c r="U30" s="10">
        <v>2905.9</v>
      </c>
      <c r="V30" s="10"/>
      <c r="W30" s="10"/>
      <c r="X30" s="10"/>
    </row>
    <row r="31" spans="1:24">
      <c r="A31" s="11" t="s">
        <v>34</v>
      </c>
      <c r="B31" s="10">
        <v>451.9</v>
      </c>
      <c r="C31" s="10">
        <v>494.5</v>
      </c>
      <c r="D31" s="10">
        <v>591.29999999999995</v>
      </c>
      <c r="E31" s="10">
        <v>709.3</v>
      </c>
      <c r="F31" s="10">
        <v>568.1</v>
      </c>
      <c r="G31" s="10">
        <v>881.8</v>
      </c>
      <c r="H31" s="10">
        <v>1266.7</v>
      </c>
      <c r="I31" s="10">
        <v>956.4</v>
      </c>
      <c r="J31" s="10">
        <v>877.8</v>
      </c>
      <c r="K31" s="10">
        <v>731.1</v>
      </c>
      <c r="L31" s="10">
        <v>642</v>
      </c>
      <c r="M31" s="10">
        <v>620.4</v>
      </c>
      <c r="N31" s="10">
        <v>585.1</v>
      </c>
      <c r="O31" s="10">
        <v>620.4</v>
      </c>
      <c r="P31" s="10">
        <v>689.3</v>
      </c>
      <c r="Q31" s="10">
        <v>935</v>
      </c>
      <c r="R31" s="10">
        <v>865.1</v>
      </c>
      <c r="S31" s="10">
        <v>509.1</v>
      </c>
      <c r="T31" s="10">
        <v>301.60000000000002</v>
      </c>
      <c r="U31" s="10">
        <v>290.5</v>
      </c>
      <c r="V31" s="10"/>
      <c r="W31" s="10"/>
      <c r="X31" s="10"/>
    </row>
    <row r="32" spans="1:24">
      <c r="A32" s="11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</row>
    <row r="33" spans="1:24">
      <c r="A33" s="11" t="s">
        <v>35</v>
      </c>
      <c r="B33" s="10">
        <v>4717</v>
      </c>
      <c r="C33" s="10">
        <v>4019.4</v>
      </c>
      <c r="D33" s="10">
        <v>3585.9</v>
      </c>
      <c r="E33" s="10">
        <v>3853.5</v>
      </c>
      <c r="F33" s="10">
        <v>3998.9</v>
      </c>
      <c r="G33" s="10">
        <v>3864.1</v>
      </c>
      <c r="H33" s="10">
        <v>3893.3</v>
      </c>
      <c r="I33" s="10">
        <v>6242.6</v>
      </c>
      <c r="J33" s="10">
        <v>6241.6</v>
      </c>
      <c r="K33" s="10">
        <v>5358.2</v>
      </c>
      <c r="L33" s="10">
        <v>3822.6</v>
      </c>
      <c r="M33" s="10">
        <v>2917.2</v>
      </c>
      <c r="N33" s="10">
        <v>2988.8</v>
      </c>
      <c r="O33" s="10">
        <v>3319.8</v>
      </c>
      <c r="P33" s="10">
        <v>3331.9</v>
      </c>
      <c r="Q33" s="10">
        <v>4015</v>
      </c>
      <c r="R33" s="10">
        <v>3696.2</v>
      </c>
      <c r="S33" s="10">
        <v>3652.4</v>
      </c>
      <c r="T33" s="10">
        <v>3741.9</v>
      </c>
      <c r="U33" s="10">
        <v>3810.7</v>
      </c>
      <c r="V33" s="10"/>
      <c r="W33" s="10"/>
      <c r="X33" s="10"/>
    </row>
    <row r="34" spans="1:24">
      <c r="A34" s="11" t="s">
        <v>36</v>
      </c>
      <c r="B34" s="10">
        <v>557.1</v>
      </c>
      <c r="C34" s="10">
        <v>678.7</v>
      </c>
      <c r="D34" s="10">
        <v>773.5</v>
      </c>
      <c r="E34" s="10">
        <v>2953.6</v>
      </c>
      <c r="F34" s="10">
        <v>3170.7</v>
      </c>
      <c r="G34" s="10">
        <v>3264.9</v>
      </c>
      <c r="H34" s="10">
        <v>3498.9</v>
      </c>
      <c r="I34" s="10">
        <v>2512.1999999999998</v>
      </c>
      <c r="J34" s="10">
        <v>2252.8000000000002</v>
      </c>
      <c r="K34" s="10">
        <v>1788.3</v>
      </c>
      <c r="L34" s="10">
        <v>1300.9000000000001</v>
      </c>
      <c r="M34" s="10">
        <v>1447.3</v>
      </c>
      <c r="N34" s="10">
        <v>1224.9000000000001</v>
      </c>
      <c r="O34" s="10">
        <v>1116.2</v>
      </c>
      <c r="P34" s="10">
        <v>2839.5</v>
      </c>
      <c r="Q34" s="10">
        <v>1659.7</v>
      </c>
      <c r="R34" s="10">
        <v>1212.2</v>
      </c>
      <c r="S34" s="10">
        <v>1290.9000000000001</v>
      </c>
      <c r="T34" s="10">
        <v>1236.3</v>
      </c>
      <c r="U34" s="10">
        <v>1065.4000000000001</v>
      </c>
      <c r="V34" s="10"/>
      <c r="W34" s="10"/>
      <c r="X34" s="10"/>
    </row>
    <row r="35" spans="1:24">
      <c r="A35" s="11" t="s">
        <v>37</v>
      </c>
      <c r="B35" s="10">
        <v>999.3</v>
      </c>
      <c r="C35" s="10">
        <v>695.4</v>
      </c>
      <c r="D35" s="10">
        <v>483.9</v>
      </c>
      <c r="E35" s="10">
        <v>642.70000000000005</v>
      </c>
      <c r="F35" s="10">
        <v>631.9</v>
      </c>
      <c r="G35" s="10">
        <v>684.6</v>
      </c>
      <c r="H35" s="10">
        <v>737.6</v>
      </c>
      <c r="I35" s="10">
        <v>565.4</v>
      </c>
      <c r="J35" s="10">
        <v>410.9</v>
      </c>
      <c r="K35" s="10">
        <v>374.8</v>
      </c>
      <c r="L35" s="10">
        <v>311.10000000000002</v>
      </c>
      <c r="M35" s="10">
        <v>269.8</v>
      </c>
      <c r="N35" s="10">
        <v>392.8</v>
      </c>
      <c r="O35" s="10">
        <v>390.4</v>
      </c>
      <c r="P35" s="10">
        <v>455</v>
      </c>
      <c r="Q35" s="10">
        <v>453.2</v>
      </c>
      <c r="R35" s="10">
        <v>645.20000000000005</v>
      </c>
      <c r="S35" s="10">
        <v>884.8</v>
      </c>
      <c r="T35" s="10">
        <v>614.20000000000005</v>
      </c>
      <c r="U35" s="10">
        <v>750.7</v>
      </c>
      <c r="V35" s="10"/>
      <c r="W35" s="10"/>
      <c r="X35" s="10"/>
    </row>
    <row r="36" spans="1:24">
      <c r="A36" s="11" t="s">
        <v>38</v>
      </c>
      <c r="B36" s="10">
        <v>974.9</v>
      </c>
      <c r="C36" s="10">
        <v>950.5</v>
      </c>
      <c r="D36" s="10">
        <v>1107</v>
      </c>
      <c r="E36" s="10">
        <v>1865.6</v>
      </c>
      <c r="F36" s="10">
        <v>1860</v>
      </c>
      <c r="G36" s="10">
        <v>1748.4</v>
      </c>
      <c r="H36" s="10">
        <v>1426.1</v>
      </c>
      <c r="I36" s="10">
        <v>1312</v>
      </c>
      <c r="J36" s="10">
        <v>1055.8</v>
      </c>
      <c r="K36" s="10">
        <v>748</v>
      </c>
      <c r="L36" s="10">
        <v>768.9</v>
      </c>
      <c r="M36" s="10">
        <v>818.5</v>
      </c>
      <c r="N36" s="10">
        <v>534.20000000000005</v>
      </c>
      <c r="O36" s="10">
        <v>658</v>
      </c>
      <c r="P36" s="10">
        <v>763.6</v>
      </c>
      <c r="Q36" s="10">
        <v>707.2</v>
      </c>
      <c r="R36" s="10">
        <v>799.5</v>
      </c>
      <c r="S36" s="10">
        <v>856</v>
      </c>
      <c r="T36" s="10">
        <v>803.6</v>
      </c>
      <c r="U36" s="10">
        <v>754.9</v>
      </c>
      <c r="V36" s="10"/>
      <c r="W36" s="10"/>
      <c r="X36" s="10"/>
    </row>
    <row r="37" spans="1:24">
      <c r="A37" s="11" t="s">
        <v>39</v>
      </c>
      <c r="B37" s="10">
        <v>4070.4</v>
      </c>
      <c r="C37" s="10">
        <v>3949.1</v>
      </c>
      <c r="D37" s="10">
        <v>4615.1000000000004</v>
      </c>
      <c r="E37" s="10">
        <v>4262.1000000000004</v>
      </c>
      <c r="F37" s="10">
        <v>4366.3999999999996</v>
      </c>
      <c r="G37" s="10">
        <v>3779.5</v>
      </c>
      <c r="H37" s="10">
        <v>3741.6</v>
      </c>
      <c r="I37" s="10">
        <v>2964.8</v>
      </c>
      <c r="J37" s="10">
        <v>2834.5</v>
      </c>
      <c r="K37" s="10">
        <v>1662.8</v>
      </c>
      <c r="L37" s="10">
        <v>1252</v>
      </c>
      <c r="M37" s="10">
        <v>1129.7</v>
      </c>
      <c r="N37" s="10">
        <v>996.2</v>
      </c>
      <c r="O37" s="10">
        <v>903.3</v>
      </c>
      <c r="P37" s="10">
        <v>1031</v>
      </c>
      <c r="Q37" s="10">
        <v>1242.5999999999999</v>
      </c>
      <c r="R37" s="10">
        <v>1319.3</v>
      </c>
      <c r="S37" s="10">
        <v>1228.3</v>
      </c>
      <c r="T37" s="10">
        <v>1263.4000000000001</v>
      </c>
      <c r="U37" s="10">
        <v>1190.5</v>
      </c>
      <c r="V37" s="10"/>
      <c r="W37" s="10"/>
      <c r="X37" s="10"/>
    </row>
    <row r="38" spans="1:24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</row>
    <row r="39" spans="1:24"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</row>
    <row r="40" spans="1:24"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</row>
    <row r="41" spans="1:24"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</row>
    <row r="42" spans="1:24"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</row>
  </sheetData>
  <phoneticPr fontId="6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FE68A-2D4A-5E43-8E92-441C1E3F4116}">
  <dimension ref="A1:W41"/>
  <sheetViews>
    <sheetView workbookViewId="0">
      <selection sqref="A1:A1048576"/>
    </sheetView>
  </sheetViews>
  <sheetFormatPr baseColWidth="10" defaultRowHeight="16"/>
  <cols>
    <col min="1" max="1" width="19" customWidth="1"/>
  </cols>
  <sheetData>
    <row r="1" spans="1:23" ht="17">
      <c r="A1" s="23" t="s">
        <v>44</v>
      </c>
      <c r="B1" s="23">
        <v>1995</v>
      </c>
      <c r="C1" s="23">
        <v>1996</v>
      </c>
      <c r="D1" s="23">
        <v>1997</v>
      </c>
      <c r="E1" s="23">
        <v>1998</v>
      </c>
      <c r="F1" s="23">
        <v>1999</v>
      </c>
      <c r="G1" s="23">
        <v>2000</v>
      </c>
      <c r="H1" s="23">
        <v>2001</v>
      </c>
      <c r="I1" s="23">
        <v>2002</v>
      </c>
      <c r="J1" s="23">
        <v>2003</v>
      </c>
      <c r="K1" s="23">
        <v>2004</v>
      </c>
      <c r="L1" s="23">
        <v>2005</v>
      </c>
      <c r="M1" s="23">
        <v>2006</v>
      </c>
      <c r="N1" s="23">
        <v>2007</v>
      </c>
      <c r="O1" s="23">
        <v>2008</v>
      </c>
      <c r="P1" s="23">
        <v>2009</v>
      </c>
      <c r="Q1" s="23">
        <v>2010</v>
      </c>
      <c r="R1" s="23">
        <v>2011</v>
      </c>
      <c r="S1" s="23">
        <v>2012</v>
      </c>
      <c r="T1" s="23">
        <v>2013</v>
      </c>
      <c r="U1" s="23">
        <v>2014</v>
      </c>
      <c r="V1" s="23">
        <v>2015</v>
      </c>
      <c r="W1" s="23">
        <v>2016</v>
      </c>
    </row>
    <row r="2" spans="1:23">
      <c r="A2" s="16" t="s">
        <v>9</v>
      </c>
      <c r="B2" s="24">
        <v>2.02</v>
      </c>
      <c r="C2" s="24">
        <v>2.0699999999999998</v>
      </c>
      <c r="D2" s="24">
        <v>2.23</v>
      </c>
      <c r="E2" s="24">
        <v>2.37</v>
      </c>
      <c r="F2" s="24">
        <v>2.41</v>
      </c>
      <c r="G2" s="24">
        <v>2.66</v>
      </c>
      <c r="H2" s="24">
        <v>2.77</v>
      </c>
      <c r="I2" s="24">
        <v>2.8</v>
      </c>
      <c r="J2" s="24">
        <v>3.1</v>
      </c>
      <c r="K2" s="24">
        <v>3.3</v>
      </c>
      <c r="L2" s="24">
        <v>3.4</v>
      </c>
      <c r="M2" s="24">
        <v>3.6</v>
      </c>
      <c r="N2" s="24">
        <v>3.66</v>
      </c>
      <c r="O2" s="24">
        <v>3.76</v>
      </c>
      <c r="P2" s="24">
        <v>4.13</v>
      </c>
      <c r="Q2" s="24">
        <v>4.4000000000000004</v>
      </c>
      <c r="R2" s="24">
        <v>4.3499999999999996</v>
      </c>
      <c r="S2" s="24">
        <v>4.8600000000000003</v>
      </c>
      <c r="T2" s="24">
        <v>6.46</v>
      </c>
      <c r="U2" s="24">
        <v>5.62</v>
      </c>
      <c r="V2" s="24">
        <v>8.2200000000000006</v>
      </c>
      <c r="W2" s="24">
        <v>10.58</v>
      </c>
    </row>
    <row r="3" spans="1:23">
      <c r="A3" s="11" t="s">
        <v>10</v>
      </c>
      <c r="B3" s="24">
        <v>1.0900000000000001</v>
      </c>
      <c r="C3" s="24">
        <v>1.23</v>
      </c>
      <c r="D3" s="24">
        <v>1.25</v>
      </c>
      <c r="E3" s="24">
        <v>1.25</v>
      </c>
      <c r="F3" s="24">
        <v>1.27</v>
      </c>
      <c r="G3" s="24">
        <v>1.34</v>
      </c>
      <c r="H3" s="24">
        <v>1.31</v>
      </c>
      <c r="I3" s="24">
        <v>1.2</v>
      </c>
      <c r="J3" s="24">
        <v>1.4</v>
      </c>
      <c r="K3" s="24">
        <v>1.8</v>
      </c>
      <c r="L3" s="24">
        <v>1.9</v>
      </c>
      <c r="M3" s="24">
        <v>2.1</v>
      </c>
      <c r="N3" s="24">
        <v>2.21</v>
      </c>
      <c r="O3" s="24">
        <v>2.4</v>
      </c>
      <c r="P3" s="24">
        <v>2.76</v>
      </c>
      <c r="Q3" s="24">
        <v>3</v>
      </c>
      <c r="R3" s="24">
        <v>3.21</v>
      </c>
      <c r="S3" s="24">
        <v>3.63</v>
      </c>
      <c r="T3" s="24">
        <v>4.53</v>
      </c>
      <c r="U3" s="24">
        <v>3.9</v>
      </c>
      <c r="V3" s="24">
        <v>5.19</v>
      </c>
      <c r="W3" s="24">
        <v>6.52</v>
      </c>
    </row>
    <row r="4" spans="1:23">
      <c r="A4" s="11" t="s">
        <v>11</v>
      </c>
      <c r="B4" s="24">
        <v>4.71</v>
      </c>
      <c r="C4" s="24">
        <v>5.1100000000000003</v>
      </c>
      <c r="D4" s="24">
        <v>5.38</v>
      </c>
      <c r="E4" s="24">
        <v>5.27</v>
      </c>
      <c r="F4" s="24">
        <v>5.32</v>
      </c>
      <c r="G4" s="24">
        <v>5.33</v>
      </c>
      <c r="H4" s="24">
        <v>5.16</v>
      </c>
      <c r="I4" s="24">
        <v>5.3</v>
      </c>
      <c r="J4" s="24">
        <v>5.8</v>
      </c>
      <c r="K4" s="24">
        <v>7.7</v>
      </c>
      <c r="L4" s="24">
        <v>8.3000000000000007</v>
      </c>
      <c r="M4" s="24">
        <v>9.1999999999999993</v>
      </c>
      <c r="N4" s="24">
        <v>9.8800000000000008</v>
      </c>
      <c r="O4" s="24">
        <v>11.22</v>
      </c>
      <c r="P4" s="24">
        <v>12.67</v>
      </c>
      <c r="Q4" s="24">
        <v>14.5</v>
      </c>
      <c r="R4" s="24">
        <v>15.63</v>
      </c>
      <c r="S4" s="24">
        <v>17.12</v>
      </c>
      <c r="T4" s="24">
        <v>17.88</v>
      </c>
      <c r="U4" s="24">
        <v>14.69</v>
      </c>
      <c r="V4" s="24">
        <v>19.899999999999999</v>
      </c>
      <c r="W4" s="24">
        <v>22.02</v>
      </c>
    </row>
    <row r="5" spans="1:23">
      <c r="A5" s="11" t="s">
        <v>12</v>
      </c>
      <c r="B5" s="24">
        <v>2.33</v>
      </c>
      <c r="C5" s="24">
        <v>2.37</v>
      </c>
      <c r="D5" s="24">
        <v>2.4500000000000002</v>
      </c>
      <c r="E5" s="24">
        <v>2.14</v>
      </c>
      <c r="F5" s="24">
        <v>2.42</v>
      </c>
      <c r="G5" s="24">
        <v>2.38</v>
      </c>
      <c r="H5" s="24">
        <v>2.29</v>
      </c>
      <c r="I5" s="24">
        <v>2.2999999999999998</v>
      </c>
      <c r="J5" s="24">
        <v>2.2999999999999998</v>
      </c>
      <c r="K5" s="24">
        <v>2.7</v>
      </c>
      <c r="L5" s="24">
        <v>2.9</v>
      </c>
      <c r="M5" s="24">
        <v>3</v>
      </c>
      <c r="N5" s="24">
        <v>3.24</v>
      </c>
      <c r="O5" s="24">
        <v>3.28</v>
      </c>
      <c r="P5" s="24">
        <v>3.89</v>
      </c>
      <c r="Q5" s="24">
        <v>4.3</v>
      </c>
      <c r="R5" s="24">
        <v>4.75</v>
      </c>
      <c r="S5" s="24">
        <v>5.28</v>
      </c>
      <c r="T5" s="24">
        <v>6.1</v>
      </c>
      <c r="U5" s="24">
        <v>4.79</v>
      </c>
      <c r="V5" s="24">
        <v>7.22</v>
      </c>
      <c r="W5" s="24">
        <v>7.65</v>
      </c>
    </row>
    <row r="6" spans="1:23">
      <c r="A6" s="11" t="s">
        <v>13</v>
      </c>
      <c r="B6" s="24">
        <v>2.77</v>
      </c>
      <c r="C6" s="24">
        <v>2.95</v>
      </c>
      <c r="D6" s="24">
        <v>3.03</v>
      </c>
      <c r="E6" s="24">
        <v>3.23</v>
      </c>
      <c r="F6" s="24">
        <v>3.23</v>
      </c>
      <c r="G6" s="24">
        <v>3.25</v>
      </c>
      <c r="H6" s="24">
        <v>3.31</v>
      </c>
      <c r="I6" s="24">
        <v>2.5</v>
      </c>
      <c r="J6" s="24">
        <v>3</v>
      </c>
      <c r="K6" s="24">
        <v>3.7</v>
      </c>
      <c r="L6" s="24">
        <v>3.9</v>
      </c>
      <c r="M6" s="24">
        <v>4.0999999999999996</v>
      </c>
      <c r="N6" s="24">
        <v>4.7300000000000004</v>
      </c>
      <c r="O6" s="24">
        <v>5.0199999999999996</v>
      </c>
      <c r="P6" s="24">
        <v>5.2</v>
      </c>
      <c r="Q6" s="24">
        <v>5.7</v>
      </c>
      <c r="R6" s="24">
        <v>6.67</v>
      </c>
      <c r="S6" s="24">
        <v>7.06</v>
      </c>
      <c r="T6" s="24">
        <v>8.07</v>
      </c>
      <c r="U6" s="24">
        <v>6.66</v>
      </c>
      <c r="V6" s="24">
        <v>9.19</v>
      </c>
      <c r="W6" s="24">
        <v>9.84</v>
      </c>
    </row>
    <row r="7" spans="1:23">
      <c r="A7" s="11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</row>
    <row r="8" spans="1:23">
      <c r="A8" s="11" t="s">
        <v>14</v>
      </c>
      <c r="B8" s="24">
        <v>8.0399999999999991</v>
      </c>
      <c r="C8" s="24">
        <v>8.4700000000000006</v>
      </c>
      <c r="D8" s="24">
        <v>8.83</v>
      </c>
      <c r="E8" s="24">
        <v>8.16</v>
      </c>
      <c r="F8" s="24">
        <v>8.2100000000000009</v>
      </c>
      <c r="G8" s="24">
        <v>8.16</v>
      </c>
      <c r="H8" s="24">
        <v>8.39</v>
      </c>
      <c r="I8" s="24">
        <v>6.5</v>
      </c>
      <c r="J8" s="24">
        <v>8.3000000000000007</v>
      </c>
      <c r="K8" s="24">
        <v>10.7</v>
      </c>
      <c r="L8" s="24">
        <v>11.1</v>
      </c>
      <c r="M8" s="24">
        <v>10.7</v>
      </c>
      <c r="N8" s="24">
        <v>11.55</v>
      </c>
      <c r="O8" s="24">
        <v>12.17</v>
      </c>
      <c r="P8" s="24">
        <v>13.15</v>
      </c>
      <c r="Q8" s="24">
        <v>12.8</v>
      </c>
      <c r="R8" s="24">
        <v>13.91</v>
      </c>
      <c r="S8" s="24">
        <v>14.12</v>
      </c>
      <c r="T8" s="24">
        <v>15.21</v>
      </c>
      <c r="U8" s="24">
        <v>12.62</v>
      </c>
      <c r="V8" s="24">
        <v>15.23</v>
      </c>
      <c r="W8" s="24">
        <v>16.010000000000002</v>
      </c>
    </row>
    <row r="9" spans="1:23">
      <c r="A9" s="11" t="s">
        <v>15</v>
      </c>
      <c r="B9" s="24">
        <v>5.18</v>
      </c>
      <c r="C9" s="24">
        <v>5.52</v>
      </c>
      <c r="D9" s="24">
        <v>5.58</v>
      </c>
      <c r="E9" s="24">
        <v>5.27</v>
      </c>
      <c r="F9" s="24">
        <v>5.01</v>
      </c>
      <c r="G9" s="24">
        <v>5.1100000000000003</v>
      </c>
      <c r="H9" s="24">
        <v>5.2</v>
      </c>
      <c r="I9" s="24">
        <v>3.8</v>
      </c>
      <c r="J9" s="24">
        <v>4.3</v>
      </c>
      <c r="K9" s="24">
        <v>7.1</v>
      </c>
      <c r="L9" s="24">
        <v>7.3</v>
      </c>
      <c r="M9" s="24">
        <v>7.6</v>
      </c>
      <c r="N9" s="24">
        <v>8.3000000000000007</v>
      </c>
      <c r="O9" s="24">
        <v>8.3699999999999992</v>
      </c>
      <c r="P9" s="24">
        <v>8.9600000000000009</v>
      </c>
      <c r="Q9" s="24">
        <v>9.4</v>
      </c>
      <c r="R9" s="24">
        <v>10.14</v>
      </c>
      <c r="S9" s="24">
        <v>11.1</v>
      </c>
      <c r="T9" s="24">
        <v>12.4</v>
      </c>
      <c r="U9" s="24">
        <v>10.74</v>
      </c>
      <c r="V9" s="24">
        <v>12.74</v>
      </c>
      <c r="W9" s="24">
        <v>12.92</v>
      </c>
    </row>
    <row r="10" spans="1:23">
      <c r="A10" s="11" t="s">
        <v>16</v>
      </c>
      <c r="B10" s="24">
        <v>7.4</v>
      </c>
      <c r="C10" s="24">
        <v>7.93</v>
      </c>
      <c r="D10" s="24">
        <v>8.26</v>
      </c>
      <c r="E10" s="24">
        <v>7.64</v>
      </c>
      <c r="F10" s="24">
        <v>7.56</v>
      </c>
      <c r="G10" s="24">
        <v>7.49</v>
      </c>
      <c r="H10" s="24">
        <v>7.59</v>
      </c>
      <c r="I10" s="24">
        <v>7.2</v>
      </c>
      <c r="J10" s="24">
        <v>7.7</v>
      </c>
      <c r="K10" s="24">
        <v>9.3000000000000007</v>
      </c>
      <c r="L10" s="24">
        <v>9.6</v>
      </c>
      <c r="M10" s="24">
        <v>9.9</v>
      </c>
      <c r="N10" s="24">
        <v>10.71</v>
      </c>
      <c r="O10" s="24">
        <v>11.67</v>
      </c>
      <c r="P10" s="24">
        <v>12.61</v>
      </c>
      <c r="Q10" s="24">
        <v>13.8</v>
      </c>
      <c r="R10" s="24">
        <v>14.95</v>
      </c>
      <c r="S10" s="24">
        <v>15.68</v>
      </c>
      <c r="T10" s="24">
        <v>17.829999999999998</v>
      </c>
      <c r="U10" s="24">
        <v>15.8</v>
      </c>
      <c r="V10" s="24">
        <v>18.98</v>
      </c>
      <c r="W10" s="24">
        <v>18.72</v>
      </c>
    </row>
    <row r="11" spans="1:23">
      <c r="A11" s="11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</row>
    <row r="12" spans="1:23">
      <c r="A12" s="11" t="s">
        <v>17</v>
      </c>
      <c r="B12" s="24">
        <v>2.2599999999999998</v>
      </c>
      <c r="C12" s="24">
        <v>2.46</v>
      </c>
      <c r="D12" s="24">
        <v>2.72</v>
      </c>
      <c r="E12" s="24">
        <v>2.95</v>
      </c>
      <c r="F12" s="24">
        <v>3.12</v>
      </c>
      <c r="G12" s="24">
        <v>3.18</v>
      </c>
      <c r="H12" s="24">
        <v>3.15</v>
      </c>
      <c r="I12" s="24">
        <v>3</v>
      </c>
      <c r="J12" s="24">
        <v>3.3</v>
      </c>
      <c r="K12" s="24">
        <v>3.6</v>
      </c>
      <c r="L12" s="24">
        <v>3.9</v>
      </c>
      <c r="M12" s="24">
        <v>4.7</v>
      </c>
      <c r="N12" s="24">
        <v>4.6900000000000004</v>
      </c>
      <c r="O12" s="24">
        <v>4.6399999999999997</v>
      </c>
      <c r="P12" s="24">
        <v>4.82</v>
      </c>
      <c r="Q12" s="24">
        <v>4.7</v>
      </c>
      <c r="R12" s="24">
        <v>4.79</v>
      </c>
      <c r="S12" s="24">
        <v>5.28</v>
      </c>
      <c r="T12" s="24">
        <v>6.96</v>
      </c>
      <c r="U12" s="24">
        <v>5.3</v>
      </c>
      <c r="V12" s="24">
        <v>6.66</v>
      </c>
      <c r="W12" s="24">
        <v>8.26</v>
      </c>
    </row>
    <row r="13" spans="1:23">
      <c r="A13" s="11" t="s">
        <v>18</v>
      </c>
      <c r="B13" s="24">
        <v>4.42</v>
      </c>
      <c r="C13" s="24">
        <v>4.72</v>
      </c>
      <c r="D13" s="24">
        <v>5.21</v>
      </c>
      <c r="E13" s="24">
        <v>5.45</v>
      </c>
      <c r="F13" s="24">
        <v>5.4</v>
      </c>
      <c r="G13" s="24">
        <v>5.59</v>
      </c>
      <c r="H13" s="24">
        <v>6.01</v>
      </c>
      <c r="I13" s="24">
        <v>7</v>
      </c>
      <c r="J13" s="24">
        <v>6.9</v>
      </c>
      <c r="K13" s="24">
        <v>9.1</v>
      </c>
      <c r="L13" s="24">
        <v>9.6999999999999993</v>
      </c>
      <c r="M13" s="24">
        <v>11</v>
      </c>
      <c r="N13" s="24">
        <v>12.67</v>
      </c>
      <c r="O13" s="24">
        <v>13.55</v>
      </c>
      <c r="P13" s="24">
        <v>14.37</v>
      </c>
      <c r="Q13" s="24">
        <v>16</v>
      </c>
      <c r="R13" s="24">
        <v>16.68</v>
      </c>
      <c r="S13" s="24">
        <v>18.12</v>
      </c>
      <c r="T13" s="24">
        <v>21.66</v>
      </c>
      <c r="U13" s="24">
        <v>17.82</v>
      </c>
      <c r="V13" s="24">
        <v>22.93</v>
      </c>
      <c r="W13" s="24">
        <v>26.13</v>
      </c>
    </row>
    <row r="14" spans="1:23">
      <c r="A14" s="11" t="s">
        <v>19</v>
      </c>
      <c r="B14" s="24">
        <v>3.08</v>
      </c>
      <c r="C14" s="24">
        <v>3.35</v>
      </c>
      <c r="D14" s="24">
        <v>3.79</v>
      </c>
      <c r="E14" s="24">
        <v>3.97</v>
      </c>
      <c r="F14" s="24">
        <v>3.94</v>
      </c>
      <c r="G14" s="24">
        <v>4.32</v>
      </c>
      <c r="H14" s="24">
        <v>4.17</v>
      </c>
      <c r="I14" s="24">
        <v>4.5999999999999996</v>
      </c>
      <c r="J14" s="24">
        <v>5.6</v>
      </c>
      <c r="K14" s="24">
        <v>6.9</v>
      </c>
      <c r="L14" s="24">
        <v>7.3</v>
      </c>
      <c r="M14" s="24">
        <v>8.3000000000000007</v>
      </c>
      <c r="N14" s="24">
        <v>9.01</v>
      </c>
      <c r="O14" s="24">
        <v>9.7200000000000006</v>
      </c>
      <c r="P14" s="24">
        <v>10.71</v>
      </c>
      <c r="Q14" s="24">
        <v>11.2</v>
      </c>
      <c r="R14" s="24">
        <v>11.52</v>
      </c>
      <c r="S14" s="24">
        <v>12.25</v>
      </c>
      <c r="T14" s="24">
        <v>13.24</v>
      </c>
      <c r="U14" s="24">
        <v>11.1</v>
      </c>
      <c r="V14" s="24">
        <v>13.96</v>
      </c>
      <c r="W14" s="24">
        <v>14.71</v>
      </c>
    </row>
    <row r="15" spans="1:23">
      <c r="A15" s="11" t="s">
        <v>20</v>
      </c>
      <c r="B15" s="24">
        <v>2.99</v>
      </c>
      <c r="C15" s="24">
        <v>3.3</v>
      </c>
      <c r="D15" s="24">
        <v>3.54</v>
      </c>
      <c r="E15" s="24">
        <v>3.54</v>
      </c>
      <c r="F15" s="24">
        <v>3.76</v>
      </c>
      <c r="G15" s="24">
        <v>3.63</v>
      </c>
      <c r="H15" s="24">
        <v>4.08</v>
      </c>
      <c r="I15" s="24">
        <v>4</v>
      </c>
      <c r="J15" s="24">
        <v>4.3</v>
      </c>
      <c r="K15" s="24">
        <v>5.3</v>
      </c>
      <c r="L15" s="24">
        <v>5.8</v>
      </c>
      <c r="M15" s="24">
        <v>6.6</v>
      </c>
      <c r="N15" s="24">
        <v>7.43</v>
      </c>
      <c r="O15" s="24">
        <v>8.15</v>
      </c>
      <c r="P15" s="24">
        <v>9.3000000000000007</v>
      </c>
      <c r="Q15" s="24">
        <v>11</v>
      </c>
      <c r="R15" s="24">
        <v>11.95</v>
      </c>
      <c r="S15" s="24">
        <v>13.37</v>
      </c>
      <c r="T15" s="24">
        <v>15.62</v>
      </c>
      <c r="U15" s="24">
        <v>13.95</v>
      </c>
      <c r="V15" s="24">
        <v>18.12</v>
      </c>
      <c r="W15" s="24">
        <v>21.72</v>
      </c>
    </row>
    <row r="16" spans="1:23">
      <c r="A16" s="11" t="s">
        <v>21</v>
      </c>
      <c r="B16" s="24">
        <v>1.59</v>
      </c>
      <c r="C16" s="24">
        <v>1.9</v>
      </c>
      <c r="D16" s="24">
        <v>2.15</v>
      </c>
      <c r="E16" s="24">
        <v>1.95</v>
      </c>
      <c r="F16" s="24">
        <v>2.2799999999999998</v>
      </c>
      <c r="G16" s="24">
        <v>2.88</v>
      </c>
      <c r="H16" s="24">
        <v>3.02</v>
      </c>
      <c r="I16" s="24">
        <v>3</v>
      </c>
      <c r="J16" s="24">
        <v>3.9</v>
      </c>
      <c r="K16" s="24">
        <v>4.3</v>
      </c>
      <c r="L16" s="24">
        <v>3.9</v>
      </c>
      <c r="M16" s="24">
        <v>5.0999999999999996</v>
      </c>
      <c r="N16" s="24">
        <v>4.9800000000000004</v>
      </c>
      <c r="O16" s="24">
        <v>5.01</v>
      </c>
      <c r="P16" s="24">
        <v>5.82</v>
      </c>
      <c r="Q16" s="24">
        <v>6.1</v>
      </c>
      <c r="R16" s="24">
        <v>6.68</v>
      </c>
      <c r="S16" s="24">
        <v>7.49</v>
      </c>
      <c r="T16" s="24">
        <v>8.26</v>
      </c>
      <c r="U16" s="24">
        <v>7.03</v>
      </c>
      <c r="V16" s="24">
        <v>8.93</v>
      </c>
      <c r="W16" s="24">
        <v>9.6300000000000008</v>
      </c>
    </row>
    <row r="17" spans="1:23">
      <c r="A17" s="11" t="s">
        <v>22</v>
      </c>
      <c r="B17" s="24">
        <v>1.97</v>
      </c>
      <c r="C17" s="24">
        <v>2</v>
      </c>
      <c r="D17" s="24">
        <v>2.11</v>
      </c>
      <c r="E17" s="24">
        <v>2.15</v>
      </c>
      <c r="F17" s="24">
        <v>2.69</v>
      </c>
      <c r="G17" s="24">
        <v>2.42</v>
      </c>
      <c r="H17" s="24">
        <v>2.61</v>
      </c>
      <c r="I17" s="24">
        <v>2.8</v>
      </c>
      <c r="J17" s="24">
        <v>2.9</v>
      </c>
      <c r="K17" s="24">
        <v>4</v>
      </c>
      <c r="L17" s="24">
        <v>3.9</v>
      </c>
      <c r="M17" s="24">
        <v>4.5</v>
      </c>
      <c r="N17" s="24">
        <v>5.12</v>
      </c>
      <c r="O17" s="24">
        <v>5.6</v>
      </c>
      <c r="P17" s="24">
        <v>6.15</v>
      </c>
      <c r="Q17" s="24">
        <v>6.5</v>
      </c>
      <c r="R17" s="24">
        <v>7.01</v>
      </c>
      <c r="S17" s="24">
        <v>7.55</v>
      </c>
      <c r="T17" s="24">
        <v>8.61</v>
      </c>
      <c r="U17" s="24">
        <v>7.29</v>
      </c>
      <c r="V17" s="24">
        <v>9.52</v>
      </c>
      <c r="W17" s="24">
        <v>10.210000000000001</v>
      </c>
    </row>
    <row r="18" spans="1:23">
      <c r="A18" s="11" t="s">
        <v>23</v>
      </c>
      <c r="B18" s="24">
        <v>4.82</v>
      </c>
      <c r="C18" s="24">
        <v>5.35</v>
      </c>
      <c r="D18" s="24">
        <v>5.73</v>
      </c>
      <c r="E18" s="24">
        <v>5.82</v>
      </c>
      <c r="F18" s="24">
        <v>5.82</v>
      </c>
      <c r="G18" s="24">
        <v>6.11</v>
      </c>
      <c r="H18" s="24">
        <v>6.21</v>
      </c>
      <c r="I18" s="24">
        <v>5.2</v>
      </c>
      <c r="J18" s="24">
        <v>6.8</v>
      </c>
      <c r="K18" s="24">
        <v>8.9</v>
      </c>
      <c r="L18" s="24">
        <v>9.9</v>
      </c>
      <c r="M18" s="24">
        <v>10.9</v>
      </c>
      <c r="N18" s="24">
        <v>12.24</v>
      </c>
      <c r="O18" s="24">
        <v>13.92</v>
      </c>
      <c r="P18" s="24">
        <v>15.17</v>
      </c>
      <c r="Q18" s="24">
        <v>16.8</v>
      </c>
      <c r="R18" s="24">
        <v>18.16</v>
      </c>
      <c r="S18" s="24">
        <v>19.670000000000002</v>
      </c>
      <c r="T18" s="24">
        <v>22.51</v>
      </c>
      <c r="U18" s="24">
        <v>18.13</v>
      </c>
      <c r="V18" s="24">
        <v>24.09</v>
      </c>
      <c r="W18" s="24">
        <v>25.45</v>
      </c>
    </row>
    <row r="19" spans="1:23">
      <c r="A19" s="11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</row>
    <row r="20" spans="1:23">
      <c r="A20" s="11" t="s">
        <v>24</v>
      </c>
      <c r="B20" s="24">
        <v>6.29</v>
      </c>
      <c r="C20" s="24">
        <v>6.72</v>
      </c>
      <c r="D20" s="24">
        <v>7.06</v>
      </c>
      <c r="E20" s="24">
        <v>7</v>
      </c>
      <c r="F20" s="24">
        <v>6.9</v>
      </c>
      <c r="G20" s="24">
        <v>6.49</v>
      </c>
      <c r="H20" s="24">
        <v>6.79</v>
      </c>
      <c r="I20" s="24">
        <v>6.2</v>
      </c>
      <c r="J20" s="24">
        <v>6.7</v>
      </c>
      <c r="K20" s="24">
        <v>8.6999999999999993</v>
      </c>
      <c r="L20" s="24">
        <v>9.1</v>
      </c>
      <c r="M20" s="24">
        <v>10</v>
      </c>
      <c r="N20" s="24">
        <v>11.21</v>
      </c>
      <c r="O20" s="24">
        <v>11.77</v>
      </c>
      <c r="P20" s="24">
        <v>12.44</v>
      </c>
      <c r="Q20" s="24">
        <v>13.4</v>
      </c>
      <c r="R20" s="24">
        <v>13.8</v>
      </c>
      <c r="S20" s="24">
        <v>16</v>
      </c>
      <c r="T20" s="24">
        <v>20.95</v>
      </c>
      <c r="U20" s="24">
        <v>19.350000000000001</v>
      </c>
      <c r="V20" s="24">
        <v>25.23</v>
      </c>
      <c r="W20" s="24">
        <v>27.75</v>
      </c>
    </row>
    <row r="21" spans="1:23">
      <c r="A21" s="11" t="s">
        <v>25</v>
      </c>
      <c r="B21" s="24">
        <v>3.89</v>
      </c>
      <c r="C21" s="24">
        <v>4.07</v>
      </c>
      <c r="D21" s="24">
        <v>4.95</v>
      </c>
      <c r="E21" s="24">
        <v>4.8499999999999996</v>
      </c>
      <c r="F21" s="24">
        <v>4.55</v>
      </c>
      <c r="G21" s="24">
        <v>4.74</v>
      </c>
      <c r="H21" s="24">
        <v>4.96</v>
      </c>
      <c r="I21" s="24">
        <v>4.5</v>
      </c>
      <c r="J21" s="24">
        <v>5.3</v>
      </c>
      <c r="K21" s="24">
        <v>7</v>
      </c>
      <c r="L21" s="24">
        <v>7.6</v>
      </c>
      <c r="M21" s="24">
        <v>8.1999999999999993</v>
      </c>
      <c r="N21" s="24">
        <v>9.27</v>
      </c>
      <c r="O21" s="24">
        <v>10.38</v>
      </c>
      <c r="P21" s="24">
        <v>10.89</v>
      </c>
      <c r="Q21" s="24">
        <v>11.6</v>
      </c>
      <c r="R21" s="24">
        <v>12.46</v>
      </c>
      <c r="S21" s="24">
        <v>13.56</v>
      </c>
      <c r="T21" s="24">
        <v>15.09</v>
      </c>
      <c r="U21" s="24">
        <v>13.37</v>
      </c>
      <c r="V21" s="24">
        <v>16.690000000000001</v>
      </c>
      <c r="W21" s="24">
        <v>18.309999999999999</v>
      </c>
    </row>
    <row r="22" spans="1:23">
      <c r="A22" s="11" t="s">
        <v>26</v>
      </c>
      <c r="B22" s="24">
        <v>5.23</v>
      </c>
      <c r="C22" s="24">
        <v>5.55</v>
      </c>
      <c r="D22" s="24">
        <v>5.89</v>
      </c>
      <c r="E22" s="24">
        <v>5.7</v>
      </c>
      <c r="F22" s="24">
        <v>5.67</v>
      </c>
      <c r="G22" s="24">
        <v>5.49</v>
      </c>
      <c r="H22" s="24">
        <v>5.81</v>
      </c>
      <c r="I22" s="24">
        <v>5.4</v>
      </c>
      <c r="J22" s="24">
        <v>5.9</v>
      </c>
      <c r="K22" s="24">
        <v>8.1</v>
      </c>
      <c r="L22" s="24">
        <v>9.6</v>
      </c>
      <c r="M22" s="24">
        <v>9.3000000000000007</v>
      </c>
      <c r="N22" s="24">
        <v>10.6</v>
      </c>
      <c r="O22" s="24">
        <v>12.12</v>
      </c>
      <c r="P22" s="24">
        <v>13.16</v>
      </c>
      <c r="Q22" s="24">
        <v>13.8</v>
      </c>
      <c r="R22" s="24">
        <v>14.8</v>
      </c>
      <c r="S22" s="24">
        <v>15.54</v>
      </c>
      <c r="T22" s="24">
        <v>16.73</v>
      </c>
      <c r="U22" s="24">
        <v>14.64</v>
      </c>
      <c r="V22" s="24">
        <v>18.09</v>
      </c>
      <c r="W22" s="24">
        <v>19.350000000000001</v>
      </c>
    </row>
    <row r="23" spans="1:23">
      <c r="A23" s="11" t="s">
        <v>27</v>
      </c>
      <c r="B23" s="24">
        <v>3.39</v>
      </c>
      <c r="C23" s="24">
        <v>3.75</v>
      </c>
      <c r="D23" s="24">
        <v>3.94</v>
      </c>
      <c r="E23" s="24">
        <v>4.3899999999999997</v>
      </c>
      <c r="F23" s="24">
        <v>4.43</v>
      </c>
      <c r="G23" s="24">
        <v>4.75</v>
      </c>
      <c r="H23" s="24">
        <v>5.16</v>
      </c>
      <c r="I23" s="24">
        <v>5.0999999999999996</v>
      </c>
      <c r="J23" s="24">
        <v>6</v>
      </c>
      <c r="K23" s="24">
        <v>7.3</v>
      </c>
      <c r="L23" s="24">
        <v>8.1</v>
      </c>
      <c r="M23" s="24">
        <v>8.9</v>
      </c>
      <c r="N23" s="24">
        <v>9.4700000000000006</v>
      </c>
      <c r="O23" s="24">
        <v>10.56</v>
      </c>
      <c r="P23" s="24">
        <v>11.91</v>
      </c>
      <c r="Q23" s="24">
        <v>12.7</v>
      </c>
      <c r="R23" s="24">
        <v>14.14</v>
      </c>
      <c r="S23" s="24">
        <v>15.54</v>
      </c>
      <c r="T23" s="24">
        <v>17.7</v>
      </c>
      <c r="U23" s="24">
        <v>15.16</v>
      </c>
      <c r="V23" s="24">
        <v>19.34</v>
      </c>
      <c r="W23" s="24">
        <v>21.19</v>
      </c>
    </row>
    <row r="24" spans="1:23">
      <c r="A24" s="11" t="s">
        <v>28</v>
      </c>
      <c r="B24" s="24">
        <v>2.57</v>
      </c>
      <c r="C24" s="24">
        <v>2.74</v>
      </c>
      <c r="D24" s="24">
        <v>2.7</v>
      </c>
      <c r="E24" s="24">
        <v>2.69</v>
      </c>
      <c r="F24" s="24">
        <v>2.89</v>
      </c>
      <c r="G24" s="24">
        <v>2.88</v>
      </c>
      <c r="H24" s="24">
        <v>3.09</v>
      </c>
      <c r="I24" s="24">
        <v>2.9</v>
      </c>
      <c r="J24" s="24">
        <v>3.3</v>
      </c>
      <c r="K24" s="24">
        <v>4</v>
      </c>
      <c r="L24" s="24">
        <v>4.8</v>
      </c>
      <c r="M24" s="24">
        <v>4.7</v>
      </c>
      <c r="N24" s="24">
        <v>5.31</v>
      </c>
      <c r="O24" s="24">
        <v>5.93</v>
      </c>
      <c r="P24" s="24">
        <v>6.56</v>
      </c>
      <c r="Q24" s="24">
        <v>7.3</v>
      </c>
      <c r="R24" s="24">
        <v>7.76</v>
      </c>
      <c r="S24" s="24">
        <v>8.59</v>
      </c>
      <c r="T24" s="24">
        <v>9.32</v>
      </c>
      <c r="U24" s="24">
        <v>8.08</v>
      </c>
      <c r="V24" s="24">
        <v>10.44</v>
      </c>
      <c r="W24" s="24">
        <v>11.28</v>
      </c>
    </row>
    <row r="25" spans="1:23">
      <c r="A25" s="11" t="s">
        <v>29</v>
      </c>
      <c r="B25" s="24">
        <v>0.28000000000000003</v>
      </c>
      <c r="C25" s="24">
        <v>0.31</v>
      </c>
      <c r="D25" s="24">
        <v>0.3</v>
      </c>
      <c r="E25" s="24">
        <v>0.32</v>
      </c>
      <c r="F25" s="24">
        <v>0.34</v>
      </c>
      <c r="G25" s="24">
        <v>0.39</v>
      </c>
      <c r="H25" s="24">
        <v>0.4</v>
      </c>
      <c r="I25" s="24">
        <v>0.4</v>
      </c>
      <c r="J25" s="24">
        <v>0.4</v>
      </c>
      <c r="K25" s="24">
        <v>0.5</v>
      </c>
      <c r="L25" s="24">
        <v>0.6</v>
      </c>
      <c r="M25" s="24">
        <v>0.6</v>
      </c>
      <c r="N25" s="24">
        <v>0.66</v>
      </c>
      <c r="O25" s="24">
        <v>0.74</v>
      </c>
      <c r="P25" s="24">
        <v>1.0900000000000001</v>
      </c>
      <c r="Q25" s="24">
        <v>0.9</v>
      </c>
      <c r="R25" s="24">
        <v>1.0900000000000001</v>
      </c>
      <c r="S25" s="24">
        <v>1.21</v>
      </c>
      <c r="T25" s="24">
        <v>1.32</v>
      </c>
      <c r="U25" s="24">
        <v>1.08</v>
      </c>
      <c r="V25" s="24">
        <v>1.51</v>
      </c>
      <c r="W25" s="24">
        <v>1.66</v>
      </c>
    </row>
    <row r="26" spans="1:23">
      <c r="A26" s="11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</row>
    <row r="27" spans="1:23">
      <c r="A27" s="11" t="s">
        <v>30</v>
      </c>
      <c r="B27" s="24" t="s">
        <v>7</v>
      </c>
      <c r="C27" s="24" t="s">
        <v>7</v>
      </c>
      <c r="D27" s="24">
        <v>1.9</v>
      </c>
      <c r="E27" s="24">
        <v>4.53</v>
      </c>
      <c r="F27" s="24">
        <v>4.3899999999999997</v>
      </c>
      <c r="G27" s="24">
        <v>4.42</v>
      </c>
      <c r="H27" s="24">
        <v>4.74</v>
      </c>
      <c r="I27" s="24">
        <v>4.4000000000000004</v>
      </c>
      <c r="J27" s="24">
        <v>5.2</v>
      </c>
      <c r="K27" s="24">
        <v>6.6</v>
      </c>
      <c r="L27" s="24">
        <v>7.3</v>
      </c>
      <c r="M27" s="24">
        <v>8.1999999999999993</v>
      </c>
      <c r="N27" s="24">
        <v>9.1999999999999993</v>
      </c>
      <c r="O27" s="24">
        <v>9.17</v>
      </c>
      <c r="P27" s="24">
        <v>10.14</v>
      </c>
      <c r="Q27" s="24">
        <v>11.3</v>
      </c>
      <c r="R27" s="24">
        <v>12.35</v>
      </c>
      <c r="S27" s="24">
        <v>12.57</v>
      </c>
      <c r="T27" s="24">
        <v>13.37</v>
      </c>
      <c r="U27" s="24">
        <v>11.54</v>
      </c>
      <c r="V27" s="24">
        <v>13.73</v>
      </c>
      <c r="W27" s="24">
        <v>13.9</v>
      </c>
    </row>
    <row r="28" spans="1:23">
      <c r="A28" s="11" t="s">
        <v>31</v>
      </c>
      <c r="B28" s="24">
        <v>12.27</v>
      </c>
      <c r="C28" s="24">
        <v>13.3</v>
      </c>
      <c r="D28" s="24">
        <v>12.13</v>
      </c>
      <c r="E28" s="24">
        <v>9.65</v>
      </c>
      <c r="F28" s="24">
        <v>9.93</v>
      </c>
      <c r="G28" s="24">
        <v>10.06</v>
      </c>
      <c r="H28" s="24">
        <v>10.029999999999999</v>
      </c>
      <c r="I28" s="24">
        <v>10.3</v>
      </c>
      <c r="J28" s="24">
        <v>10.7</v>
      </c>
      <c r="K28" s="24">
        <v>13.1</v>
      </c>
      <c r="L28" s="24">
        <v>14.1</v>
      </c>
      <c r="M28" s="24">
        <v>14.8</v>
      </c>
      <c r="N28" s="24">
        <v>16.7</v>
      </c>
      <c r="O28" s="24">
        <v>18.579999999999998</v>
      </c>
      <c r="P28" s="24">
        <v>19.97</v>
      </c>
      <c r="Q28" s="24">
        <v>22.1</v>
      </c>
      <c r="R28" s="24">
        <v>23.15</v>
      </c>
      <c r="S28" s="24">
        <v>25.1</v>
      </c>
      <c r="T28" s="24">
        <v>26.83</v>
      </c>
      <c r="U28" s="24">
        <v>22.96</v>
      </c>
      <c r="V28" s="24">
        <v>28.62</v>
      </c>
      <c r="W28" s="24">
        <v>29.62</v>
      </c>
    </row>
    <row r="29" spans="1:23">
      <c r="A29" s="11" t="s">
        <v>32</v>
      </c>
      <c r="B29" s="24">
        <v>2.44</v>
      </c>
      <c r="C29" s="24">
        <v>2.56</v>
      </c>
      <c r="D29" s="24">
        <v>2.5099999999999998</v>
      </c>
      <c r="E29" s="24">
        <v>2.74</v>
      </c>
      <c r="F29" s="24">
        <v>2.41</v>
      </c>
      <c r="G29" s="24">
        <v>2.59</v>
      </c>
      <c r="H29" s="24">
        <v>2.82</v>
      </c>
      <c r="I29" s="24">
        <v>2.2999999999999998</v>
      </c>
      <c r="J29" s="24">
        <v>2.8</v>
      </c>
      <c r="K29" s="24">
        <v>3.7</v>
      </c>
      <c r="L29" s="24">
        <v>3.8</v>
      </c>
      <c r="M29" s="24">
        <v>4.2</v>
      </c>
      <c r="N29" s="24">
        <v>4.58</v>
      </c>
      <c r="O29" s="24">
        <v>5.12</v>
      </c>
      <c r="P29" s="24">
        <v>5.8</v>
      </c>
      <c r="Q29" s="24">
        <v>6.4</v>
      </c>
      <c r="R29" s="24">
        <v>7.22</v>
      </c>
      <c r="S29" s="24">
        <v>8.1199999999999992</v>
      </c>
      <c r="T29" s="24">
        <v>8.57</v>
      </c>
      <c r="U29" s="24">
        <v>7.08</v>
      </c>
      <c r="V29" s="24">
        <v>10.84</v>
      </c>
      <c r="W29" s="24">
        <v>12.1</v>
      </c>
    </row>
    <row r="30" spans="1:23">
      <c r="A30" s="11" t="s">
        <v>33</v>
      </c>
      <c r="B30" s="24">
        <v>3.11</v>
      </c>
      <c r="C30" s="24">
        <v>3.34</v>
      </c>
      <c r="D30" s="24">
        <v>3.42</v>
      </c>
      <c r="E30" s="24">
        <v>3.38</v>
      </c>
      <c r="F30" s="24">
        <v>3.35</v>
      </c>
      <c r="G30" s="24">
        <v>3.63</v>
      </c>
      <c r="H30" s="24">
        <v>3.72</v>
      </c>
      <c r="I30" s="24">
        <v>3.6</v>
      </c>
      <c r="J30" s="24">
        <v>3.9</v>
      </c>
      <c r="K30" s="24">
        <v>4.3</v>
      </c>
      <c r="L30" s="24">
        <v>4.7</v>
      </c>
      <c r="M30" s="24">
        <v>4.7</v>
      </c>
      <c r="N30" s="24">
        <v>5.1100000000000003</v>
      </c>
      <c r="O30" s="24">
        <v>5.59</v>
      </c>
      <c r="P30" s="24">
        <v>6.08</v>
      </c>
      <c r="Q30" s="24">
        <v>6.9</v>
      </c>
      <c r="R30" s="24">
        <v>7.43</v>
      </c>
      <c r="S30" s="24">
        <v>8.2100000000000009</v>
      </c>
      <c r="T30" s="24">
        <v>9.1300000000000008</v>
      </c>
      <c r="U30" s="24">
        <v>7.92</v>
      </c>
      <c r="V30" s="24">
        <v>10.91</v>
      </c>
      <c r="W30" s="24">
        <v>11.93</v>
      </c>
    </row>
    <row r="31" spans="1:23">
      <c r="A31" s="11" t="s">
        <v>34</v>
      </c>
      <c r="B31" s="24">
        <v>0.14000000000000001</v>
      </c>
      <c r="C31" s="24">
        <v>0.1</v>
      </c>
      <c r="D31" s="24">
        <v>0.05</v>
      </c>
      <c r="E31" s="24">
        <v>0.09</v>
      </c>
      <c r="F31" s="24">
        <v>0.13</v>
      </c>
      <c r="G31" s="24">
        <v>0.12</v>
      </c>
      <c r="H31" s="24">
        <v>0.08</v>
      </c>
      <c r="I31" s="24">
        <v>0.1</v>
      </c>
      <c r="J31" s="24">
        <v>0.1</v>
      </c>
      <c r="K31" s="24">
        <v>0.1</v>
      </c>
      <c r="L31" s="24">
        <v>0.1</v>
      </c>
      <c r="M31" s="24">
        <v>0.1</v>
      </c>
      <c r="N31" s="24">
        <v>0.15</v>
      </c>
      <c r="O31" s="24">
        <v>0.13</v>
      </c>
      <c r="P31" s="24">
        <v>0.17</v>
      </c>
      <c r="Q31" s="24">
        <v>0.2</v>
      </c>
      <c r="R31" s="24">
        <v>0.2</v>
      </c>
      <c r="S31" s="24">
        <v>0.13</v>
      </c>
      <c r="T31" s="24">
        <v>0.18</v>
      </c>
      <c r="U31" s="24">
        <v>0.21</v>
      </c>
      <c r="V31" s="24">
        <v>0.24</v>
      </c>
      <c r="W31" s="24">
        <v>0.35</v>
      </c>
    </row>
    <row r="32" spans="1:23">
      <c r="A32" s="11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</row>
    <row r="33" spans="1:23">
      <c r="A33" s="11" t="s">
        <v>35</v>
      </c>
      <c r="B33" s="24">
        <v>3.02</v>
      </c>
      <c r="C33" s="24">
        <v>3.17</v>
      </c>
      <c r="D33" s="24">
        <v>3.36</v>
      </c>
      <c r="E33" s="24">
        <v>3.45</v>
      </c>
      <c r="F33" s="24">
        <v>3.6</v>
      </c>
      <c r="G33" s="24">
        <v>3.2</v>
      </c>
      <c r="H33" s="24">
        <v>3.44</v>
      </c>
      <c r="I33" s="24">
        <v>3.2</v>
      </c>
      <c r="J33" s="24">
        <v>3.4</v>
      </c>
      <c r="K33" s="24">
        <v>4.0999999999999996</v>
      </c>
      <c r="L33" s="24">
        <v>4</v>
      </c>
      <c r="M33" s="24">
        <v>4.3</v>
      </c>
      <c r="N33" s="24">
        <v>5</v>
      </c>
      <c r="O33" s="24">
        <v>5.36</v>
      </c>
      <c r="P33" s="24">
        <v>5.52</v>
      </c>
      <c r="Q33" s="24">
        <v>6.4</v>
      </c>
      <c r="R33" s="24">
        <v>6.82</v>
      </c>
      <c r="S33" s="24">
        <v>7.1</v>
      </c>
      <c r="T33" s="24">
        <v>8.06</v>
      </c>
      <c r="U33" s="24">
        <v>6.83</v>
      </c>
      <c r="V33" s="24">
        <v>9.73</v>
      </c>
      <c r="W33" s="24">
        <v>10.14</v>
      </c>
    </row>
    <row r="34" spans="1:23">
      <c r="A34" s="11" t="s">
        <v>36</v>
      </c>
      <c r="B34" s="24">
        <v>1.73</v>
      </c>
      <c r="C34" s="24">
        <v>1.86</v>
      </c>
      <c r="D34" s="24">
        <v>1.85</v>
      </c>
      <c r="E34" s="24">
        <v>1.96</v>
      </c>
      <c r="F34" s="24">
        <v>1.97</v>
      </c>
      <c r="G34" s="24">
        <v>1.91</v>
      </c>
      <c r="H34" s="24">
        <v>1.95</v>
      </c>
      <c r="I34" s="24">
        <v>1.7</v>
      </c>
      <c r="J34" s="24">
        <v>1.9</v>
      </c>
      <c r="K34" s="24">
        <v>2.1</v>
      </c>
      <c r="L34" s="24">
        <v>2.2999999999999998</v>
      </c>
      <c r="M34" s="24">
        <v>2.2999999999999998</v>
      </c>
      <c r="N34" s="24">
        <v>2.2000000000000002</v>
      </c>
      <c r="O34" s="24">
        <v>2.4</v>
      </c>
      <c r="P34" s="24">
        <v>2.4700000000000002</v>
      </c>
      <c r="Q34" s="24">
        <v>2.8</v>
      </c>
      <c r="R34" s="24">
        <v>3.07</v>
      </c>
      <c r="S34" s="24">
        <v>3.29</v>
      </c>
      <c r="T34" s="24">
        <v>3.85</v>
      </c>
      <c r="U34" s="24">
        <v>2.52</v>
      </c>
      <c r="V34" s="24">
        <v>4.62</v>
      </c>
      <c r="W34" s="24">
        <v>5.03</v>
      </c>
    </row>
    <row r="35" spans="1:23">
      <c r="A35" s="11" t="s">
        <v>37</v>
      </c>
      <c r="B35" s="24">
        <v>0.64</v>
      </c>
      <c r="C35" s="24">
        <v>0.64</v>
      </c>
      <c r="D35" s="24">
        <v>0.72</v>
      </c>
      <c r="E35" s="24">
        <v>0.75</v>
      </c>
      <c r="F35" s="24">
        <v>0.73</v>
      </c>
      <c r="G35" s="24">
        <v>0.67</v>
      </c>
      <c r="H35" s="24">
        <v>0.69</v>
      </c>
      <c r="I35" s="24">
        <v>0.6</v>
      </c>
      <c r="J35" s="24">
        <v>0.7</v>
      </c>
      <c r="K35" s="24">
        <v>0.8</v>
      </c>
      <c r="L35" s="24">
        <v>0.8</v>
      </c>
      <c r="M35" s="24">
        <v>0.8</v>
      </c>
      <c r="N35" s="24">
        <v>0.83</v>
      </c>
      <c r="O35" s="24">
        <v>0.75</v>
      </c>
      <c r="P35" s="24">
        <v>0.76</v>
      </c>
      <c r="Q35" s="24">
        <v>0.8</v>
      </c>
      <c r="R35" s="24">
        <v>0.94</v>
      </c>
      <c r="S35" s="24">
        <v>1.07</v>
      </c>
      <c r="T35" s="24">
        <v>1.08</v>
      </c>
      <c r="U35" s="24">
        <v>0.75</v>
      </c>
      <c r="V35" s="24">
        <v>1.28</v>
      </c>
      <c r="W35" s="24">
        <v>1.52</v>
      </c>
    </row>
    <row r="36" spans="1:23">
      <c r="A36" s="11" t="s">
        <v>38</v>
      </c>
      <c r="B36" s="24">
        <v>0.52</v>
      </c>
      <c r="C36" s="24">
        <v>0.56000000000000005</v>
      </c>
      <c r="D36" s="24">
        <v>0.6</v>
      </c>
      <c r="E36" s="24">
        <v>0.56000000000000005</v>
      </c>
      <c r="F36" s="24">
        <v>0.59</v>
      </c>
      <c r="G36" s="24">
        <v>0.62</v>
      </c>
      <c r="H36" s="24">
        <v>0.61</v>
      </c>
      <c r="I36" s="24">
        <v>0.5</v>
      </c>
      <c r="J36" s="24">
        <v>0.6</v>
      </c>
      <c r="K36" s="24">
        <v>0.8</v>
      </c>
      <c r="L36" s="24">
        <v>0.9</v>
      </c>
      <c r="M36" s="24">
        <v>0.9</v>
      </c>
      <c r="N36" s="24">
        <v>0.97</v>
      </c>
      <c r="O36" s="24">
        <v>1.07</v>
      </c>
      <c r="P36" s="24">
        <v>1.27</v>
      </c>
      <c r="Q36" s="24">
        <v>1.2</v>
      </c>
      <c r="R36" s="24">
        <v>1.33</v>
      </c>
      <c r="S36" s="24">
        <v>1.5</v>
      </c>
      <c r="T36" s="24">
        <v>1.59</v>
      </c>
      <c r="U36" s="24">
        <v>1.1299999999999999</v>
      </c>
      <c r="V36" s="24">
        <v>1.81</v>
      </c>
      <c r="W36" s="24">
        <v>1.95</v>
      </c>
    </row>
    <row r="37" spans="1:23">
      <c r="A37" s="11" t="s">
        <v>39</v>
      </c>
      <c r="B37" s="24">
        <v>5.35</v>
      </c>
      <c r="C37" s="24">
        <v>5.84</v>
      </c>
      <c r="D37" s="24">
        <v>6.13</v>
      </c>
      <c r="E37" s="24">
        <v>5.79</v>
      </c>
      <c r="F37" s="24">
        <v>5.83</v>
      </c>
      <c r="G37" s="24">
        <v>5.51</v>
      </c>
      <c r="H37" s="24">
        <v>5.51</v>
      </c>
      <c r="I37" s="24">
        <v>5.2</v>
      </c>
      <c r="J37" s="24">
        <v>5.9</v>
      </c>
      <c r="K37" s="24">
        <v>6.8</v>
      </c>
      <c r="L37" s="24">
        <v>7.8</v>
      </c>
      <c r="M37" s="24">
        <v>7.7</v>
      </c>
      <c r="N37" s="24">
        <v>8.15</v>
      </c>
      <c r="O37" s="24">
        <v>8.74</v>
      </c>
      <c r="P37" s="24">
        <v>8.84</v>
      </c>
      <c r="Q37" s="24">
        <v>9.8000000000000007</v>
      </c>
      <c r="R37" s="24">
        <v>10.42</v>
      </c>
      <c r="S37" s="24">
        <v>10.31</v>
      </c>
      <c r="T37" s="24">
        <v>10.91</v>
      </c>
      <c r="U37" s="24">
        <v>7.67</v>
      </c>
      <c r="V37" s="24">
        <v>10.18</v>
      </c>
      <c r="W37" s="24">
        <v>9.36</v>
      </c>
    </row>
    <row r="38" spans="1:23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</row>
    <row r="39" spans="1:23"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</row>
    <row r="40" spans="1:23"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</row>
    <row r="41" spans="1:23"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</row>
  </sheetData>
  <phoneticPr fontId="6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AA21D-8F46-7147-B5E3-B9D2E5794C9C}">
  <dimension ref="A1:U38"/>
  <sheetViews>
    <sheetView workbookViewId="0">
      <selection sqref="A1:A1048576"/>
    </sheetView>
  </sheetViews>
  <sheetFormatPr baseColWidth="10" defaultRowHeight="16"/>
  <cols>
    <col min="1" max="1" width="19" customWidth="1"/>
  </cols>
  <sheetData>
    <row r="1" spans="1:21" ht="17">
      <c r="A1" s="23" t="s">
        <v>1</v>
      </c>
      <c r="B1" s="23">
        <v>1997</v>
      </c>
      <c r="C1" s="23">
        <v>1998</v>
      </c>
      <c r="D1" s="23">
        <v>1999</v>
      </c>
      <c r="E1" s="23">
        <v>2000</v>
      </c>
      <c r="F1" s="23">
        <v>2001</v>
      </c>
      <c r="G1" s="23">
        <v>2002</v>
      </c>
      <c r="H1" s="23">
        <v>2003</v>
      </c>
      <c r="I1" s="23">
        <v>2004</v>
      </c>
      <c r="J1" s="23">
        <v>2005</v>
      </c>
      <c r="K1" s="23">
        <v>2006</v>
      </c>
      <c r="L1" s="23">
        <v>2007</v>
      </c>
      <c r="M1" s="23">
        <v>2008</v>
      </c>
      <c r="N1" s="23">
        <v>2009</v>
      </c>
      <c r="O1" s="23">
        <v>2010</v>
      </c>
      <c r="P1" s="23">
        <v>2011</v>
      </c>
      <c r="Q1" s="23">
        <v>2012</v>
      </c>
      <c r="R1" s="23">
        <v>2013</v>
      </c>
      <c r="S1" s="23">
        <v>2014</v>
      </c>
      <c r="T1" s="23">
        <v>2015</v>
      </c>
      <c r="U1" s="23">
        <v>2016</v>
      </c>
    </row>
    <row r="2" spans="1:21">
      <c r="A2" s="16" t="s">
        <v>9</v>
      </c>
      <c r="B2" s="1">
        <v>50.22472307642456</v>
      </c>
      <c r="C2" s="1">
        <v>62.780903845530702</v>
      </c>
      <c r="D2" s="1">
        <v>75.337084614636836</v>
      </c>
      <c r="E2" s="1">
        <v>117.19102051165731</v>
      </c>
      <c r="F2" s="1">
        <v>146.48877563957163</v>
      </c>
      <c r="G2" s="1">
        <v>167.41574358808185</v>
      </c>
      <c r="H2" s="1">
        <v>184.15731794689006</v>
      </c>
      <c r="I2" s="1">
        <v>213.45507307480437</v>
      </c>
      <c r="J2" s="1">
        <v>238.56743461301667</v>
      </c>
      <c r="K2" s="1">
        <v>267.86518974093099</v>
      </c>
      <c r="L2" s="1">
        <v>313.90451922765351</v>
      </c>
      <c r="M2" s="1">
        <v>359.94384871437603</v>
      </c>
      <c r="N2" s="1">
        <v>401.79778461139648</v>
      </c>
      <c r="O2" s="1">
        <v>443.65172050841693</v>
      </c>
      <c r="P2" s="1">
        <v>485.50565640543743</v>
      </c>
      <c r="Q2" s="1">
        <v>527.35959230245783</v>
      </c>
      <c r="R2" s="1">
        <v>569.21352819947833</v>
      </c>
      <c r="S2" s="1">
        <v>611.06746409649884</v>
      </c>
      <c r="T2" s="1">
        <v>652.92139999351923</v>
      </c>
      <c r="U2" s="1">
        <v>694.77533589053974</v>
      </c>
    </row>
    <row r="3" spans="1:21">
      <c r="A3" s="11" t="s">
        <v>10</v>
      </c>
      <c r="B3" s="1">
        <v>25.798945448180476</v>
      </c>
      <c r="C3" s="1">
        <v>32.248681810225591</v>
      </c>
      <c r="D3" s="1">
        <v>38.698418172270713</v>
      </c>
      <c r="E3" s="1">
        <v>60.197539379087779</v>
      </c>
      <c r="F3" s="1">
        <v>75.246924223859722</v>
      </c>
      <c r="G3" s="1">
        <v>85.996484827268247</v>
      </c>
      <c r="H3" s="1">
        <v>94.596133309995082</v>
      </c>
      <c r="I3" s="1">
        <v>109.64551815476702</v>
      </c>
      <c r="J3" s="1">
        <v>122.54499087885726</v>
      </c>
      <c r="K3" s="1">
        <v>137.59437572362921</v>
      </c>
      <c r="L3" s="1">
        <v>161.24340905112797</v>
      </c>
      <c r="M3" s="1">
        <v>184.89244237862675</v>
      </c>
      <c r="N3" s="1">
        <v>206.39156358544381</v>
      </c>
      <c r="O3" s="1">
        <v>227.89068479226086</v>
      </c>
      <c r="P3" s="1">
        <v>249.38980599907794</v>
      </c>
      <c r="Q3" s="1">
        <v>270.88892720589502</v>
      </c>
      <c r="R3" s="1">
        <v>292.38804841271207</v>
      </c>
      <c r="S3" s="1">
        <v>313.88716961952912</v>
      </c>
      <c r="T3" s="1">
        <v>335.38629082634617</v>
      </c>
      <c r="U3" s="1">
        <v>356.88541203316322</v>
      </c>
    </row>
    <row r="4" spans="1:21">
      <c r="A4" s="11" t="s">
        <v>11</v>
      </c>
      <c r="B4" s="1">
        <v>39.408937321961908</v>
      </c>
      <c r="C4" s="1">
        <v>49.261171652452383</v>
      </c>
      <c r="D4" s="1">
        <v>59.113405982942858</v>
      </c>
      <c r="E4" s="1">
        <v>91.954187084577782</v>
      </c>
      <c r="F4" s="1">
        <v>114.94273385572222</v>
      </c>
      <c r="G4" s="1">
        <v>131.3631244065397</v>
      </c>
      <c r="H4" s="1">
        <v>144.49943684719366</v>
      </c>
      <c r="I4" s="1">
        <v>167.48798361833809</v>
      </c>
      <c r="J4" s="1">
        <v>187.19245227931907</v>
      </c>
      <c r="K4" s="1">
        <v>210.1809990504635</v>
      </c>
      <c r="L4" s="1">
        <v>246.30585826226192</v>
      </c>
      <c r="M4" s="1">
        <v>282.43071747406032</v>
      </c>
      <c r="N4" s="1">
        <v>315.27149857569526</v>
      </c>
      <c r="O4" s="1">
        <v>348.11227967733015</v>
      </c>
      <c r="P4" s="1">
        <v>380.9530607789651</v>
      </c>
      <c r="Q4" s="1">
        <v>413.79384188060004</v>
      </c>
      <c r="R4" s="1">
        <v>446.63462298223493</v>
      </c>
      <c r="S4" s="1">
        <v>479.47540408386988</v>
      </c>
      <c r="T4" s="1">
        <v>512.31618518550476</v>
      </c>
      <c r="U4" s="1">
        <v>545.15696628713965</v>
      </c>
    </row>
    <row r="5" spans="1:21">
      <c r="A5" s="11" t="s">
        <v>12</v>
      </c>
      <c r="B5" s="1">
        <v>17.865320907661086</v>
      </c>
      <c r="C5" s="1">
        <v>22.331651134576358</v>
      </c>
      <c r="D5" s="1">
        <v>26.79798136149163</v>
      </c>
      <c r="E5" s="1">
        <v>41.685748784542533</v>
      </c>
      <c r="F5" s="1">
        <v>52.107185980678167</v>
      </c>
      <c r="G5" s="1">
        <v>59.551069692203619</v>
      </c>
      <c r="H5" s="1">
        <v>65.506176661423979</v>
      </c>
      <c r="I5" s="1">
        <v>75.927613857559621</v>
      </c>
      <c r="J5" s="1">
        <v>84.860274311390157</v>
      </c>
      <c r="K5" s="1">
        <v>95.281711507525785</v>
      </c>
      <c r="L5" s="1">
        <v>111.65825567288178</v>
      </c>
      <c r="M5" s="1">
        <v>128.03479983823777</v>
      </c>
      <c r="N5" s="1">
        <v>142.92256726128869</v>
      </c>
      <c r="O5" s="1">
        <v>157.81033468433958</v>
      </c>
      <c r="P5" s="1">
        <v>172.6981021073905</v>
      </c>
      <c r="Q5" s="1">
        <v>187.58586953044139</v>
      </c>
      <c r="R5" s="1">
        <v>202.4736369534923</v>
      </c>
      <c r="S5" s="1">
        <v>217.36140437654322</v>
      </c>
      <c r="T5" s="1">
        <v>232.24917179959411</v>
      </c>
      <c r="U5" s="1">
        <v>247.13693922264503</v>
      </c>
    </row>
    <row r="6" spans="1:21">
      <c r="A6" s="11" t="s">
        <v>13</v>
      </c>
      <c r="B6" s="1">
        <v>7.4955618954705967</v>
      </c>
      <c r="C6" s="1">
        <v>9.3694523693382461</v>
      </c>
      <c r="D6" s="1">
        <v>11.243342843205895</v>
      </c>
      <c r="E6" s="1">
        <v>17.489644422764727</v>
      </c>
      <c r="F6" s="1">
        <v>21.862055528455908</v>
      </c>
      <c r="G6" s="1">
        <v>24.985206318235324</v>
      </c>
      <c r="H6" s="1">
        <v>27.483726950058855</v>
      </c>
      <c r="I6" s="1">
        <v>31.856138055750037</v>
      </c>
      <c r="J6" s="1">
        <v>35.603919003485338</v>
      </c>
      <c r="K6" s="1">
        <v>39.976330109176516</v>
      </c>
      <c r="L6" s="1">
        <v>46.847261846691232</v>
      </c>
      <c r="M6" s="1">
        <v>53.718193584205942</v>
      </c>
      <c r="N6" s="1">
        <v>59.964495163764774</v>
      </c>
      <c r="O6" s="1">
        <v>66.210796743323613</v>
      </c>
      <c r="P6" s="1">
        <v>72.45709832288243</v>
      </c>
      <c r="Q6" s="1">
        <v>78.703399902441262</v>
      </c>
      <c r="R6" s="1">
        <v>84.949701482000094</v>
      </c>
      <c r="S6" s="1">
        <v>91.196003061558926</v>
      </c>
      <c r="T6" s="1">
        <v>97.442304641117758</v>
      </c>
      <c r="U6" s="1">
        <v>103.68860622067659</v>
      </c>
    </row>
    <row r="7" spans="1:21">
      <c r="A7" s="1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1:21">
      <c r="A8" s="11" t="s">
        <v>14</v>
      </c>
      <c r="B8" s="1">
        <v>23.098612676888269</v>
      </c>
      <c r="C8" s="1">
        <v>28.873265846110336</v>
      </c>
      <c r="D8" s="1">
        <v>34.647919015332405</v>
      </c>
      <c r="E8" s="1">
        <v>53.896762912739291</v>
      </c>
      <c r="F8" s="1">
        <v>67.370953640924114</v>
      </c>
      <c r="G8" s="1">
        <v>76.995375589627557</v>
      </c>
      <c r="H8" s="1">
        <v>84.694913148590317</v>
      </c>
      <c r="I8" s="1">
        <v>98.169103876775139</v>
      </c>
      <c r="J8" s="1">
        <v>109.71841021521928</v>
      </c>
      <c r="K8" s="1">
        <v>123.1926009434041</v>
      </c>
      <c r="L8" s="1">
        <v>144.36632923055168</v>
      </c>
      <c r="M8" s="1">
        <v>165.54005751769927</v>
      </c>
      <c r="N8" s="1">
        <v>184.78890141510615</v>
      </c>
      <c r="O8" s="1">
        <v>204.03774531251304</v>
      </c>
      <c r="P8" s="1">
        <v>223.28658920991992</v>
      </c>
      <c r="Q8" s="1">
        <v>242.53543310732681</v>
      </c>
      <c r="R8" s="1">
        <v>261.78427700473372</v>
      </c>
      <c r="S8" s="1">
        <v>281.03312090214058</v>
      </c>
      <c r="T8" s="1">
        <v>300.2819647995475</v>
      </c>
      <c r="U8" s="1">
        <v>319.53080869695435</v>
      </c>
    </row>
    <row r="9" spans="1:21">
      <c r="A9" s="11" t="s">
        <v>15</v>
      </c>
      <c r="B9" s="1">
        <v>19.411089750339826</v>
      </c>
      <c r="C9" s="1">
        <v>24.263862187924783</v>
      </c>
      <c r="D9" s="1">
        <v>29.116634625509739</v>
      </c>
      <c r="E9" s="1">
        <v>45.292542750792933</v>
      </c>
      <c r="F9" s="1">
        <v>56.615678438491166</v>
      </c>
      <c r="G9" s="1">
        <v>64.703632501132759</v>
      </c>
      <c r="H9" s="1">
        <v>71.173995751246039</v>
      </c>
      <c r="I9" s="1">
        <v>82.497131438944265</v>
      </c>
      <c r="J9" s="1">
        <v>92.202676314114186</v>
      </c>
      <c r="K9" s="1">
        <v>103.52581200181241</v>
      </c>
      <c r="L9" s="1">
        <v>121.31931093962392</v>
      </c>
      <c r="M9" s="1">
        <v>139.11280987743544</v>
      </c>
      <c r="N9" s="1">
        <v>155.28871800271861</v>
      </c>
      <c r="O9" s="1">
        <v>171.46462612800181</v>
      </c>
      <c r="P9" s="1">
        <v>187.64053425328498</v>
      </c>
      <c r="Q9" s="1">
        <v>203.81644237856818</v>
      </c>
      <c r="R9" s="1">
        <v>219.99235050385138</v>
      </c>
      <c r="S9" s="1">
        <v>236.16825862913456</v>
      </c>
      <c r="T9" s="1">
        <v>252.34416675441776</v>
      </c>
      <c r="U9" s="1">
        <v>268.52007487970093</v>
      </c>
    </row>
    <row r="10" spans="1:21">
      <c r="A10" s="11" t="s">
        <v>16</v>
      </c>
      <c r="B10" s="1">
        <v>23.717158527347856</v>
      </c>
      <c r="C10" s="1">
        <v>29.646448159184821</v>
      </c>
      <c r="D10" s="1">
        <v>35.575737791021787</v>
      </c>
      <c r="E10" s="1">
        <v>55.340036563811665</v>
      </c>
      <c r="F10" s="1">
        <v>69.175045704764585</v>
      </c>
      <c r="G10" s="1">
        <v>79.057195091159528</v>
      </c>
      <c r="H10" s="1">
        <v>86.962914600275468</v>
      </c>
      <c r="I10" s="1">
        <v>100.79792374122839</v>
      </c>
      <c r="J10" s="1">
        <v>112.65650300490232</v>
      </c>
      <c r="K10" s="1">
        <v>126.49151214585524</v>
      </c>
      <c r="L10" s="1">
        <v>148.2322407959241</v>
      </c>
      <c r="M10" s="1">
        <v>169.97296944599296</v>
      </c>
      <c r="N10" s="1">
        <v>189.73726821878284</v>
      </c>
      <c r="O10" s="1">
        <v>209.50156699157273</v>
      </c>
      <c r="P10" s="1">
        <v>229.26586576436262</v>
      </c>
      <c r="Q10" s="1">
        <v>249.0301645371525</v>
      </c>
      <c r="R10" s="1">
        <v>268.79446330994239</v>
      </c>
      <c r="S10" s="1">
        <v>288.55876208273224</v>
      </c>
      <c r="T10" s="1">
        <v>308.32306085552216</v>
      </c>
      <c r="U10" s="1">
        <v>328.08735962831202</v>
      </c>
    </row>
    <row r="11" spans="1:21">
      <c r="A11" s="1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 spans="1:21">
      <c r="A12" s="11" t="s">
        <v>17</v>
      </c>
      <c r="B12" s="1">
        <v>16.006191858164588</v>
      </c>
      <c r="C12" s="1">
        <v>20.007739822705734</v>
      </c>
      <c r="D12" s="1">
        <v>24.00928778724688</v>
      </c>
      <c r="E12" s="1">
        <v>37.347781002384039</v>
      </c>
      <c r="F12" s="1">
        <v>46.684726252980049</v>
      </c>
      <c r="G12" s="1">
        <v>53.353972860548623</v>
      </c>
      <c r="H12" s="1">
        <v>58.689370146603487</v>
      </c>
      <c r="I12" s="1">
        <v>68.026315397199497</v>
      </c>
      <c r="J12" s="1">
        <v>76.029411326281789</v>
      </c>
      <c r="K12" s="1">
        <v>85.366356576877806</v>
      </c>
      <c r="L12" s="1">
        <v>100.03869911352866</v>
      </c>
      <c r="M12" s="1">
        <v>114.71104165017954</v>
      </c>
      <c r="N12" s="1">
        <v>128.0495348653167</v>
      </c>
      <c r="O12" s="1">
        <v>141.38802808045386</v>
      </c>
      <c r="P12" s="1">
        <v>154.726521295591</v>
      </c>
      <c r="Q12" s="1">
        <v>168.06501451072816</v>
      </c>
      <c r="R12" s="1">
        <v>181.40350772586532</v>
      </c>
      <c r="S12" s="1">
        <v>194.74200094100249</v>
      </c>
      <c r="T12" s="1">
        <v>208.08049415613965</v>
      </c>
      <c r="U12" s="1">
        <v>221.41898737127678</v>
      </c>
    </row>
    <row r="13" spans="1:21">
      <c r="A13" s="11" t="s">
        <v>18</v>
      </c>
      <c r="B13" s="1">
        <v>124.12926976506893</v>
      </c>
      <c r="C13" s="1">
        <v>155.16158720633615</v>
      </c>
      <c r="D13" s="1">
        <v>186.1939046476034</v>
      </c>
      <c r="E13" s="1">
        <v>289.63496278516084</v>
      </c>
      <c r="F13" s="1">
        <v>362.04370348145102</v>
      </c>
      <c r="G13" s="1">
        <v>413.76423255022974</v>
      </c>
      <c r="H13" s="1">
        <v>455.14065580525272</v>
      </c>
      <c r="I13" s="1">
        <v>527.5493965015429</v>
      </c>
      <c r="J13" s="1">
        <v>589.61403138407741</v>
      </c>
      <c r="K13" s="1">
        <v>662.02277208036764</v>
      </c>
      <c r="L13" s="1">
        <v>775.80793603168081</v>
      </c>
      <c r="M13" s="1">
        <v>889.59309998299398</v>
      </c>
      <c r="N13" s="1">
        <v>993.03415812055141</v>
      </c>
      <c r="O13" s="1">
        <v>1096.475216258109</v>
      </c>
      <c r="P13" s="1">
        <v>1199.9162743956663</v>
      </c>
      <c r="Q13" s="1">
        <v>1303.3573325332238</v>
      </c>
      <c r="R13" s="1">
        <v>1406.7983906707811</v>
      </c>
      <c r="S13" s="1">
        <v>1510.2394488083387</v>
      </c>
      <c r="T13" s="1">
        <v>1613.680506945896</v>
      </c>
      <c r="U13" s="1">
        <v>1717.1215650834536</v>
      </c>
    </row>
    <row r="14" spans="1:21">
      <c r="A14" s="11" t="s">
        <v>19</v>
      </c>
      <c r="B14" s="1">
        <v>102.05216285482041</v>
      </c>
      <c r="C14" s="1">
        <v>127.56520356852552</v>
      </c>
      <c r="D14" s="1">
        <v>153.07824428223063</v>
      </c>
      <c r="E14" s="1">
        <v>238.12171332791428</v>
      </c>
      <c r="F14" s="1">
        <v>297.65214165989289</v>
      </c>
      <c r="G14" s="1">
        <v>340.17387618273472</v>
      </c>
      <c r="H14" s="1">
        <v>374.19126380100818</v>
      </c>
      <c r="I14" s="1">
        <v>433.72169213298673</v>
      </c>
      <c r="J14" s="1">
        <v>484.74777356039698</v>
      </c>
      <c r="K14" s="1">
        <v>544.27820189237548</v>
      </c>
      <c r="L14" s="1">
        <v>637.82601784262761</v>
      </c>
      <c r="M14" s="1">
        <v>731.37383379287962</v>
      </c>
      <c r="N14" s="1">
        <v>816.41730283856327</v>
      </c>
      <c r="O14" s="1">
        <v>901.46077188424692</v>
      </c>
      <c r="P14" s="1">
        <v>986.50424092993069</v>
      </c>
      <c r="Q14" s="1">
        <v>1071.5477099756142</v>
      </c>
      <c r="R14" s="1">
        <v>1156.5911790212979</v>
      </c>
      <c r="S14" s="1">
        <v>1241.6346480669818</v>
      </c>
      <c r="T14" s="1">
        <v>1326.6781171126654</v>
      </c>
      <c r="U14" s="1">
        <v>1411.7215861583491</v>
      </c>
    </row>
    <row r="15" spans="1:21">
      <c r="A15" s="11" t="s">
        <v>20</v>
      </c>
      <c r="B15" s="1">
        <v>31.921945041491391</v>
      </c>
      <c r="C15" s="1">
        <v>39.90243130186424</v>
      </c>
      <c r="D15" s="1">
        <v>47.88291756223709</v>
      </c>
      <c r="E15" s="1">
        <v>74.484538430146586</v>
      </c>
      <c r="F15" s="1">
        <v>93.105673037683232</v>
      </c>
      <c r="G15" s="1">
        <v>106.40648347163797</v>
      </c>
      <c r="H15" s="1">
        <v>117.04713181880177</v>
      </c>
      <c r="I15" s="1">
        <v>135.66826642633842</v>
      </c>
      <c r="J15" s="1">
        <v>151.6292389470841</v>
      </c>
      <c r="K15" s="1">
        <v>170.25037355462075</v>
      </c>
      <c r="L15" s="1">
        <v>199.51215650932122</v>
      </c>
      <c r="M15" s="1">
        <v>228.77393946402165</v>
      </c>
      <c r="N15" s="1">
        <v>255.37556033193113</v>
      </c>
      <c r="O15" s="1">
        <v>281.97718119984063</v>
      </c>
      <c r="P15" s="1">
        <v>308.57880206775013</v>
      </c>
      <c r="Q15" s="1">
        <v>335.18042293565964</v>
      </c>
      <c r="R15" s="1">
        <v>361.78204380356914</v>
      </c>
      <c r="S15" s="1">
        <v>388.38366467147858</v>
      </c>
      <c r="T15" s="1">
        <v>414.98528553938809</v>
      </c>
      <c r="U15" s="1">
        <v>441.58690640729759</v>
      </c>
    </row>
    <row r="16" spans="1:21">
      <c r="A16" s="11" t="s">
        <v>21</v>
      </c>
      <c r="B16" s="1">
        <v>56.293432524956685</v>
      </c>
      <c r="C16" s="1">
        <v>70.366790656195846</v>
      </c>
      <c r="D16" s="1">
        <v>84.440148787435021</v>
      </c>
      <c r="E16" s="1">
        <v>131.35134255823226</v>
      </c>
      <c r="F16" s="1">
        <v>164.18917819779031</v>
      </c>
      <c r="G16" s="1">
        <v>187.64477508318893</v>
      </c>
      <c r="H16" s="1">
        <v>206.40925259150782</v>
      </c>
      <c r="I16" s="1">
        <v>239.2470882310659</v>
      </c>
      <c r="J16" s="1">
        <v>267.39380449354422</v>
      </c>
      <c r="K16" s="1">
        <v>300.2316401331023</v>
      </c>
      <c r="L16" s="1">
        <v>351.83395328097924</v>
      </c>
      <c r="M16" s="1">
        <v>403.43626642885624</v>
      </c>
      <c r="N16" s="1">
        <v>450.34746019965348</v>
      </c>
      <c r="O16" s="1">
        <v>497.25865397045072</v>
      </c>
      <c r="P16" s="1">
        <v>544.16984774124796</v>
      </c>
      <c r="Q16" s="1">
        <v>591.0810415120452</v>
      </c>
      <c r="R16" s="1">
        <v>637.99223528284244</v>
      </c>
      <c r="S16" s="1">
        <v>684.90342905363968</v>
      </c>
      <c r="T16" s="1">
        <v>731.81462282443692</v>
      </c>
      <c r="U16" s="1">
        <v>778.72581659523416</v>
      </c>
    </row>
    <row r="17" spans="1:21">
      <c r="A17" s="11" t="s">
        <v>22</v>
      </c>
      <c r="B17" s="1">
        <v>17.72609930486659</v>
      </c>
      <c r="C17" s="1">
        <v>22.157624131083235</v>
      </c>
      <c r="D17" s="1">
        <v>26.589148957299884</v>
      </c>
      <c r="E17" s="1">
        <v>41.360898378022043</v>
      </c>
      <c r="F17" s="1">
        <v>51.70112297252755</v>
      </c>
      <c r="G17" s="1">
        <v>59.086997682888629</v>
      </c>
      <c r="H17" s="1">
        <v>64.995697451177492</v>
      </c>
      <c r="I17" s="1">
        <v>75.335922045683006</v>
      </c>
      <c r="J17" s="1">
        <v>84.198971698116296</v>
      </c>
      <c r="K17" s="1">
        <v>94.53919629262181</v>
      </c>
      <c r="L17" s="1">
        <v>110.78812065541618</v>
      </c>
      <c r="M17" s="1">
        <v>127.03704501821055</v>
      </c>
      <c r="N17" s="1">
        <v>141.80879443893272</v>
      </c>
      <c r="O17" s="1">
        <v>156.58054385965488</v>
      </c>
      <c r="P17" s="1">
        <v>171.35229328037704</v>
      </c>
      <c r="Q17" s="1">
        <v>186.12404270109917</v>
      </c>
      <c r="R17" s="1">
        <v>200.89579212182133</v>
      </c>
      <c r="S17" s="1">
        <v>215.66754154254349</v>
      </c>
      <c r="T17" s="1">
        <v>230.43929096326565</v>
      </c>
      <c r="U17" s="1">
        <v>245.21104038398781</v>
      </c>
    </row>
    <row r="18" spans="1:21">
      <c r="A18" s="11" t="s">
        <v>23</v>
      </c>
      <c r="B18" s="1">
        <v>111.27455154696598</v>
      </c>
      <c r="C18" s="1">
        <v>139.09318943370747</v>
      </c>
      <c r="D18" s="1">
        <v>166.91182732044896</v>
      </c>
      <c r="E18" s="1">
        <v>259.64062027625397</v>
      </c>
      <c r="F18" s="1">
        <v>324.55077534531745</v>
      </c>
      <c r="G18" s="1">
        <v>370.91517182321991</v>
      </c>
      <c r="H18" s="1">
        <v>408.00668900554194</v>
      </c>
      <c r="I18" s="1">
        <v>472.91684407460542</v>
      </c>
      <c r="J18" s="1">
        <v>528.55411984808836</v>
      </c>
      <c r="K18" s="1">
        <v>593.4642749171519</v>
      </c>
      <c r="L18" s="1">
        <v>695.46594716853735</v>
      </c>
      <c r="M18" s="1">
        <v>797.46761941992281</v>
      </c>
      <c r="N18" s="1">
        <v>890.19641237572785</v>
      </c>
      <c r="O18" s="1">
        <v>982.92520533153277</v>
      </c>
      <c r="P18" s="1">
        <v>1075.6539982873378</v>
      </c>
      <c r="Q18" s="1">
        <v>1168.3827912431427</v>
      </c>
      <c r="R18" s="1">
        <v>1261.1115841989476</v>
      </c>
      <c r="S18" s="1">
        <v>1353.8403771547528</v>
      </c>
      <c r="T18" s="1">
        <v>1446.5691701105577</v>
      </c>
      <c r="U18" s="1">
        <v>1539.2979630663626</v>
      </c>
    </row>
    <row r="19" spans="1:21">
      <c r="A19" s="1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 spans="1:21">
      <c r="A20" s="11" t="s">
        <v>24</v>
      </c>
      <c r="B20" s="1">
        <v>81.405907976511756</v>
      </c>
      <c r="C20" s="1">
        <v>101.75738497063969</v>
      </c>
      <c r="D20" s="1">
        <v>122.10886196476763</v>
      </c>
      <c r="E20" s="1">
        <v>189.94711861186076</v>
      </c>
      <c r="F20" s="1">
        <v>237.43389826482596</v>
      </c>
      <c r="G20" s="1">
        <v>271.35302658837253</v>
      </c>
      <c r="H20" s="1">
        <v>298.48832924720978</v>
      </c>
      <c r="I20" s="1">
        <v>345.97510890017497</v>
      </c>
      <c r="J20" s="1">
        <v>386.67806288843082</v>
      </c>
      <c r="K20" s="1">
        <v>434.16484254139601</v>
      </c>
      <c r="L20" s="1">
        <v>508.78692485319846</v>
      </c>
      <c r="M20" s="1">
        <v>583.40900716500096</v>
      </c>
      <c r="N20" s="1">
        <v>651.24726381209405</v>
      </c>
      <c r="O20" s="1">
        <v>719.08552045918714</v>
      </c>
      <c r="P20" s="1">
        <v>786.92377710628034</v>
      </c>
      <c r="Q20" s="1">
        <v>854.76203375337343</v>
      </c>
      <c r="R20" s="1">
        <v>922.60029040046652</v>
      </c>
      <c r="S20" s="1">
        <v>990.43854704755972</v>
      </c>
      <c r="T20" s="1">
        <v>1058.2768036946527</v>
      </c>
      <c r="U20" s="1">
        <v>1126.1150603417459</v>
      </c>
    </row>
    <row r="21" spans="1:21">
      <c r="A21" s="11" t="s">
        <v>25</v>
      </c>
      <c r="B21" s="1">
        <v>61.646331313351702</v>
      </c>
      <c r="C21" s="1">
        <v>77.057914141689622</v>
      </c>
      <c r="D21" s="1">
        <v>92.469496970027549</v>
      </c>
      <c r="E21" s="1">
        <v>143.84143973115397</v>
      </c>
      <c r="F21" s="1">
        <v>179.80179966394246</v>
      </c>
      <c r="G21" s="1">
        <v>205.48777104450565</v>
      </c>
      <c r="H21" s="1">
        <v>226.03654814895623</v>
      </c>
      <c r="I21" s="1">
        <v>261.99690808174472</v>
      </c>
      <c r="J21" s="1">
        <v>292.82007373842055</v>
      </c>
      <c r="K21" s="1">
        <v>328.78043367120904</v>
      </c>
      <c r="L21" s="1">
        <v>385.28957070844814</v>
      </c>
      <c r="M21" s="1">
        <v>441.79870774568718</v>
      </c>
      <c r="N21" s="1">
        <v>493.17065050681362</v>
      </c>
      <c r="O21" s="1">
        <v>544.54259326793999</v>
      </c>
      <c r="P21" s="1">
        <v>595.91453602906643</v>
      </c>
      <c r="Q21" s="1">
        <v>647.28647879019286</v>
      </c>
      <c r="R21" s="1">
        <v>698.65842155131929</v>
      </c>
      <c r="S21" s="1">
        <v>750.03036431244561</v>
      </c>
      <c r="T21" s="1">
        <v>801.40230707357205</v>
      </c>
      <c r="U21" s="1">
        <v>852.77424983469848</v>
      </c>
    </row>
    <row r="22" spans="1:21">
      <c r="A22" s="11" t="s">
        <v>26</v>
      </c>
      <c r="B22" s="1">
        <v>32.750996835677043</v>
      </c>
      <c r="C22" s="1">
        <v>40.938746044596307</v>
      </c>
      <c r="D22" s="1">
        <v>49.126495253515564</v>
      </c>
      <c r="E22" s="1">
        <v>76.418992616579771</v>
      </c>
      <c r="F22" s="1">
        <v>95.523740770724714</v>
      </c>
      <c r="G22" s="1">
        <v>109.16998945225681</v>
      </c>
      <c r="H22" s="1">
        <v>120.08698839748249</v>
      </c>
      <c r="I22" s="1">
        <v>139.19173655162743</v>
      </c>
      <c r="J22" s="1">
        <v>155.56723496946594</v>
      </c>
      <c r="K22" s="1">
        <v>174.67198312361089</v>
      </c>
      <c r="L22" s="1">
        <v>204.69373022298151</v>
      </c>
      <c r="M22" s="1">
        <v>234.71547732235214</v>
      </c>
      <c r="N22" s="1">
        <v>262.00797468541634</v>
      </c>
      <c r="O22" s="1">
        <v>289.30047204848057</v>
      </c>
      <c r="P22" s="1">
        <v>316.59296941154474</v>
      </c>
      <c r="Q22" s="1">
        <v>343.88546677460897</v>
      </c>
      <c r="R22" s="1">
        <v>371.17796413767314</v>
      </c>
      <c r="S22" s="1">
        <v>398.47046150073737</v>
      </c>
      <c r="T22" s="1">
        <v>425.76295886380154</v>
      </c>
      <c r="U22" s="1">
        <v>453.05545622686577</v>
      </c>
    </row>
    <row r="23" spans="1:21">
      <c r="A23" s="11" t="s">
        <v>27</v>
      </c>
      <c r="B23" s="1">
        <v>142.18540597349644</v>
      </c>
      <c r="C23" s="1">
        <v>177.73175746687053</v>
      </c>
      <c r="D23" s="1">
        <v>213.27810896024465</v>
      </c>
      <c r="E23" s="1">
        <v>331.76594727149165</v>
      </c>
      <c r="F23" s="1">
        <v>414.7074340893646</v>
      </c>
      <c r="G23" s="1">
        <v>473.95135324498813</v>
      </c>
      <c r="H23" s="1">
        <v>521.34648856948695</v>
      </c>
      <c r="I23" s="1">
        <v>604.28797538735978</v>
      </c>
      <c r="J23" s="1">
        <v>675.38067837410802</v>
      </c>
      <c r="K23" s="1">
        <v>758.32216519198096</v>
      </c>
      <c r="L23" s="1">
        <v>888.65878733435272</v>
      </c>
      <c r="M23" s="1">
        <v>1018.9954094767244</v>
      </c>
      <c r="N23" s="1">
        <v>1137.4832477879715</v>
      </c>
      <c r="O23" s="1">
        <v>1255.9710860992184</v>
      </c>
      <c r="P23" s="1">
        <v>1374.4589244104654</v>
      </c>
      <c r="Q23" s="1">
        <v>1492.9467627217125</v>
      </c>
      <c r="R23" s="1">
        <v>1611.4346010329596</v>
      </c>
      <c r="S23" s="1">
        <v>1729.9224393442066</v>
      </c>
      <c r="T23" s="1">
        <v>1848.4102776554537</v>
      </c>
      <c r="U23" s="1">
        <v>1966.8981159667007</v>
      </c>
    </row>
    <row r="24" spans="1:21">
      <c r="A24" s="11" t="s">
        <v>28</v>
      </c>
      <c r="B24" s="1">
        <v>36.029416693568557</v>
      </c>
      <c r="C24" s="1">
        <v>45.036770866960701</v>
      </c>
      <c r="D24" s="1">
        <v>54.044125040352839</v>
      </c>
      <c r="E24" s="1">
        <v>84.068638951659977</v>
      </c>
      <c r="F24" s="1">
        <v>105.08579868957497</v>
      </c>
      <c r="G24" s="1">
        <v>120.09805564522853</v>
      </c>
      <c r="H24" s="1">
        <v>132.10786120975138</v>
      </c>
      <c r="I24" s="1">
        <v>153.12502094766637</v>
      </c>
      <c r="J24" s="1">
        <v>171.13972929445066</v>
      </c>
      <c r="K24" s="1">
        <v>192.15688903236565</v>
      </c>
      <c r="L24" s="1">
        <v>225.1838543348035</v>
      </c>
      <c r="M24" s="1">
        <v>258.21081963724134</v>
      </c>
      <c r="N24" s="1">
        <v>288.23533354854845</v>
      </c>
      <c r="O24" s="1">
        <v>318.25984745985562</v>
      </c>
      <c r="P24" s="1">
        <v>348.28436137116273</v>
      </c>
      <c r="Q24" s="1">
        <v>378.3088752824699</v>
      </c>
      <c r="R24" s="1">
        <v>408.33338919377701</v>
      </c>
      <c r="S24" s="1">
        <v>438.35790310508412</v>
      </c>
      <c r="T24" s="1">
        <v>468.38241701639129</v>
      </c>
      <c r="U24" s="1">
        <v>498.4069309276984</v>
      </c>
    </row>
    <row r="25" spans="1:21">
      <c r="A25" s="11" t="s">
        <v>29</v>
      </c>
      <c r="B25" s="1">
        <v>13.792296433804376</v>
      </c>
      <c r="C25" s="1">
        <v>17.240370542255469</v>
      </c>
      <c r="D25" s="1">
        <v>20.688444650706565</v>
      </c>
      <c r="E25" s="1">
        <v>32.182025012210211</v>
      </c>
      <c r="F25" s="1">
        <v>40.227531265262762</v>
      </c>
      <c r="G25" s="1">
        <v>45.974321446014585</v>
      </c>
      <c r="H25" s="1">
        <v>50.571753590616041</v>
      </c>
      <c r="I25" s="1">
        <v>58.617259843668599</v>
      </c>
      <c r="J25" s="1">
        <v>65.513408060570782</v>
      </c>
      <c r="K25" s="1">
        <v>73.558914313623333</v>
      </c>
      <c r="L25" s="1">
        <v>86.20185271127734</v>
      </c>
      <c r="M25" s="1">
        <v>98.844791108931361</v>
      </c>
      <c r="N25" s="1">
        <v>110.33837147043501</v>
      </c>
      <c r="O25" s="1">
        <v>121.83195183193865</v>
      </c>
      <c r="P25" s="1">
        <v>133.32553219344229</v>
      </c>
      <c r="Q25" s="1">
        <v>144.81911255494595</v>
      </c>
      <c r="R25" s="1">
        <v>156.31269291644958</v>
      </c>
      <c r="S25" s="1">
        <v>167.80627327795324</v>
      </c>
      <c r="T25" s="1">
        <v>179.29985363945687</v>
      </c>
      <c r="U25" s="1">
        <v>190.79343400096053</v>
      </c>
    </row>
    <row r="26" spans="1:21">
      <c r="A26" s="1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spans="1:21">
      <c r="A27" s="11" t="s">
        <v>30</v>
      </c>
      <c r="B27" s="1">
        <v>16.577104687703855</v>
      </c>
      <c r="C27" s="1">
        <v>20.721380859629818</v>
      </c>
      <c r="D27" s="1">
        <v>24.865657031555781</v>
      </c>
      <c r="E27" s="1">
        <v>38.679910937975663</v>
      </c>
      <c r="F27" s="1">
        <v>48.349888672469575</v>
      </c>
      <c r="G27" s="1">
        <v>55.257015625679514</v>
      </c>
      <c r="H27" s="1">
        <v>60.782717188247467</v>
      </c>
      <c r="I27" s="1">
        <v>70.452694922741387</v>
      </c>
      <c r="J27" s="1">
        <v>78.741247266593305</v>
      </c>
      <c r="K27" s="1">
        <v>88.411225001087217</v>
      </c>
      <c r="L27" s="1">
        <v>103.60690429814909</v>
      </c>
      <c r="M27" s="1">
        <v>118.80258359521096</v>
      </c>
      <c r="N27" s="1">
        <v>132.61683750163084</v>
      </c>
      <c r="O27" s="1">
        <v>146.43109140805072</v>
      </c>
      <c r="P27" s="1">
        <v>160.2453453144706</v>
      </c>
      <c r="Q27" s="1">
        <v>174.05959922089048</v>
      </c>
      <c r="R27" s="1">
        <v>187.87385312731035</v>
      </c>
      <c r="S27" s="1">
        <v>201.68810703373023</v>
      </c>
      <c r="T27" s="1">
        <v>215.50236094015011</v>
      </c>
      <c r="U27" s="1">
        <v>229.31661484656999</v>
      </c>
    </row>
    <row r="28" spans="1:21">
      <c r="A28" s="11" t="s">
        <v>31</v>
      </c>
      <c r="B28" s="1">
        <v>57.898017774628919</v>
      </c>
      <c r="C28" s="1">
        <v>72.37252221828615</v>
      </c>
      <c r="D28" s="1">
        <v>86.847026661943374</v>
      </c>
      <c r="E28" s="1">
        <v>135.09537480746746</v>
      </c>
      <c r="F28" s="1">
        <v>168.86921850933433</v>
      </c>
      <c r="G28" s="1">
        <v>192.99339258209639</v>
      </c>
      <c r="H28" s="1">
        <v>212.29273184030603</v>
      </c>
      <c r="I28" s="1">
        <v>246.0665755421729</v>
      </c>
      <c r="J28" s="1">
        <v>275.01558442948738</v>
      </c>
      <c r="K28" s="1">
        <v>308.78942813135421</v>
      </c>
      <c r="L28" s="1">
        <v>361.86261109143072</v>
      </c>
      <c r="M28" s="1">
        <v>414.93579405150723</v>
      </c>
      <c r="N28" s="1">
        <v>463.18414219703135</v>
      </c>
      <c r="O28" s="1">
        <v>511.43249034255541</v>
      </c>
      <c r="P28" s="1">
        <v>559.68083848807953</v>
      </c>
      <c r="Q28" s="1">
        <v>607.92918663360365</v>
      </c>
      <c r="R28" s="1">
        <v>656.17753477912765</v>
      </c>
      <c r="S28" s="1">
        <v>704.42588292465177</v>
      </c>
      <c r="T28" s="1">
        <v>752.67423107017589</v>
      </c>
      <c r="U28" s="1">
        <v>800.92257921570001</v>
      </c>
    </row>
    <row r="29" spans="1:21">
      <c r="A29" s="11" t="s">
        <v>32</v>
      </c>
      <c r="B29" s="1">
        <v>20.901473141147935</v>
      </c>
      <c r="C29" s="1">
        <v>26.126841426434918</v>
      </c>
      <c r="D29" s="1">
        <v>31.352209711721901</v>
      </c>
      <c r="E29" s="1">
        <v>48.770103996011848</v>
      </c>
      <c r="F29" s="1">
        <v>60.962629995014808</v>
      </c>
      <c r="G29" s="1">
        <v>69.671577137159787</v>
      </c>
      <c r="H29" s="1">
        <v>76.638734850875764</v>
      </c>
      <c r="I29" s="1">
        <v>88.831260849878717</v>
      </c>
      <c r="J29" s="1">
        <v>99.281997420452683</v>
      </c>
      <c r="K29" s="1">
        <v>111.47452341945565</v>
      </c>
      <c r="L29" s="1">
        <v>130.63420713217459</v>
      </c>
      <c r="M29" s="1">
        <v>149.79389084489353</v>
      </c>
      <c r="N29" s="1">
        <v>167.21178512918348</v>
      </c>
      <c r="O29" s="1">
        <v>184.62967941347341</v>
      </c>
      <c r="P29" s="1">
        <v>202.04757369776337</v>
      </c>
      <c r="Q29" s="1">
        <v>219.46546798205333</v>
      </c>
      <c r="R29" s="1">
        <v>236.88336226634325</v>
      </c>
      <c r="S29" s="1">
        <v>254.30125655063321</v>
      </c>
      <c r="T29" s="1">
        <v>271.71915083492314</v>
      </c>
      <c r="U29" s="1">
        <v>289.1370451192131</v>
      </c>
    </row>
    <row r="30" spans="1:21">
      <c r="A30" s="11" t="s">
        <v>33</v>
      </c>
      <c r="B30" s="1">
        <v>29.196643027558043</v>
      </c>
      <c r="C30" s="1">
        <v>36.495803784447553</v>
      </c>
      <c r="D30" s="1">
        <v>43.794964541337066</v>
      </c>
      <c r="E30" s="1">
        <v>68.125500397635435</v>
      </c>
      <c r="F30" s="1">
        <v>85.156875497044297</v>
      </c>
      <c r="G30" s="1">
        <v>97.322143425193474</v>
      </c>
      <c r="H30" s="1">
        <v>107.05435776771283</v>
      </c>
      <c r="I30" s="1">
        <v>124.08573286712168</v>
      </c>
      <c r="J30" s="1">
        <v>138.6840543809007</v>
      </c>
      <c r="K30" s="1">
        <v>155.71542948030955</v>
      </c>
      <c r="L30" s="1">
        <v>182.47901892223777</v>
      </c>
      <c r="M30" s="1">
        <v>209.24260836416599</v>
      </c>
      <c r="N30" s="1">
        <v>233.57314422046434</v>
      </c>
      <c r="O30" s="1">
        <v>257.90368007676273</v>
      </c>
      <c r="P30" s="1">
        <v>282.23421593306108</v>
      </c>
      <c r="Q30" s="1">
        <v>306.56475178935943</v>
      </c>
      <c r="R30" s="1">
        <v>330.89528764565785</v>
      </c>
      <c r="S30" s="1">
        <v>355.2258235019562</v>
      </c>
      <c r="T30" s="1">
        <v>379.55635935825455</v>
      </c>
      <c r="U30" s="1">
        <v>403.88689521455291</v>
      </c>
    </row>
    <row r="31" spans="1:21">
      <c r="A31" s="11" t="s">
        <v>34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</row>
    <row r="32" spans="1:21">
      <c r="A32" s="1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 spans="1:21">
      <c r="A33" s="11" t="s">
        <v>35</v>
      </c>
      <c r="B33" s="1">
        <v>14.929374239793967</v>
      </c>
      <c r="C33" s="1">
        <v>18.661717799742458</v>
      </c>
      <c r="D33" s="1">
        <v>22.394061359690951</v>
      </c>
      <c r="E33" s="1">
        <v>34.835206559519257</v>
      </c>
      <c r="F33" s="1">
        <v>43.544008199399073</v>
      </c>
      <c r="G33" s="1">
        <v>49.764580799313222</v>
      </c>
      <c r="H33" s="1">
        <v>54.741038879244542</v>
      </c>
      <c r="I33" s="1">
        <v>63.449840519124358</v>
      </c>
      <c r="J33" s="1">
        <v>70.914527639021344</v>
      </c>
      <c r="K33" s="1">
        <v>79.623329278901153</v>
      </c>
      <c r="L33" s="1">
        <v>93.308588998712295</v>
      </c>
      <c r="M33" s="1">
        <v>106.99384871852342</v>
      </c>
      <c r="N33" s="1">
        <v>119.43499391835174</v>
      </c>
      <c r="O33" s="1">
        <v>131.87613911818005</v>
      </c>
      <c r="P33" s="1">
        <v>144.31728431800835</v>
      </c>
      <c r="Q33" s="1">
        <v>156.75842951783665</v>
      </c>
      <c r="R33" s="1">
        <v>169.19957471766494</v>
      </c>
      <c r="S33" s="1">
        <v>181.64071991749327</v>
      </c>
      <c r="T33" s="1">
        <v>194.08186511732157</v>
      </c>
      <c r="U33" s="1">
        <v>206.52301031714987</v>
      </c>
    </row>
    <row r="34" spans="1:21">
      <c r="A34" s="11" t="s">
        <v>36</v>
      </c>
      <c r="B34" s="1">
        <v>13.197389197524414</v>
      </c>
      <c r="C34" s="1">
        <v>16.496736496905516</v>
      </c>
      <c r="D34" s="1">
        <v>19.79608379628662</v>
      </c>
      <c r="E34" s="1">
        <v>30.793908127556964</v>
      </c>
      <c r="F34" s="1">
        <v>38.492385159446208</v>
      </c>
      <c r="G34" s="1">
        <v>43.991297325081376</v>
      </c>
      <c r="H34" s="1">
        <v>48.390427057589513</v>
      </c>
      <c r="I34" s="1">
        <v>56.088904089478753</v>
      </c>
      <c r="J34" s="1">
        <v>62.687598688240961</v>
      </c>
      <c r="K34" s="1">
        <v>70.386075720130208</v>
      </c>
      <c r="L34" s="1">
        <v>82.483682484527577</v>
      </c>
      <c r="M34" s="1">
        <v>94.581289248924961</v>
      </c>
      <c r="N34" s="1">
        <v>105.57911358019531</v>
      </c>
      <c r="O34" s="1">
        <v>116.57693791146565</v>
      </c>
      <c r="P34" s="1">
        <v>127.574762242736</v>
      </c>
      <c r="Q34" s="1">
        <v>138.57258657400635</v>
      </c>
      <c r="R34" s="1">
        <v>149.57041090527667</v>
      </c>
      <c r="S34" s="1">
        <v>160.56823523654703</v>
      </c>
      <c r="T34" s="1">
        <v>171.56605956781738</v>
      </c>
      <c r="U34" s="1">
        <v>182.56388389908773</v>
      </c>
    </row>
    <row r="35" spans="1:21">
      <c r="A35" s="11" t="s">
        <v>37</v>
      </c>
      <c r="B35" s="1">
        <v>2.8842638826933999</v>
      </c>
      <c r="C35" s="1">
        <v>3.6053298533667499</v>
      </c>
      <c r="D35" s="1">
        <v>4.3263958240400999</v>
      </c>
      <c r="E35" s="1">
        <v>6.7299490596179332</v>
      </c>
      <c r="F35" s="1">
        <v>8.4124363245224174</v>
      </c>
      <c r="G35" s="1">
        <v>9.6142129423113332</v>
      </c>
      <c r="H35" s="1">
        <v>10.575634236542466</v>
      </c>
      <c r="I35" s="1">
        <v>12.258121501446951</v>
      </c>
      <c r="J35" s="1">
        <v>13.700253442793651</v>
      </c>
      <c r="K35" s="1">
        <v>15.382740707698133</v>
      </c>
      <c r="L35" s="1">
        <v>18.026649266833751</v>
      </c>
      <c r="M35" s="1">
        <v>20.670557825969368</v>
      </c>
      <c r="N35" s="1">
        <v>23.0741110615472</v>
      </c>
      <c r="O35" s="1">
        <v>25.477664297125035</v>
      </c>
      <c r="P35" s="1">
        <v>27.881217532702866</v>
      </c>
      <c r="Q35" s="1">
        <v>30.284770768280701</v>
      </c>
      <c r="R35" s="1">
        <v>32.688324003858533</v>
      </c>
      <c r="S35" s="1">
        <v>35.091877239436364</v>
      </c>
      <c r="T35" s="1">
        <v>37.495430475014203</v>
      </c>
      <c r="U35" s="1">
        <v>39.898983710592034</v>
      </c>
    </row>
    <row r="36" spans="1:21">
      <c r="A36" s="11" t="s">
        <v>38</v>
      </c>
      <c r="B36" s="1">
        <v>2.0158867492341113</v>
      </c>
      <c r="C36" s="1">
        <v>2.5198584365426395</v>
      </c>
      <c r="D36" s="1">
        <v>3.0238301238511673</v>
      </c>
      <c r="E36" s="1">
        <v>4.7037357482129263</v>
      </c>
      <c r="F36" s="1">
        <v>5.8796696852661583</v>
      </c>
      <c r="G36" s="1">
        <v>6.7196224974470384</v>
      </c>
      <c r="H36" s="1">
        <v>7.3915847471917422</v>
      </c>
      <c r="I36" s="1">
        <v>8.5675186842449733</v>
      </c>
      <c r="J36" s="1">
        <v>9.5754620588620298</v>
      </c>
      <c r="K36" s="1">
        <v>10.751395995915262</v>
      </c>
      <c r="L36" s="1">
        <v>12.599292182713196</v>
      </c>
      <c r="M36" s="1">
        <v>14.447188369511132</v>
      </c>
      <c r="N36" s="1">
        <v>16.12709399387289</v>
      </c>
      <c r="O36" s="1">
        <v>17.806999618234652</v>
      </c>
      <c r="P36" s="1">
        <v>19.486905242596411</v>
      </c>
      <c r="Q36" s="1">
        <v>21.166810866958169</v>
      </c>
      <c r="R36" s="1">
        <v>22.846716491319931</v>
      </c>
      <c r="S36" s="1">
        <v>24.52662211568169</v>
      </c>
      <c r="T36" s="1">
        <v>26.206527740043448</v>
      </c>
      <c r="U36" s="1">
        <v>27.886433364405207</v>
      </c>
    </row>
    <row r="37" spans="1:21">
      <c r="A37" s="11" t="s">
        <v>39</v>
      </c>
      <c r="B37" s="1">
        <v>8.1654894848679671</v>
      </c>
      <c r="C37" s="1">
        <v>10.206861856084959</v>
      </c>
      <c r="D37" s="1">
        <v>12.248234227301952</v>
      </c>
      <c r="E37" s="1">
        <v>19.052808798025257</v>
      </c>
      <c r="F37" s="1">
        <v>23.816010997531571</v>
      </c>
      <c r="G37" s="1">
        <v>27.218298282893226</v>
      </c>
      <c r="H37" s="1">
        <v>29.940128111182545</v>
      </c>
      <c r="I37" s="1">
        <v>34.703330310688862</v>
      </c>
      <c r="J37" s="1">
        <v>38.786075053122843</v>
      </c>
      <c r="K37" s="1">
        <v>43.54927725262916</v>
      </c>
      <c r="L37" s="1">
        <v>51.034309280424793</v>
      </c>
      <c r="M37" s="1">
        <v>58.519341308220433</v>
      </c>
      <c r="N37" s="1">
        <v>65.323915878943737</v>
      </c>
      <c r="O37" s="1">
        <v>72.128490449667041</v>
      </c>
      <c r="P37" s="1">
        <v>78.933065020390345</v>
      </c>
      <c r="Q37" s="1">
        <v>85.737639591113663</v>
      </c>
      <c r="R37" s="1">
        <v>92.542214161836966</v>
      </c>
      <c r="S37" s="1">
        <v>99.34678873256027</v>
      </c>
      <c r="T37" s="1">
        <v>106.15136330328357</v>
      </c>
      <c r="U37" s="1">
        <v>112.95593787400688</v>
      </c>
    </row>
    <row r="38" spans="1:21">
      <c r="A38" s="10"/>
    </row>
  </sheetData>
  <phoneticPr fontId="6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0C399-1DC5-EF4F-9490-44DE17110A56}">
  <dimension ref="A1:U38"/>
  <sheetViews>
    <sheetView workbookViewId="0">
      <selection sqref="A1:A1048576"/>
    </sheetView>
  </sheetViews>
  <sheetFormatPr baseColWidth="10" defaultRowHeight="16"/>
  <cols>
    <col min="1" max="1" width="19" customWidth="1"/>
  </cols>
  <sheetData>
    <row r="1" spans="1:21" ht="17">
      <c r="A1" s="23" t="s">
        <v>45</v>
      </c>
      <c r="B1" s="23">
        <v>1997</v>
      </c>
      <c r="C1" s="23">
        <v>1998</v>
      </c>
      <c r="D1" s="23">
        <v>1999</v>
      </c>
      <c r="E1" s="23">
        <v>2000</v>
      </c>
      <c r="F1" s="23">
        <v>2001</v>
      </c>
      <c r="G1" s="23">
        <v>2002</v>
      </c>
      <c r="H1" s="23">
        <v>2003</v>
      </c>
      <c r="I1" s="23">
        <v>2004</v>
      </c>
      <c r="J1" s="23">
        <v>2005</v>
      </c>
      <c r="K1" s="23">
        <v>2006</v>
      </c>
      <c r="L1" s="23">
        <v>2007</v>
      </c>
      <c r="M1" s="23">
        <v>2008</v>
      </c>
      <c r="N1" s="23">
        <v>2009</v>
      </c>
      <c r="O1" s="23">
        <v>2010</v>
      </c>
      <c r="P1" s="23">
        <v>2011</v>
      </c>
      <c r="Q1" s="23">
        <v>2012</v>
      </c>
      <c r="R1" s="23">
        <v>2013</v>
      </c>
      <c r="S1" s="23">
        <v>2014</v>
      </c>
      <c r="T1" s="23">
        <v>2015</v>
      </c>
      <c r="U1" s="23">
        <v>2016</v>
      </c>
    </row>
    <row r="2" spans="1:21">
      <c r="A2" s="16" t="s">
        <v>9</v>
      </c>
      <c r="B2">
        <v>0.82800000000000007</v>
      </c>
      <c r="C2">
        <v>0.82800000000000007</v>
      </c>
      <c r="D2">
        <v>0.82800000000000007</v>
      </c>
      <c r="E2">
        <v>0.82800000000000007</v>
      </c>
      <c r="F2">
        <v>0.82800000000000007</v>
      </c>
      <c r="G2">
        <v>0.82800000000000007</v>
      </c>
      <c r="H2">
        <v>0.82800000000000007</v>
      </c>
      <c r="I2">
        <v>2.8339999999999987</v>
      </c>
      <c r="J2">
        <v>2.8339999999999987</v>
      </c>
      <c r="K2">
        <v>2.8339999999999987</v>
      </c>
      <c r="L2">
        <v>2.8339999999999987</v>
      </c>
      <c r="M2">
        <v>2.8339999999999987</v>
      </c>
      <c r="N2">
        <v>1.352000000000001</v>
      </c>
      <c r="O2">
        <v>1.352000000000001</v>
      </c>
      <c r="P2">
        <v>1.352000000000001</v>
      </c>
      <c r="Q2">
        <v>1.352000000000001</v>
      </c>
      <c r="R2">
        <v>1.352000000000001</v>
      </c>
      <c r="S2">
        <v>1.352000000000001</v>
      </c>
      <c r="T2">
        <v>1.352000000000001</v>
      </c>
      <c r="U2">
        <v>1.352000000000001</v>
      </c>
    </row>
    <row r="3" spans="1:21">
      <c r="A3" s="11" t="s">
        <v>10</v>
      </c>
      <c r="B3">
        <v>0.15399999999999991</v>
      </c>
      <c r="C3">
        <v>0.15399999999999991</v>
      </c>
      <c r="D3">
        <v>0.15399999999999991</v>
      </c>
      <c r="E3">
        <v>0.15399999999999991</v>
      </c>
      <c r="F3">
        <v>0.15399999999999991</v>
      </c>
      <c r="G3">
        <v>0.15399999999999991</v>
      </c>
      <c r="H3">
        <v>0.15399999999999991</v>
      </c>
      <c r="I3">
        <v>-5.9999999999998718E-3</v>
      </c>
      <c r="J3">
        <v>-5.9999999999998718E-3</v>
      </c>
      <c r="K3">
        <v>-5.9999999999998718E-3</v>
      </c>
      <c r="L3">
        <v>-5.9999999999998718E-3</v>
      </c>
      <c r="M3">
        <v>-5.9999999999998718E-3</v>
      </c>
      <c r="N3">
        <v>0.36799999999999999</v>
      </c>
      <c r="O3">
        <v>0.36799999999999999</v>
      </c>
      <c r="P3">
        <v>0.36799999999999999</v>
      </c>
      <c r="Q3">
        <v>0.36799999999999999</v>
      </c>
      <c r="R3">
        <v>0.36799999999999999</v>
      </c>
      <c r="S3">
        <v>0.36799999999999999</v>
      </c>
      <c r="T3">
        <v>0.36799999999999999</v>
      </c>
      <c r="U3">
        <v>0.36799999999999999</v>
      </c>
    </row>
    <row r="4" spans="1:21">
      <c r="A4" s="11" t="s">
        <v>11</v>
      </c>
      <c r="B4">
        <v>-1.4600000000000022</v>
      </c>
      <c r="C4">
        <v>-1.4600000000000022</v>
      </c>
      <c r="D4">
        <v>-1.4600000000000022</v>
      </c>
      <c r="E4">
        <v>-1.4600000000000022</v>
      </c>
      <c r="F4">
        <v>-1.4600000000000022</v>
      </c>
      <c r="G4">
        <v>-1.4600000000000022</v>
      </c>
      <c r="H4">
        <v>-1.4600000000000022</v>
      </c>
      <c r="I4">
        <v>17.899999999999999</v>
      </c>
      <c r="J4">
        <v>17.899999999999999</v>
      </c>
      <c r="K4">
        <v>17.899999999999999</v>
      </c>
      <c r="L4">
        <v>17.899999999999999</v>
      </c>
      <c r="M4">
        <v>17.899999999999999</v>
      </c>
      <c r="N4">
        <v>4.3300000000000072</v>
      </c>
      <c r="O4">
        <v>4.3300000000000072</v>
      </c>
      <c r="P4">
        <v>4.3300000000000072</v>
      </c>
      <c r="Q4">
        <v>4.3300000000000072</v>
      </c>
      <c r="R4">
        <v>4.3300000000000072</v>
      </c>
      <c r="S4">
        <v>4.3300000000000072</v>
      </c>
      <c r="T4">
        <v>4.3300000000000072</v>
      </c>
      <c r="U4">
        <v>4.3300000000000072</v>
      </c>
    </row>
    <row r="5" spans="1:21">
      <c r="A5" s="11" t="s">
        <v>12</v>
      </c>
      <c r="B5">
        <v>4.921999999999997</v>
      </c>
      <c r="C5">
        <v>4.921999999999997</v>
      </c>
      <c r="D5">
        <v>4.921999999999997</v>
      </c>
      <c r="E5">
        <v>4.921999999999997</v>
      </c>
      <c r="F5">
        <v>4.921999999999997</v>
      </c>
      <c r="G5">
        <v>4.921999999999997</v>
      </c>
      <c r="H5">
        <v>4.921999999999997</v>
      </c>
      <c r="I5">
        <v>2.5840000000000032</v>
      </c>
      <c r="J5">
        <v>2.5840000000000032</v>
      </c>
      <c r="K5">
        <v>2.5840000000000032</v>
      </c>
      <c r="L5">
        <v>2.5840000000000032</v>
      </c>
      <c r="M5">
        <v>2.5840000000000032</v>
      </c>
      <c r="N5">
        <v>12.260000000000002</v>
      </c>
      <c r="O5">
        <v>12.260000000000002</v>
      </c>
      <c r="P5">
        <v>12.260000000000002</v>
      </c>
      <c r="Q5">
        <v>12.260000000000002</v>
      </c>
      <c r="R5">
        <v>12.260000000000002</v>
      </c>
      <c r="S5">
        <v>12.260000000000002</v>
      </c>
      <c r="T5">
        <v>12.260000000000002</v>
      </c>
      <c r="U5">
        <v>12.260000000000002</v>
      </c>
    </row>
    <row r="6" spans="1:21">
      <c r="A6" s="11" t="s">
        <v>13</v>
      </c>
      <c r="B6">
        <v>115.16400000000003</v>
      </c>
      <c r="C6">
        <v>115.16400000000003</v>
      </c>
      <c r="D6">
        <v>115.16400000000003</v>
      </c>
      <c r="E6">
        <v>115.16400000000003</v>
      </c>
      <c r="F6">
        <v>115.16400000000003</v>
      </c>
      <c r="G6">
        <v>115.16400000000003</v>
      </c>
      <c r="H6">
        <v>115.16400000000003</v>
      </c>
      <c r="I6">
        <v>63.146000000000001</v>
      </c>
      <c r="J6">
        <v>63.146000000000001</v>
      </c>
      <c r="K6">
        <v>63.146000000000001</v>
      </c>
      <c r="L6">
        <v>63.146000000000001</v>
      </c>
      <c r="M6">
        <v>63.146000000000001</v>
      </c>
      <c r="N6">
        <v>24.3</v>
      </c>
      <c r="O6">
        <v>24.3</v>
      </c>
      <c r="P6">
        <v>24.3</v>
      </c>
      <c r="Q6">
        <v>24.3</v>
      </c>
      <c r="R6">
        <v>24.3</v>
      </c>
      <c r="S6">
        <v>24.3</v>
      </c>
      <c r="T6">
        <v>24.3</v>
      </c>
      <c r="U6">
        <v>24.3</v>
      </c>
    </row>
    <row r="7" spans="1:21">
      <c r="A7" s="11"/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</row>
    <row r="8" spans="1:21">
      <c r="A8" s="11" t="s">
        <v>14</v>
      </c>
      <c r="B8">
        <v>5.8959999999999919</v>
      </c>
      <c r="C8">
        <v>5.8959999999999919</v>
      </c>
      <c r="D8">
        <v>5.8959999999999919</v>
      </c>
      <c r="E8">
        <v>5.8959999999999919</v>
      </c>
      <c r="F8">
        <v>5.8959999999999919</v>
      </c>
      <c r="G8">
        <v>5.8959999999999919</v>
      </c>
      <c r="H8">
        <v>5.8959999999999919</v>
      </c>
      <c r="I8">
        <v>6.2900000000000089</v>
      </c>
      <c r="J8">
        <v>6.2900000000000089</v>
      </c>
      <c r="K8">
        <v>6.2900000000000089</v>
      </c>
      <c r="L8">
        <v>6.2900000000000089</v>
      </c>
      <c r="M8">
        <v>6.2900000000000089</v>
      </c>
      <c r="N8">
        <v>9.0659999999999847</v>
      </c>
      <c r="O8">
        <v>9.0659999999999847</v>
      </c>
      <c r="P8">
        <v>9.0659999999999847</v>
      </c>
      <c r="Q8">
        <v>9.0659999999999847</v>
      </c>
      <c r="R8">
        <v>9.0659999999999847</v>
      </c>
      <c r="S8">
        <v>9.0659999999999847</v>
      </c>
      <c r="T8">
        <v>9.0659999999999847</v>
      </c>
      <c r="U8">
        <v>9.0659999999999847</v>
      </c>
    </row>
    <row r="9" spans="1:21">
      <c r="A9" s="11" t="s">
        <v>15</v>
      </c>
      <c r="B9">
        <v>2.6279999999999974</v>
      </c>
      <c r="C9">
        <v>2.6279999999999974</v>
      </c>
      <c r="D9">
        <v>2.6279999999999974</v>
      </c>
      <c r="E9">
        <v>2.6279999999999974</v>
      </c>
      <c r="F9">
        <v>2.6279999999999974</v>
      </c>
      <c r="G9">
        <v>2.6279999999999974</v>
      </c>
      <c r="H9">
        <v>2.6279999999999974</v>
      </c>
      <c r="I9">
        <v>3.2900000000000089</v>
      </c>
      <c r="J9">
        <v>3.2900000000000089</v>
      </c>
      <c r="K9">
        <v>3.2900000000000089</v>
      </c>
      <c r="L9">
        <v>3.2900000000000089</v>
      </c>
      <c r="M9">
        <v>3.2900000000000089</v>
      </c>
      <c r="N9">
        <v>5.4599999999999911</v>
      </c>
      <c r="O9">
        <v>5.4599999999999911</v>
      </c>
      <c r="P9">
        <v>5.4599999999999911</v>
      </c>
      <c r="Q9">
        <v>5.4599999999999911</v>
      </c>
      <c r="R9">
        <v>5.4599999999999911</v>
      </c>
      <c r="S9">
        <v>5.4599999999999911</v>
      </c>
      <c r="T9">
        <v>5.4599999999999911</v>
      </c>
      <c r="U9">
        <v>5.4599999999999911</v>
      </c>
    </row>
    <row r="10" spans="1:21">
      <c r="A10" s="11" t="s">
        <v>16</v>
      </c>
      <c r="B10">
        <v>7.4380000000000113</v>
      </c>
      <c r="C10">
        <v>7.4380000000000113</v>
      </c>
      <c r="D10">
        <v>7.4380000000000113</v>
      </c>
      <c r="E10">
        <v>7.4380000000000113</v>
      </c>
      <c r="F10">
        <v>7.4380000000000113</v>
      </c>
      <c r="G10">
        <v>7.4380000000000113</v>
      </c>
      <c r="H10">
        <v>7.4380000000000113</v>
      </c>
      <c r="I10">
        <v>25.894000000000005</v>
      </c>
      <c r="J10">
        <v>25.894000000000005</v>
      </c>
      <c r="K10">
        <v>25.894000000000005</v>
      </c>
      <c r="L10">
        <v>25.894000000000005</v>
      </c>
      <c r="M10">
        <v>25.894000000000005</v>
      </c>
      <c r="N10">
        <v>7.032000000000016</v>
      </c>
      <c r="O10">
        <v>7.032000000000016</v>
      </c>
      <c r="P10">
        <v>7.032000000000016</v>
      </c>
      <c r="Q10">
        <v>7.032000000000016</v>
      </c>
      <c r="R10">
        <v>7.032000000000016</v>
      </c>
      <c r="S10">
        <v>7.032000000000016</v>
      </c>
      <c r="T10">
        <v>7.032000000000016</v>
      </c>
      <c r="U10">
        <v>7.032000000000016</v>
      </c>
    </row>
    <row r="11" spans="1:21">
      <c r="A11" s="11"/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</row>
    <row r="12" spans="1:21">
      <c r="A12" s="11" t="s">
        <v>17</v>
      </c>
      <c r="B12">
        <v>-5.8000000000000052E-2</v>
      </c>
      <c r="C12">
        <v>-5.8000000000000052E-2</v>
      </c>
      <c r="D12">
        <v>-5.8000000000000052E-2</v>
      </c>
      <c r="E12">
        <v>-5.8000000000000052E-2</v>
      </c>
      <c r="F12">
        <v>-5.8000000000000052E-2</v>
      </c>
      <c r="G12">
        <v>-5.8000000000000052E-2</v>
      </c>
      <c r="H12">
        <v>-5.8000000000000052E-2</v>
      </c>
      <c r="I12">
        <v>0.81600000000000006</v>
      </c>
      <c r="J12">
        <v>0.81600000000000006</v>
      </c>
      <c r="K12">
        <v>0.81600000000000006</v>
      </c>
      <c r="L12">
        <v>0.81600000000000006</v>
      </c>
      <c r="M12">
        <v>0.81600000000000006</v>
      </c>
      <c r="N12">
        <v>0.16799999999999998</v>
      </c>
      <c r="O12">
        <v>0.16799999999999998</v>
      </c>
      <c r="P12">
        <v>0.16799999999999998</v>
      </c>
      <c r="Q12">
        <v>0.16799999999999998</v>
      </c>
      <c r="R12">
        <v>0.16799999999999998</v>
      </c>
      <c r="S12">
        <v>0.16799999999999998</v>
      </c>
      <c r="T12">
        <v>0.16799999999999998</v>
      </c>
      <c r="U12">
        <v>0.16799999999999998</v>
      </c>
    </row>
    <row r="13" spans="1:21">
      <c r="A13" s="11" t="s">
        <v>18</v>
      </c>
      <c r="B13">
        <v>6.2339999999999991</v>
      </c>
      <c r="C13">
        <v>6.2339999999999991</v>
      </c>
      <c r="D13">
        <v>6.2339999999999991</v>
      </c>
      <c r="E13">
        <v>6.2339999999999991</v>
      </c>
      <c r="F13">
        <v>6.2339999999999991</v>
      </c>
      <c r="G13">
        <v>6.2339999999999991</v>
      </c>
      <c r="H13">
        <v>6.2339999999999991</v>
      </c>
      <c r="I13">
        <v>6.0200000000000014</v>
      </c>
      <c r="J13">
        <v>6.0200000000000014</v>
      </c>
      <c r="K13">
        <v>6.0200000000000014</v>
      </c>
      <c r="L13">
        <v>6.0200000000000014</v>
      </c>
      <c r="M13">
        <v>6.0200000000000014</v>
      </c>
      <c r="N13">
        <v>10.917999999999997</v>
      </c>
      <c r="O13">
        <v>10.917999999999997</v>
      </c>
      <c r="P13">
        <v>10.917999999999997</v>
      </c>
      <c r="Q13">
        <v>10.917999999999997</v>
      </c>
      <c r="R13">
        <v>10.917999999999997</v>
      </c>
      <c r="S13">
        <v>10.917999999999997</v>
      </c>
      <c r="T13">
        <v>10.917999999999997</v>
      </c>
      <c r="U13">
        <v>10.917999999999997</v>
      </c>
    </row>
    <row r="14" spans="1:21">
      <c r="A14" s="11" t="s">
        <v>19</v>
      </c>
      <c r="B14">
        <v>7.3480000000000016</v>
      </c>
      <c r="C14">
        <v>7.3480000000000016</v>
      </c>
      <c r="D14">
        <v>7.3480000000000016</v>
      </c>
      <c r="E14">
        <v>7.3480000000000016</v>
      </c>
      <c r="F14">
        <v>7.3480000000000016</v>
      </c>
      <c r="G14">
        <v>7.3480000000000016</v>
      </c>
      <c r="H14">
        <v>7.3480000000000016</v>
      </c>
      <c r="I14">
        <v>6.1</v>
      </c>
      <c r="J14">
        <v>6.1</v>
      </c>
      <c r="K14">
        <v>6.1</v>
      </c>
      <c r="L14">
        <v>6.1</v>
      </c>
      <c r="M14">
        <v>6.1</v>
      </c>
      <c r="N14">
        <v>3.388000000000011</v>
      </c>
      <c r="O14">
        <v>3.388000000000011</v>
      </c>
      <c r="P14">
        <v>3.388000000000011</v>
      </c>
      <c r="Q14">
        <v>3.388000000000011</v>
      </c>
      <c r="R14">
        <v>3.388000000000011</v>
      </c>
      <c r="S14">
        <v>3.388000000000011</v>
      </c>
      <c r="T14">
        <v>3.388000000000011</v>
      </c>
      <c r="U14">
        <v>3.388000000000011</v>
      </c>
    </row>
    <row r="15" spans="1:21">
      <c r="A15" s="11" t="s">
        <v>20</v>
      </c>
      <c r="B15">
        <v>2.9879999999999995</v>
      </c>
      <c r="C15">
        <v>2.9879999999999995</v>
      </c>
      <c r="D15">
        <v>2.9879999999999995</v>
      </c>
      <c r="E15">
        <v>2.9879999999999995</v>
      </c>
      <c r="F15">
        <v>2.9879999999999995</v>
      </c>
      <c r="G15">
        <v>2.9879999999999995</v>
      </c>
      <c r="H15">
        <v>2.9879999999999995</v>
      </c>
      <c r="I15">
        <v>5.615999999999997</v>
      </c>
      <c r="J15">
        <v>5.615999999999997</v>
      </c>
      <c r="K15">
        <v>5.615999999999997</v>
      </c>
      <c r="L15">
        <v>5.615999999999997</v>
      </c>
      <c r="M15">
        <v>5.615999999999997</v>
      </c>
      <c r="N15">
        <v>4.0700000000000047</v>
      </c>
      <c r="O15">
        <v>4.0700000000000047</v>
      </c>
      <c r="P15">
        <v>4.0700000000000047</v>
      </c>
      <c r="Q15">
        <v>4.0700000000000047</v>
      </c>
      <c r="R15">
        <v>4.0700000000000047</v>
      </c>
      <c r="S15">
        <v>4.0700000000000047</v>
      </c>
      <c r="T15">
        <v>4.0700000000000047</v>
      </c>
      <c r="U15">
        <v>4.0700000000000047</v>
      </c>
    </row>
    <row r="16" spans="1:21">
      <c r="A16" s="11" t="s">
        <v>21</v>
      </c>
      <c r="B16">
        <v>5.9140000000000104</v>
      </c>
      <c r="C16">
        <v>5.9140000000000104</v>
      </c>
      <c r="D16">
        <v>5.9140000000000104</v>
      </c>
      <c r="E16">
        <v>5.9140000000000104</v>
      </c>
      <c r="F16">
        <v>5.9140000000000104</v>
      </c>
      <c r="G16">
        <v>5.9140000000000104</v>
      </c>
      <c r="H16">
        <v>5.9140000000000104</v>
      </c>
      <c r="I16">
        <v>0.34199999999998454</v>
      </c>
      <c r="J16">
        <v>0.34199999999998454</v>
      </c>
      <c r="K16">
        <v>0.34199999999998454</v>
      </c>
      <c r="L16">
        <v>0.34199999999998454</v>
      </c>
      <c r="M16">
        <v>0.34199999999998454</v>
      </c>
      <c r="N16">
        <v>6.9240000000000013</v>
      </c>
      <c r="O16">
        <v>6.9240000000000013</v>
      </c>
      <c r="P16">
        <v>6.9240000000000013</v>
      </c>
      <c r="Q16">
        <v>6.9240000000000013</v>
      </c>
      <c r="R16">
        <v>6.9240000000000013</v>
      </c>
      <c r="S16">
        <v>6.9240000000000013</v>
      </c>
      <c r="T16">
        <v>6.9240000000000013</v>
      </c>
      <c r="U16">
        <v>6.9240000000000013</v>
      </c>
    </row>
    <row r="17" spans="1:21">
      <c r="A17" s="11" t="s">
        <v>22</v>
      </c>
      <c r="B17">
        <v>8.3220000000000027</v>
      </c>
      <c r="C17">
        <v>8.3220000000000027</v>
      </c>
      <c r="D17">
        <v>8.3220000000000027</v>
      </c>
      <c r="E17">
        <v>8.3220000000000027</v>
      </c>
      <c r="F17">
        <v>8.3220000000000027</v>
      </c>
      <c r="G17">
        <v>8.3220000000000027</v>
      </c>
      <c r="H17">
        <v>8.3220000000000027</v>
      </c>
      <c r="I17">
        <v>8.4480000000000022</v>
      </c>
      <c r="J17">
        <v>8.4480000000000022</v>
      </c>
      <c r="K17">
        <v>8.4480000000000022</v>
      </c>
      <c r="L17">
        <v>8.4480000000000022</v>
      </c>
      <c r="M17">
        <v>8.4480000000000022</v>
      </c>
      <c r="N17">
        <v>5.6359999999999904</v>
      </c>
      <c r="O17">
        <v>5.6359999999999904</v>
      </c>
      <c r="P17">
        <v>5.6359999999999904</v>
      </c>
      <c r="Q17">
        <v>5.6359999999999904</v>
      </c>
      <c r="R17">
        <v>5.6359999999999904</v>
      </c>
      <c r="S17">
        <v>5.6359999999999904</v>
      </c>
      <c r="T17">
        <v>5.6359999999999904</v>
      </c>
      <c r="U17">
        <v>5.6359999999999904</v>
      </c>
    </row>
    <row r="18" spans="1:21">
      <c r="A18" s="11" t="s">
        <v>23</v>
      </c>
      <c r="B18">
        <v>2.6239999999999952</v>
      </c>
      <c r="C18">
        <v>2.6239999999999952</v>
      </c>
      <c r="D18">
        <v>2.6239999999999952</v>
      </c>
      <c r="E18">
        <v>2.6239999999999952</v>
      </c>
      <c r="F18">
        <v>2.6239999999999952</v>
      </c>
      <c r="G18">
        <v>2.6239999999999952</v>
      </c>
      <c r="H18">
        <v>2.6239999999999952</v>
      </c>
      <c r="I18">
        <v>9.964000000000004</v>
      </c>
      <c r="J18">
        <v>9.964000000000004</v>
      </c>
      <c r="K18">
        <v>9.964000000000004</v>
      </c>
      <c r="L18">
        <v>9.964000000000004</v>
      </c>
      <c r="M18">
        <v>9.964000000000004</v>
      </c>
      <c r="N18">
        <v>2.799999999999727E-2</v>
      </c>
      <c r="O18">
        <v>2.799999999999727E-2</v>
      </c>
      <c r="P18">
        <v>2.799999999999727E-2</v>
      </c>
      <c r="Q18">
        <v>2.799999999999727E-2</v>
      </c>
      <c r="R18">
        <v>2.799999999999727E-2</v>
      </c>
      <c r="S18">
        <v>2.799999999999727E-2</v>
      </c>
      <c r="T18">
        <v>2.799999999999727E-2</v>
      </c>
      <c r="U18">
        <v>2.799999999999727E-2</v>
      </c>
    </row>
    <row r="19" spans="1:21">
      <c r="A19" s="11"/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</row>
    <row r="20" spans="1:21">
      <c r="A20" s="11" t="s">
        <v>24</v>
      </c>
      <c r="B20">
        <v>12.258000000000004</v>
      </c>
      <c r="C20">
        <v>12.258000000000004</v>
      </c>
      <c r="D20">
        <v>12.258000000000004</v>
      </c>
      <c r="E20">
        <v>12.258000000000004</v>
      </c>
      <c r="F20">
        <v>12.258000000000004</v>
      </c>
      <c r="G20">
        <v>12.258000000000004</v>
      </c>
      <c r="H20">
        <v>12.258000000000004</v>
      </c>
      <c r="I20">
        <v>13.257999999999992</v>
      </c>
      <c r="J20">
        <v>13.257999999999992</v>
      </c>
      <c r="K20">
        <v>13.257999999999992</v>
      </c>
      <c r="L20">
        <v>13.257999999999992</v>
      </c>
      <c r="M20">
        <v>13.257999999999992</v>
      </c>
      <c r="N20">
        <v>4.496000000000004</v>
      </c>
      <c r="O20">
        <v>4.496000000000004</v>
      </c>
      <c r="P20">
        <v>4.496000000000004</v>
      </c>
      <c r="Q20">
        <v>4.496000000000004</v>
      </c>
      <c r="R20">
        <v>4.496000000000004</v>
      </c>
      <c r="S20">
        <v>4.496000000000004</v>
      </c>
      <c r="T20">
        <v>4.496000000000004</v>
      </c>
      <c r="U20">
        <v>4.496000000000004</v>
      </c>
    </row>
    <row r="21" spans="1:21">
      <c r="A21" s="11" t="s">
        <v>25</v>
      </c>
      <c r="B21">
        <v>2.9420000000000073</v>
      </c>
      <c r="C21">
        <v>2.9420000000000073</v>
      </c>
      <c r="D21">
        <v>2.9420000000000073</v>
      </c>
      <c r="E21">
        <v>2.9420000000000073</v>
      </c>
      <c r="F21">
        <v>2.9420000000000073</v>
      </c>
      <c r="G21">
        <v>2.9420000000000073</v>
      </c>
      <c r="H21">
        <v>2.9420000000000073</v>
      </c>
      <c r="I21">
        <v>16.254000000000008</v>
      </c>
      <c r="J21">
        <v>16.254000000000008</v>
      </c>
      <c r="K21">
        <v>16.254000000000008</v>
      </c>
      <c r="L21">
        <v>16.254000000000008</v>
      </c>
      <c r="M21">
        <v>16.254000000000008</v>
      </c>
      <c r="N21">
        <v>27.007999999999992</v>
      </c>
      <c r="O21">
        <v>27.007999999999992</v>
      </c>
      <c r="P21">
        <v>27.007999999999992</v>
      </c>
      <c r="Q21">
        <v>27.007999999999992</v>
      </c>
      <c r="R21">
        <v>27.007999999999992</v>
      </c>
      <c r="S21">
        <v>27.007999999999992</v>
      </c>
      <c r="T21">
        <v>27.007999999999992</v>
      </c>
      <c r="U21">
        <v>27.007999999999992</v>
      </c>
    </row>
    <row r="22" spans="1:21">
      <c r="A22" s="11" t="s">
        <v>26</v>
      </c>
      <c r="B22">
        <v>7.3639999999999874</v>
      </c>
      <c r="C22">
        <v>7.3639999999999874</v>
      </c>
      <c r="D22">
        <v>7.3639999999999874</v>
      </c>
      <c r="E22">
        <v>7.3639999999999874</v>
      </c>
      <c r="F22">
        <v>7.3639999999999874</v>
      </c>
      <c r="G22">
        <v>7.3639999999999874</v>
      </c>
      <c r="H22">
        <v>7.3639999999999874</v>
      </c>
      <c r="I22">
        <v>17.475999999999999</v>
      </c>
      <c r="J22">
        <v>17.475999999999999</v>
      </c>
      <c r="K22">
        <v>17.475999999999999</v>
      </c>
      <c r="L22">
        <v>17.475999999999999</v>
      </c>
      <c r="M22">
        <v>17.475999999999999</v>
      </c>
      <c r="N22">
        <v>12.754000000000019</v>
      </c>
      <c r="O22">
        <v>12.754000000000019</v>
      </c>
      <c r="P22">
        <v>12.754000000000019</v>
      </c>
      <c r="Q22">
        <v>12.754000000000019</v>
      </c>
      <c r="R22">
        <v>12.754000000000019</v>
      </c>
      <c r="S22">
        <v>12.754000000000019</v>
      </c>
      <c r="T22">
        <v>12.754000000000019</v>
      </c>
      <c r="U22">
        <v>12.754000000000019</v>
      </c>
    </row>
    <row r="23" spans="1:21">
      <c r="A23" s="11" t="s">
        <v>27</v>
      </c>
      <c r="B23">
        <v>2.3960000000000035</v>
      </c>
      <c r="C23">
        <v>2.3960000000000035</v>
      </c>
      <c r="D23">
        <v>2.3960000000000035</v>
      </c>
      <c r="E23">
        <v>2.3960000000000035</v>
      </c>
      <c r="F23">
        <v>2.3960000000000035</v>
      </c>
      <c r="G23">
        <v>2.3960000000000035</v>
      </c>
      <c r="H23">
        <v>2.3960000000000035</v>
      </c>
      <c r="I23">
        <v>9.3960000000000043</v>
      </c>
      <c r="J23">
        <v>9.3960000000000043</v>
      </c>
      <c r="K23">
        <v>9.3960000000000043</v>
      </c>
      <c r="L23">
        <v>9.3960000000000043</v>
      </c>
      <c r="M23">
        <v>9.3960000000000043</v>
      </c>
      <c r="N23">
        <v>6.4299999999999953</v>
      </c>
      <c r="O23">
        <v>6.4299999999999953</v>
      </c>
      <c r="P23">
        <v>6.4299999999999953</v>
      </c>
      <c r="Q23">
        <v>6.4299999999999953</v>
      </c>
      <c r="R23">
        <v>6.4299999999999953</v>
      </c>
      <c r="S23">
        <v>6.4299999999999953</v>
      </c>
      <c r="T23">
        <v>6.4299999999999953</v>
      </c>
      <c r="U23">
        <v>6.4299999999999953</v>
      </c>
    </row>
    <row r="24" spans="1:21">
      <c r="A24" s="11" t="s">
        <v>28</v>
      </c>
      <c r="B24">
        <v>33.434000000000012</v>
      </c>
      <c r="C24">
        <v>33.434000000000012</v>
      </c>
      <c r="D24">
        <v>33.434000000000012</v>
      </c>
      <c r="E24">
        <v>33.434000000000012</v>
      </c>
      <c r="F24">
        <v>33.434000000000012</v>
      </c>
      <c r="G24">
        <v>33.434000000000012</v>
      </c>
      <c r="H24">
        <v>33.434000000000012</v>
      </c>
      <c r="I24">
        <v>53.733999999999995</v>
      </c>
      <c r="J24">
        <v>53.733999999999995</v>
      </c>
      <c r="K24">
        <v>53.733999999999995</v>
      </c>
      <c r="L24">
        <v>53.733999999999995</v>
      </c>
      <c r="M24">
        <v>53.733999999999995</v>
      </c>
      <c r="N24">
        <v>18.04000000000001</v>
      </c>
      <c r="O24">
        <v>18.04000000000001</v>
      </c>
      <c r="P24">
        <v>18.04000000000001</v>
      </c>
      <c r="Q24">
        <v>18.04000000000001</v>
      </c>
      <c r="R24">
        <v>18.04000000000001</v>
      </c>
      <c r="S24">
        <v>18.04000000000001</v>
      </c>
      <c r="T24">
        <v>18.04000000000001</v>
      </c>
      <c r="U24">
        <v>18.04000000000001</v>
      </c>
    </row>
    <row r="25" spans="1:21">
      <c r="A25" s="11" t="s">
        <v>29</v>
      </c>
      <c r="B25">
        <v>6.3459999999999983</v>
      </c>
      <c r="C25">
        <v>6.3459999999999983</v>
      </c>
      <c r="D25">
        <v>6.3459999999999983</v>
      </c>
      <c r="E25">
        <v>6.3459999999999983</v>
      </c>
      <c r="F25">
        <v>6.3459999999999983</v>
      </c>
      <c r="G25">
        <v>6.3459999999999983</v>
      </c>
      <c r="H25">
        <v>6.3459999999999983</v>
      </c>
      <c r="I25">
        <v>1.9199999999999988</v>
      </c>
      <c r="J25">
        <v>1.9199999999999988</v>
      </c>
      <c r="K25">
        <v>1.9199999999999988</v>
      </c>
      <c r="L25">
        <v>1.9199999999999988</v>
      </c>
      <c r="M25">
        <v>1.9199999999999988</v>
      </c>
      <c r="N25">
        <v>2.302000000000004</v>
      </c>
      <c r="O25">
        <v>2.302000000000004</v>
      </c>
      <c r="P25">
        <v>2.302000000000004</v>
      </c>
      <c r="Q25">
        <v>2.302000000000004</v>
      </c>
      <c r="R25">
        <v>2.302000000000004</v>
      </c>
      <c r="S25">
        <v>2.302000000000004</v>
      </c>
      <c r="T25">
        <v>2.302000000000004</v>
      </c>
      <c r="U25">
        <v>2.302000000000004</v>
      </c>
    </row>
    <row r="26" spans="1:21">
      <c r="A26" s="11"/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</row>
    <row r="27" spans="1:21">
      <c r="A27" s="11" t="s">
        <v>30</v>
      </c>
      <c r="B27">
        <v>36.636000000000003</v>
      </c>
      <c r="C27">
        <v>36.636000000000003</v>
      </c>
      <c r="D27">
        <v>36.636000000000003</v>
      </c>
      <c r="E27">
        <v>36.636000000000003</v>
      </c>
      <c r="F27">
        <v>36.636000000000003</v>
      </c>
      <c r="G27">
        <v>36.636000000000003</v>
      </c>
      <c r="H27">
        <v>36.636000000000003</v>
      </c>
      <c r="I27">
        <v>20.748000000000001</v>
      </c>
      <c r="J27">
        <v>20.748000000000001</v>
      </c>
      <c r="K27">
        <v>20.748000000000001</v>
      </c>
      <c r="L27">
        <v>20.748000000000001</v>
      </c>
      <c r="M27">
        <v>20.748000000000001</v>
      </c>
      <c r="N27">
        <v>5.9039999999999964</v>
      </c>
      <c r="O27">
        <v>5.9039999999999964</v>
      </c>
      <c r="P27">
        <v>5.9039999999999964</v>
      </c>
      <c r="Q27">
        <v>5.9039999999999964</v>
      </c>
      <c r="R27">
        <v>5.9039999999999964</v>
      </c>
      <c r="S27">
        <v>5.9039999999999964</v>
      </c>
      <c r="T27">
        <v>5.9039999999999964</v>
      </c>
      <c r="U27">
        <v>5.9039999999999964</v>
      </c>
    </row>
    <row r="28" spans="1:21">
      <c r="A28" s="11" t="s">
        <v>31</v>
      </c>
      <c r="B28">
        <v>26.837999999999965</v>
      </c>
      <c r="C28">
        <v>26.837999999999965</v>
      </c>
      <c r="D28">
        <v>26.837999999999965</v>
      </c>
      <c r="E28">
        <v>26.837999999999965</v>
      </c>
      <c r="F28">
        <v>26.837999999999965</v>
      </c>
      <c r="G28">
        <v>26.837999999999965</v>
      </c>
      <c r="H28">
        <v>26.837999999999965</v>
      </c>
      <c r="I28">
        <v>39.036000000000016</v>
      </c>
      <c r="J28">
        <v>39.036000000000016</v>
      </c>
      <c r="K28">
        <v>39.036000000000016</v>
      </c>
      <c r="L28">
        <v>39.036000000000016</v>
      </c>
      <c r="M28">
        <v>39.036000000000016</v>
      </c>
      <c r="N28">
        <v>8.8440000000000047</v>
      </c>
      <c r="O28">
        <v>8.8440000000000047</v>
      </c>
      <c r="P28">
        <v>8.8440000000000047</v>
      </c>
      <c r="Q28">
        <v>8.8440000000000047</v>
      </c>
      <c r="R28">
        <v>8.8440000000000047</v>
      </c>
      <c r="S28">
        <v>8.8440000000000047</v>
      </c>
      <c r="T28">
        <v>8.8440000000000047</v>
      </c>
      <c r="U28">
        <v>8.8440000000000047</v>
      </c>
    </row>
    <row r="29" spans="1:21">
      <c r="A29" s="11" t="s">
        <v>32</v>
      </c>
      <c r="B29">
        <v>10.632000000000005</v>
      </c>
      <c r="C29">
        <v>10.632000000000005</v>
      </c>
      <c r="D29">
        <v>10.632000000000005</v>
      </c>
      <c r="E29">
        <v>10.632000000000005</v>
      </c>
      <c r="F29">
        <v>10.632000000000005</v>
      </c>
      <c r="G29">
        <v>10.632000000000005</v>
      </c>
      <c r="H29">
        <v>10.632000000000005</v>
      </c>
      <c r="I29">
        <v>27.289999999999985</v>
      </c>
      <c r="J29">
        <v>27.289999999999985</v>
      </c>
      <c r="K29">
        <v>27.289999999999985</v>
      </c>
      <c r="L29">
        <v>27.289999999999985</v>
      </c>
      <c r="M29">
        <v>27.289999999999985</v>
      </c>
      <c r="N29">
        <v>19.286000000000012</v>
      </c>
      <c r="O29">
        <v>19.286000000000012</v>
      </c>
      <c r="P29">
        <v>19.286000000000012</v>
      </c>
      <c r="Q29">
        <v>19.286000000000012</v>
      </c>
      <c r="R29">
        <v>19.286000000000012</v>
      </c>
      <c r="S29">
        <v>19.286000000000012</v>
      </c>
      <c r="T29">
        <v>19.286000000000012</v>
      </c>
      <c r="U29">
        <v>19.286000000000012</v>
      </c>
    </row>
    <row r="30" spans="1:21">
      <c r="A30" s="11" t="s">
        <v>33</v>
      </c>
      <c r="B30">
        <v>54.542000000000009</v>
      </c>
      <c r="C30">
        <v>54.542000000000009</v>
      </c>
      <c r="D30">
        <v>54.542000000000009</v>
      </c>
      <c r="E30">
        <v>54.542000000000009</v>
      </c>
      <c r="F30">
        <v>54.542000000000009</v>
      </c>
      <c r="G30">
        <v>54.542000000000009</v>
      </c>
      <c r="H30">
        <v>54.542000000000009</v>
      </c>
      <c r="I30">
        <v>51.540000000000006</v>
      </c>
      <c r="J30">
        <v>51.540000000000006</v>
      </c>
      <c r="K30">
        <v>51.540000000000006</v>
      </c>
      <c r="L30">
        <v>51.540000000000006</v>
      </c>
      <c r="M30">
        <v>51.540000000000006</v>
      </c>
      <c r="N30">
        <v>19.292000000000009</v>
      </c>
      <c r="O30">
        <v>19.292000000000009</v>
      </c>
      <c r="P30">
        <v>19.292000000000009</v>
      </c>
      <c r="Q30">
        <v>19.292000000000009</v>
      </c>
      <c r="R30">
        <v>19.292000000000009</v>
      </c>
      <c r="S30">
        <v>19.292000000000009</v>
      </c>
      <c r="T30">
        <v>19.292000000000009</v>
      </c>
      <c r="U30">
        <v>19.292000000000009</v>
      </c>
    </row>
    <row r="31" spans="1:21">
      <c r="A31" s="11" t="s">
        <v>34</v>
      </c>
      <c r="B31">
        <v>196.29199999999997</v>
      </c>
      <c r="C31">
        <v>196.29199999999997</v>
      </c>
      <c r="D31">
        <v>196.29199999999997</v>
      </c>
      <c r="E31">
        <v>196.29199999999997</v>
      </c>
      <c r="F31">
        <v>196.29199999999997</v>
      </c>
      <c r="G31">
        <v>196.29199999999997</v>
      </c>
      <c r="H31">
        <v>196.29199999999997</v>
      </c>
      <c r="I31">
        <v>14.608000000000038</v>
      </c>
      <c r="J31">
        <v>14.608000000000038</v>
      </c>
      <c r="K31">
        <v>14.608000000000038</v>
      </c>
      <c r="L31">
        <v>14.608000000000038</v>
      </c>
      <c r="M31">
        <v>14.608000000000038</v>
      </c>
      <c r="N31">
        <v>1.7819999999999709</v>
      </c>
      <c r="O31">
        <v>1.7819999999999709</v>
      </c>
      <c r="P31">
        <v>1.7819999999999709</v>
      </c>
      <c r="Q31">
        <v>1.7819999999999709</v>
      </c>
      <c r="R31">
        <v>1.7819999999999709</v>
      </c>
      <c r="S31">
        <v>1.7819999999999709</v>
      </c>
      <c r="T31">
        <v>1.7819999999999709</v>
      </c>
      <c r="U31">
        <v>1.7819999999999709</v>
      </c>
    </row>
    <row r="32" spans="1:21">
      <c r="A32" s="11"/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</row>
    <row r="33" spans="1:21">
      <c r="A33" s="11" t="s">
        <v>35</v>
      </c>
      <c r="B33">
        <v>15.672000000000002</v>
      </c>
      <c r="C33">
        <v>15.672000000000002</v>
      </c>
      <c r="D33">
        <v>15.672000000000002</v>
      </c>
      <c r="E33">
        <v>15.672000000000002</v>
      </c>
      <c r="F33">
        <v>15.672000000000002</v>
      </c>
      <c r="G33">
        <v>15.672000000000002</v>
      </c>
      <c r="H33">
        <v>15.672000000000002</v>
      </c>
      <c r="I33">
        <v>19.43399999999999</v>
      </c>
      <c r="J33">
        <v>19.43399999999999</v>
      </c>
      <c r="K33">
        <v>19.43399999999999</v>
      </c>
      <c r="L33">
        <v>19.43399999999999</v>
      </c>
      <c r="M33">
        <v>19.43399999999999</v>
      </c>
      <c r="N33">
        <v>17.136000000000013</v>
      </c>
      <c r="O33">
        <v>17.136000000000013</v>
      </c>
      <c r="P33">
        <v>17.136000000000013</v>
      </c>
      <c r="Q33">
        <v>17.136000000000013</v>
      </c>
      <c r="R33">
        <v>17.136000000000013</v>
      </c>
      <c r="S33">
        <v>17.136000000000013</v>
      </c>
      <c r="T33">
        <v>17.136000000000013</v>
      </c>
      <c r="U33">
        <v>17.136000000000013</v>
      </c>
    </row>
    <row r="34" spans="1:21">
      <c r="A34" s="11" t="s">
        <v>36</v>
      </c>
      <c r="B34">
        <v>16.443999999999999</v>
      </c>
      <c r="C34">
        <v>16.443999999999999</v>
      </c>
      <c r="D34">
        <v>16.443999999999999</v>
      </c>
      <c r="E34">
        <v>16.443999999999999</v>
      </c>
      <c r="F34">
        <v>16.443999999999999</v>
      </c>
      <c r="G34">
        <v>16.443999999999999</v>
      </c>
      <c r="H34">
        <v>16.443999999999999</v>
      </c>
      <c r="I34">
        <v>33.83</v>
      </c>
      <c r="J34">
        <v>33.83</v>
      </c>
      <c r="K34">
        <v>33.83</v>
      </c>
      <c r="L34">
        <v>33.83</v>
      </c>
      <c r="M34">
        <v>33.83</v>
      </c>
      <c r="N34">
        <v>7.7340000000000035</v>
      </c>
      <c r="O34">
        <v>7.7340000000000035</v>
      </c>
      <c r="P34">
        <v>7.7340000000000035</v>
      </c>
      <c r="Q34">
        <v>7.7340000000000035</v>
      </c>
      <c r="R34">
        <v>7.7340000000000035</v>
      </c>
      <c r="S34">
        <v>7.7340000000000035</v>
      </c>
      <c r="T34">
        <v>7.7340000000000035</v>
      </c>
      <c r="U34">
        <v>7.7340000000000035</v>
      </c>
    </row>
    <row r="35" spans="1:21">
      <c r="A35" s="11" t="s">
        <v>37</v>
      </c>
      <c r="B35">
        <v>57.263999999999996</v>
      </c>
      <c r="C35">
        <v>57.263999999999996</v>
      </c>
      <c r="D35">
        <v>57.263999999999996</v>
      </c>
      <c r="E35">
        <v>57.263999999999996</v>
      </c>
      <c r="F35">
        <v>57.263999999999996</v>
      </c>
      <c r="G35">
        <v>57.263999999999996</v>
      </c>
      <c r="H35">
        <v>57.263999999999996</v>
      </c>
      <c r="I35">
        <v>2.4720000000000026</v>
      </c>
      <c r="J35">
        <v>2.4720000000000026</v>
      </c>
      <c r="K35">
        <v>2.4720000000000026</v>
      </c>
      <c r="L35">
        <v>2.4720000000000026</v>
      </c>
      <c r="M35">
        <v>2.4720000000000026</v>
      </c>
      <c r="N35">
        <v>15.365999999999996</v>
      </c>
      <c r="O35">
        <v>15.365999999999996</v>
      </c>
      <c r="P35">
        <v>15.365999999999996</v>
      </c>
      <c r="Q35">
        <v>15.365999999999996</v>
      </c>
      <c r="R35">
        <v>15.365999999999996</v>
      </c>
      <c r="S35">
        <v>15.365999999999996</v>
      </c>
      <c r="T35">
        <v>15.365999999999996</v>
      </c>
      <c r="U35">
        <v>15.365999999999996</v>
      </c>
    </row>
    <row r="36" spans="1:21">
      <c r="A36" s="11" t="s">
        <v>38</v>
      </c>
      <c r="B36">
        <v>5.1440000000000001</v>
      </c>
      <c r="C36">
        <v>5.1440000000000001</v>
      </c>
      <c r="D36">
        <v>5.1440000000000001</v>
      </c>
      <c r="E36">
        <v>5.1440000000000001</v>
      </c>
      <c r="F36">
        <v>5.1440000000000001</v>
      </c>
      <c r="G36">
        <v>5.1440000000000001</v>
      </c>
      <c r="H36">
        <v>5.1440000000000001</v>
      </c>
      <c r="I36">
        <v>2.1480000000000006</v>
      </c>
      <c r="J36">
        <v>2.1480000000000006</v>
      </c>
      <c r="K36">
        <v>2.1480000000000006</v>
      </c>
      <c r="L36">
        <v>2.1480000000000006</v>
      </c>
      <c r="M36">
        <v>2.1480000000000006</v>
      </c>
      <c r="N36">
        <v>2.1399999999999992</v>
      </c>
      <c r="O36">
        <v>2.1399999999999992</v>
      </c>
      <c r="P36">
        <v>2.1399999999999992</v>
      </c>
      <c r="Q36">
        <v>2.1399999999999992</v>
      </c>
      <c r="R36">
        <v>2.1399999999999992</v>
      </c>
      <c r="S36">
        <v>2.1399999999999992</v>
      </c>
      <c r="T36">
        <v>2.1399999999999992</v>
      </c>
      <c r="U36">
        <v>2.1399999999999992</v>
      </c>
    </row>
    <row r="37" spans="1:21">
      <c r="A37" s="11" t="s">
        <v>39</v>
      </c>
      <c r="B37">
        <v>61.14</v>
      </c>
      <c r="C37">
        <v>61.14</v>
      </c>
      <c r="D37">
        <v>61.14</v>
      </c>
      <c r="E37">
        <v>61.14</v>
      </c>
      <c r="F37">
        <v>61.14</v>
      </c>
      <c r="G37">
        <v>61.14</v>
      </c>
      <c r="H37">
        <v>61.14</v>
      </c>
      <c r="I37">
        <v>35.515999999999998</v>
      </c>
      <c r="J37">
        <v>35.515999999999998</v>
      </c>
      <c r="K37">
        <v>35.515999999999998</v>
      </c>
      <c r="L37">
        <v>35.515999999999998</v>
      </c>
      <c r="M37">
        <v>35.515999999999998</v>
      </c>
      <c r="N37">
        <v>7.3200000000000047</v>
      </c>
      <c r="O37">
        <v>7.3200000000000047</v>
      </c>
      <c r="P37">
        <v>7.3200000000000047</v>
      </c>
      <c r="Q37">
        <v>7.3200000000000047</v>
      </c>
      <c r="R37">
        <v>7.3200000000000047</v>
      </c>
      <c r="S37">
        <v>7.3200000000000047</v>
      </c>
      <c r="T37">
        <v>7.3200000000000047</v>
      </c>
      <c r="U37">
        <v>7.3200000000000047</v>
      </c>
    </row>
    <row r="38" spans="1:21">
      <c r="A38" s="10"/>
    </row>
  </sheetData>
  <phoneticPr fontId="6" type="noConversion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C4791-79E2-624C-89C9-3E5D35F723DF}">
  <dimension ref="A1:U40"/>
  <sheetViews>
    <sheetView workbookViewId="0">
      <selection sqref="A1:A1048576"/>
    </sheetView>
  </sheetViews>
  <sheetFormatPr baseColWidth="10" defaultRowHeight="16"/>
  <cols>
    <col min="1" max="1" width="19" customWidth="1"/>
  </cols>
  <sheetData>
    <row r="1" spans="1:21" ht="17">
      <c r="A1" s="23" t="s">
        <v>45</v>
      </c>
      <c r="B1" s="23">
        <v>1997</v>
      </c>
      <c r="C1" s="23">
        <v>1998</v>
      </c>
      <c r="D1" s="23">
        <v>1999</v>
      </c>
      <c r="E1" s="23">
        <v>2000</v>
      </c>
      <c r="F1" s="23">
        <v>2001</v>
      </c>
      <c r="G1" s="23">
        <v>2002</v>
      </c>
      <c r="H1" s="23">
        <v>2003</v>
      </c>
      <c r="I1" s="23">
        <v>2004</v>
      </c>
      <c r="J1" s="23">
        <v>2005</v>
      </c>
      <c r="K1" s="23">
        <v>2006</v>
      </c>
      <c r="L1" s="23">
        <v>2007</v>
      </c>
      <c r="M1" s="23">
        <v>2008</v>
      </c>
      <c r="N1" s="23">
        <v>2009</v>
      </c>
      <c r="O1" s="23">
        <v>2010</v>
      </c>
      <c r="P1" s="23">
        <v>2011</v>
      </c>
      <c r="Q1" s="23">
        <v>2012</v>
      </c>
      <c r="R1" s="23">
        <v>2013</v>
      </c>
      <c r="S1" s="23">
        <v>2014</v>
      </c>
      <c r="T1" s="23">
        <v>2015</v>
      </c>
      <c r="U1" s="23">
        <v>2016</v>
      </c>
    </row>
    <row r="2" spans="1:21">
      <c r="A2" s="16" t="s">
        <v>9</v>
      </c>
      <c r="B2" s="1">
        <v>0.13740999999999995</v>
      </c>
      <c r="C2" s="1">
        <v>0.13740999999999995</v>
      </c>
      <c r="D2" s="1">
        <v>0.13740999999999995</v>
      </c>
      <c r="E2" s="1">
        <v>0.13740999999999995</v>
      </c>
      <c r="F2" s="1">
        <v>0.13740999999999995</v>
      </c>
      <c r="G2" s="1">
        <v>0.13740999999999995</v>
      </c>
      <c r="H2" s="1">
        <v>0.13740999999999995</v>
      </c>
      <c r="I2" s="1">
        <v>0.13740999999999995</v>
      </c>
      <c r="J2" s="1">
        <v>0.13740999999999995</v>
      </c>
      <c r="K2" s="1">
        <v>0.13740999999999995</v>
      </c>
      <c r="L2" s="1">
        <v>0.13740999999999995</v>
      </c>
      <c r="M2" s="1">
        <v>0.13740999999999995</v>
      </c>
      <c r="N2" s="1">
        <v>0.13740999999999995</v>
      </c>
      <c r="O2" s="1">
        <v>0.13740999999999995</v>
      </c>
      <c r="P2" s="1">
        <v>0.13740999999999995</v>
      </c>
      <c r="Q2" s="1">
        <v>0.13740999999999995</v>
      </c>
      <c r="R2" s="1">
        <v>0.13740999999999995</v>
      </c>
      <c r="S2" s="1">
        <v>0.13740999999999995</v>
      </c>
      <c r="T2" s="1">
        <v>0.13740999999999995</v>
      </c>
      <c r="U2" s="1">
        <v>0.13740999999999995</v>
      </c>
    </row>
    <row r="3" spans="1:21">
      <c r="A3" s="11" t="s">
        <v>10</v>
      </c>
      <c r="B3" s="1">
        <v>1.2381999999999997</v>
      </c>
      <c r="C3" s="1">
        <v>1.2381999999999997</v>
      </c>
      <c r="D3" s="1">
        <v>1.2381999999999997</v>
      </c>
      <c r="E3" s="1">
        <v>1.2381999999999997</v>
      </c>
      <c r="F3" s="1">
        <v>1.2381999999999997</v>
      </c>
      <c r="G3" s="1">
        <v>1.2381999999999997</v>
      </c>
      <c r="H3" s="1">
        <v>1.2381999999999997</v>
      </c>
      <c r="I3" s="1">
        <v>1.2381999999999997</v>
      </c>
      <c r="J3" s="1">
        <v>1.2381999999999997</v>
      </c>
      <c r="K3" s="1">
        <v>1.2381999999999997</v>
      </c>
      <c r="L3" s="1">
        <v>1.2381999999999997</v>
      </c>
      <c r="M3" s="1">
        <v>1.2381999999999997</v>
      </c>
      <c r="N3" s="1">
        <v>1.2381999999999997</v>
      </c>
      <c r="O3" s="1">
        <v>1.2381999999999997</v>
      </c>
      <c r="P3" s="1">
        <v>1.2381999999999997</v>
      </c>
      <c r="Q3" s="1">
        <v>1.2381999999999997</v>
      </c>
      <c r="R3" s="1">
        <v>1.2381999999999997</v>
      </c>
      <c r="S3" s="1">
        <v>1.2381999999999997</v>
      </c>
      <c r="T3" s="1">
        <v>1.2381999999999997</v>
      </c>
      <c r="U3" s="1">
        <v>1.2381999999999997</v>
      </c>
    </row>
    <row r="4" spans="1:21">
      <c r="A4" s="11" t="s">
        <v>11</v>
      </c>
      <c r="B4" s="1">
        <v>-1.4003900000000002</v>
      </c>
      <c r="C4" s="1">
        <v>-1.4003900000000002</v>
      </c>
      <c r="D4" s="1">
        <v>-1.4003900000000002</v>
      </c>
      <c r="E4" s="1">
        <v>-1.4003900000000002</v>
      </c>
      <c r="F4" s="1">
        <v>-1.4003900000000002</v>
      </c>
      <c r="G4" s="1">
        <v>-1.4003900000000002</v>
      </c>
      <c r="H4" s="1">
        <v>-1.4003900000000002</v>
      </c>
      <c r="I4" s="1">
        <v>-1.4003900000000002</v>
      </c>
      <c r="J4" s="1">
        <v>-1.4003900000000002</v>
      </c>
      <c r="K4" s="1">
        <v>-1.4003900000000002</v>
      </c>
      <c r="L4" s="1">
        <v>-1.4003900000000002</v>
      </c>
      <c r="M4" s="1">
        <v>-1.4003900000000002</v>
      </c>
      <c r="N4" s="1">
        <v>-1.4003900000000002</v>
      </c>
      <c r="O4" s="1">
        <v>-1.4003900000000002</v>
      </c>
      <c r="P4" s="1">
        <v>-1.4003900000000002</v>
      </c>
      <c r="Q4" s="1">
        <v>-1.4003900000000002</v>
      </c>
      <c r="R4" s="1">
        <v>-1.4003900000000002</v>
      </c>
      <c r="S4" s="1">
        <v>-1.4003900000000002</v>
      </c>
      <c r="T4" s="1">
        <v>-1.4003900000000002</v>
      </c>
      <c r="U4" s="1">
        <v>-1.4003900000000002</v>
      </c>
    </row>
    <row r="5" spans="1:21">
      <c r="A5" s="11" t="s">
        <v>12</v>
      </c>
      <c r="B5" s="1">
        <v>-3.4800000000000004</v>
      </c>
      <c r="C5" s="1">
        <v>-3.4800000000000004</v>
      </c>
      <c r="D5" s="1">
        <v>-3.4800000000000004</v>
      </c>
      <c r="E5" s="1">
        <v>-3.4800000000000004</v>
      </c>
      <c r="F5" s="1">
        <v>-3.4800000000000004</v>
      </c>
      <c r="G5" s="1">
        <v>-3.4800000000000004</v>
      </c>
      <c r="H5" s="1">
        <v>-3.4800000000000004</v>
      </c>
      <c r="I5" s="1">
        <v>-3.4800000000000004</v>
      </c>
      <c r="J5" s="1">
        <v>-3.4800000000000004</v>
      </c>
      <c r="K5" s="1">
        <v>-3.4800000000000004</v>
      </c>
      <c r="L5" s="1">
        <v>-3.4800000000000004</v>
      </c>
      <c r="M5" s="1">
        <v>-3.4800000000000004</v>
      </c>
      <c r="N5" s="1">
        <v>-3.4800000000000004</v>
      </c>
      <c r="O5" s="1">
        <v>-3.4800000000000004</v>
      </c>
      <c r="P5" s="1">
        <v>-3.4800000000000004</v>
      </c>
      <c r="Q5" s="1">
        <v>-3.4800000000000004</v>
      </c>
      <c r="R5" s="1">
        <v>-3.4800000000000004</v>
      </c>
      <c r="S5" s="1">
        <v>-3.4800000000000004</v>
      </c>
      <c r="T5" s="1">
        <v>-3.4800000000000004</v>
      </c>
      <c r="U5" s="1">
        <v>-3.4800000000000004</v>
      </c>
    </row>
    <row r="6" spans="1:21">
      <c r="A6" s="11" t="s">
        <v>13</v>
      </c>
      <c r="B6" s="1">
        <v>17.655519999999996</v>
      </c>
      <c r="C6" s="1">
        <v>17.655519999999996</v>
      </c>
      <c r="D6" s="1">
        <v>17.655519999999996</v>
      </c>
      <c r="E6" s="1">
        <v>17.655519999999996</v>
      </c>
      <c r="F6" s="1">
        <v>17.655519999999996</v>
      </c>
      <c r="G6" s="1">
        <v>17.655519999999996</v>
      </c>
      <c r="H6" s="1">
        <v>17.655519999999996</v>
      </c>
      <c r="I6" s="1">
        <v>17.655519999999996</v>
      </c>
      <c r="J6" s="1">
        <v>17.655519999999996</v>
      </c>
      <c r="K6" s="1">
        <v>17.655519999999996</v>
      </c>
      <c r="L6" s="1">
        <v>17.655519999999996</v>
      </c>
      <c r="M6" s="1">
        <v>17.655519999999996</v>
      </c>
      <c r="N6" s="1">
        <v>17.655519999999996</v>
      </c>
      <c r="O6" s="1">
        <v>17.655519999999996</v>
      </c>
      <c r="P6" s="1">
        <v>17.655519999999996</v>
      </c>
      <c r="Q6" s="1">
        <v>17.655519999999996</v>
      </c>
      <c r="R6" s="1">
        <v>17.655519999999996</v>
      </c>
      <c r="S6" s="1">
        <v>17.655519999999996</v>
      </c>
      <c r="T6" s="1">
        <v>17.655519999999996</v>
      </c>
      <c r="U6" s="1">
        <v>17.655519999999996</v>
      </c>
    </row>
    <row r="7" spans="1:21">
      <c r="A7" s="1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1:21">
      <c r="A8" s="11" t="s">
        <v>14</v>
      </c>
      <c r="B8" s="1">
        <v>1.7518499999999988</v>
      </c>
      <c r="C8" s="1">
        <v>1.7518499999999988</v>
      </c>
      <c r="D8" s="1">
        <v>1.7518499999999988</v>
      </c>
      <c r="E8" s="1">
        <v>1.7518499999999988</v>
      </c>
      <c r="F8" s="1">
        <v>1.7518499999999988</v>
      </c>
      <c r="G8" s="1">
        <v>1.7518499999999988</v>
      </c>
      <c r="H8" s="1">
        <v>1.7518499999999988</v>
      </c>
      <c r="I8" s="1">
        <v>1.7518499999999988</v>
      </c>
      <c r="J8" s="1">
        <v>1.7518499999999988</v>
      </c>
      <c r="K8" s="1">
        <v>1.7518499999999988</v>
      </c>
      <c r="L8" s="1">
        <v>1.7518499999999988</v>
      </c>
      <c r="M8" s="1">
        <v>1.7518499999999988</v>
      </c>
      <c r="N8" s="1">
        <v>1.7518499999999988</v>
      </c>
      <c r="O8" s="1">
        <v>1.7518499999999988</v>
      </c>
      <c r="P8" s="1">
        <v>1.7518499999999988</v>
      </c>
      <c r="Q8" s="1">
        <v>1.7518499999999988</v>
      </c>
      <c r="R8" s="1">
        <v>1.7518499999999988</v>
      </c>
      <c r="S8" s="1">
        <v>1.7518499999999988</v>
      </c>
      <c r="T8" s="1">
        <v>1.7518499999999988</v>
      </c>
      <c r="U8" s="1">
        <v>1.7518499999999988</v>
      </c>
    </row>
    <row r="9" spans="1:21">
      <c r="A9" s="11" t="s">
        <v>15</v>
      </c>
      <c r="B9" s="1">
        <v>-2.06656</v>
      </c>
      <c r="C9" s="1">
        <v>-2.06656</v>
      </c>
      <c r="D9" s="1">
        <v>-2.06656</v>
      </c>
      <c r="E9" s="1">
        <v>-2.06656</v>
      </c>
      <c r="F9" s="1">
        <v>-2.06656</v>
      </c>
      <c r="G9" s="1">
        <v>-2.06656</v>
      </c>
      <c r="H9" s="1">
        <v>-2.06656</v>
      </c>
      <c r="I9" s="1">
        <v>-2.06656</v>
      </c>
      <c r="J9" s="1">
        <v>-2.06656</v>
      </c>
      <c r="K9" s="1">
        <v>-2.06656</v>
      </c>
      <c r="L9" s="1">
        <v>-2.06656</v>
      </c>
      <c r="M9" s="1">
        <v>-2.06656</v>
      </c>
      <c r="N9" s="1">
        <v>-2.06656</v>
      </c>
      <c r="O9" s="1">
        <v>-2.06656</v>
      </c>
      <c r="P9" s="1">
        <v>-2.06656</v>
      </c>
      <c r="Q9" s="1">
        <v>-2.06656</v>
      </c>
      <c r="R9" s="1">
        <v>-2.06656</v>
      </c>
      <c r="S9" s="1">
        <v>-2.06656</v>
      </c>
      <c r="T9" s="1">
        <v>-2.06656</v>
      </c>
      <c r="U9" s="1">
        <v>-2.06656</v>
      </c>
    </row>
    <row r="10" spans="1:21">
      <c r="A10" s="11" t="s">
        <v>16</v>
      </c>
      <c r="B10" s="1">
        <v>8.2846500000000045</v>
      </c>
      <c r="C10" s="1">
        <v>8.2846500000000045</v>
      </c>
      <c r="D10" s="1">
        <v>8.2846500000000045</v>
      </c>
      <c r="E10" s="1">
        <v>8.2846500000000045</v>
      </c>
      <c r="F10" s="1">
        <v>8.2846500000000045</v>
      </c>
      <c r="G10" s="1">
        <v>8.2846500000000045</v>
      </c>
      <c r="H10" s="1">
        <v>8.2846500000000045</v>
      </c>
      <c r="I10" s="1">
        <v>8.2846500000000045</v>
      </c>
      <c r="J10" s="1">
        <v>8.2846500000000045</v>
      </c>
      <c r="K10" s="1">
        <v>8.2846500000000045</v>
      </c>
      <c r="L10" s="1">
        <v>8.2846500000000045</v>
      </c>
      <c r="M10" s="1">
        <v>8.2846500000000045</v>
      </c>
      <c r="N10" s="1">
        <v>8.2846500000000045</v>
      </c>
      <c r="O10" s="1">
        <v>8.2846500000000045</v>
      </c>
      <c r="P10" s="1">
        <v>8.2846500000000045</v>
      </c>
      <c r="Q10" s="1">
        <v>8.2846500000000045</v>
      </c>
      <c r="R10" s="1">
        <v>8.2846500000000045</v>
      </c>
      <c r="S10" s="1">
        <v>8.2846500000000045</v>
      </c>
      <c r="T10" s="1">
        <v>8.2846500000000045</v>
      </c>
      <c r="U10" s="1">
        <v>8.2846500000000045</v>
      </c>
    </row>
    <row r="11" spans="1:21">
      <c r="A11" s="1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 spans="1:21">
      <c r="A12" s="11" t="s">
        <v>17</v>
      </c>
      <c r="B12" s="1">
        <v>1.4488600000000003</v>
      </c>
      <c r="C12" s="1">
        <v>1.4488600000000003</v>
      </c>
      <c r="D12" s="1">
        <v>1.4488600000000003</v>
      </c>
      <c r="E12" s="1">
        <v>1.4488600000000003</v>
      </c>
      <c r="F12" s="1">
        <v>1.4488600000000003</v>
      </c>
      <c r="G12" s="1">
        <v>1.4488600000000003</v>
      </c>
      <c r="H12" s="1">
        <v>1.4488600000000003</v>
      </c>
      <c r="I12" s="1">
        <v>1.4488600000000003</v>
      </c>
      <c r="J12" s="1">
        <v>1.4488600000000003</v>
      </c>
      <c r="K12" s="1">
        <v>1.4488600000000003</v>
      </c>
      <c r="L12" s="1">
        <v>1.4488600000000003</v>
      </c>
      <c r="M12" s="1">
        <v>1.4488600000000003</v>
      </c>
      <c r="N12" s="1">
        <v>1.4488600000000003</v>
      </c>
      <c r="O12" s="1">
        <v>1.4488600000000003</v>
      </c>
      <c r="P12" s="1">
        <v>1.4488600000000003</v>
      </c>
      <c r="Q12" s="1">
        <v>1.4488600000000003</v>
      </c>
      <c r="R12" s="1">
        <v>1.4488600000000003</v>
      </c>
      <c r="S12" s="1">
        <v>1.4488600000000003</v>
      </c>
      <c r="T12" s="1">
        <v>1.4488600000000003</v>
      </c>
      <c r="U12" s="1">
        <v>1.4488600000000003</v>
      </c>
    </row>
    <row r="13" spans="1:21">
      <c r="A13" s="11" t="s">
        <v>18</v>
      </c>
      <c r="B13" s="1">
        <v>11.481299999999996</v>
      </c>
      <c r="C13" s="1">
        <v>11.481299999999996</v>
      </c>
      <c r="D13" s="1">
        <v>11.481299999999996</v>
      </c>
      <c r="E13" s="1">
        <v>11.481299999999996</v>
      </c>
      <c r="F13" s="1">
        <v>11.481299999999996</v>
      </c>
      <c r="G13" s="1">
        <v>11.481299999999996</v>
      </c>
      <c r="H13" s="1">
        <v>11.481299999999996</v>
      </c>
      <c r="I13" s="1">
        <v>11.481299999999996</v>
      </c>
      <c r="J13" s="1">
        <v>11.481299999999996</v>
      </c>
      <c r="K13" s="1">
        <v>11.481299999999996</v>
      </c>
      <c r="L13" s="1">
        <v>11.481299999999996</v>
      </c>
      <c r="M13" s="1">
        <v>11.481299999999996</v>
      </c>
      <c r="N13" s="1">
        <v>11.481299999999996</v>
      </c>
      <c r="O13" s="1">
        <v>11.481299999999996</v>
      </c>
      <c r="P13" s="1">
        <v>11.481299999999996</v>
      </c>
      <c r="Q13" s="1">
        <v>11.481299999999996</v>
      </c>
      <c r="R13" s="1">
        <v>11.481299999999996</v>
      </c>
      <c r="S13" s="1">
        <v>11.481299999999996</v>
      </c>
      <c r="T13" s="1">
        <v>11.481299999999996</v>
      </c>
      <c r="U13" s="1">
        <v>11.481299999999996</v>
      </c>
    </row>
    <row r="14" spans="1:21">
      <c r="A14" s="11" t="s">
        <v>19</v>
      </c>
      <c r="B14" s="1">
        <v>3.0792799999999998</v>
      </c>
      <c r="C14" s="1">
        <v>3.0792799999999998</v>
      </c>
      <c r="D14" s="1">
        <v>3.0792799999999998</v>
      </c>
      <c r="E14" s="1">
        <v>3.0792799999999998</v>
      </c>
      <c r="F14" s="1">
        <v>3.0792799999999998</v>
      </c>
      <c r="G14" s="1">
        <v>3.0792799999999998</v>
      </c>
      <c r="H14" s="1">
        <v>3.0792799999999998</v>
      </c>
      <c r="I14" s="1">
        <v>3.0792799999999998</v>
      </c>
      <c r="J14" s="1">
        <v>3.0792799999999998</v>
      </c>
      <c r="K14" s="1">
        <v>3.0792799999999998</v>
      </c>
      <c r="L14" s="1">
        <v>3.0792799999999998</v>
      </c>
      <c r="M14" s="1">
        <v>3.0792799999999998</v>
      </c>
      <c r="N14" s="1">
        <v>3.0792799999999998</v>
      </c>
      <c r="O14" s="1">
        <v>3.0792799999999998</v>
      </c>
      <c r="P14" s="1">
        <v>3.0792799999999998</v>
      </c>
      <c r="Q14" s="1">
        <v>3.0792799999999998</v>
      </c>
      <c r="R14" s="1">
        <v>3.0792799999999998</v>
      </c>
      <c r="S14" s="1">
        <v>3.0792799999999998</v>
      </c>
      <c r="T14" s="1">
        <v>3.0792799999999998</v>
      </c>
      <c r="U14" s="1">
        <v>3.0792799999999998</v>
      </c>
    </row>
    <row r="15" spans="1:21">
      <c r="A15" s="11" t="s">
        <v>20</v>
      </c>
      <c r="B15" s="1">
        <v>3.8793000000000006</v>
      </c>
      <c r="C15" s="1">
        <v>3.8793000000000006</v>
      </c>
      <c r="D15" s="1">
        <v>3.8793000000000006</v>
      </c>
      <c r="E15" s="1">
        <v>3.8793000000000006</v>
      </c>
      <c r="F15" s="1">
        <v>3.8793000000000006</v>
      </c>
      <c r="G15" s="1">
        <v>3.8793000000000006</v>
      </c>
      <c r="H15" s="1">
        <v>3.8793000000000006</v>
      </c>
      <c r="I15" s="1">
        <v>3.8793000000000006</v>
      </c>
      <c r="J15" s="1">
        <v>3.8793000000000006</v>
      </c>
      <c r="K15" s="1">
        <v>3.8793000000000006</v>
      </c>
      <c r="L15" s="1">
        <v>3.8793000000000006</v>
      </c>
      <c r="M15" s="1">
        <v>3.8793000000000006</v>
      </c>
      <c r="N15" s="1">
        <v>3.8793000000000006</v>
      </c>
      <c r="O15" s="1">
        <v>3.8793000000000006</v>
      </c>
      <c r="P15" s="1">
        <v>3.8793000000000006</v>
      </c>
      <c r="Q15" s="1">
        <v>3.8793000000000006</v>
      </c>
      <c r="R15" s="1">
        <v>3.8793000000000006</v>
      </c>
      <c r="S15" s="1">
        <v>3.8793000000000006</v>
      </c>
      <c r="T15" s="1">
        <v>3.8793000000000006</v>
      </c>
      <c r="U15" s="1">
        <v>3.8793000000000006</v>
      </c>
    </row>
    <row r="16" spans="1:21">
      <c r="A16" s="11" t="s">
        <v>21</v>
      </c>
      <c r="B16" s="1">
        <v>4.2800299999999991</v>
      </c>
      <c r="C16" s="1">
        <v>4.2800299999999991</v>
      </c>
      <c r="D16" s="1">
        <v>4.2800299999999991</v>
      </c>
      <c r="E16" s="1">
        <v>4.2800299999999991</v>
      </c>
      <c r="F16" s="1">
        <v>4.2800299999999991</v>
      </c>
      <c r="G16" s="1">
        <v>4.2800299999999991</v>
      </c>
      <c r="H16" s="1">
        <v>4.2800299999999991</v>
      </c>
      <c r="I16" s="1">
        <v>4.2800299999999991</v>
      </c>
      <c r="J16" s="1">
        <v>4.2800299999999991</v>
      </c>
      <c r="K16" s="1">
        <v>4.2800299999999991</v>
      </c>
      <c r="L16" s="1">
        <v>4.2800299999999991</v>
      </c>
      <c r="M16" s="1">
        <v>4.2800299999999991</v>
      </c>
      <c r="N16" s="1">
        <v>4.2800299999999991</v>
      </c>
      <c r="O16" s="1">
        <v>4.2800299999999991</v>
      </c>
      <c r="P16" s="1">
        <v>4.2800299999999991</v>
      </c>
      <c r="Q16" s="1">
        <v>4.2800299999999991</v>
      </c>
      <c r="R16" s="1">
        <v>4.2800299999999991</v>
      </c>
      <c r="S16" s="1">
        <v>4.2800299999999991</v>
      </c>
      <c r="T16" s="1">
        <v>4.2800299999999991</v>
      </c>
      <c r="U16" s="1">
        <v>4.2800299999999991</v>
      </c>
    </row>
    <row r="17" spans="1:21">
      <c r="A17" s="11" t="s">
        <v>22</v>
      </c>
      <c r="B17" s="1">
        <v>-0.88696999999999948</v>
      </c>
      <c r="C17" s="1">
        <v>-0.88696999999999948</v>
      </c>
      <c r="D17" s="1">
        <v>-0.88696999999999948</v>
      </c>
      <c r="E17" s="1">
        <v>-0.88696999999999948</v>
      </c>
      <c r="F17" s="1">
        <v>-0.88696999999999948</v>
      </c>
      <c r="G17" s="1">
        <v>-0.88696999999999948</v>
      </c>
      <c r="H17" s="1">
        <v>-0.88696999999999948</v>
      </c>
      <c r="I17" s="1">
        <v>-0.88696999999999948</v>
      </c>
      <c r="J17" s="1">
        <v>-0.88696999999999948</v>
      </c>
      <c r="K17" s="1">
        <v>-0.88696999999999948</v>
      </c>
      <c r="L17" s="1">
        <v>-0.88696999999999948</v>
      </c>
      <c r="M17" s="1">
        <v>-0.88696999999999948</v>
      </c>
      <c r="N17" s="1">
        <v>-0.88696999999999948</v>
      </c>
      <c r="O17" s="1">
        <v>-0.88696999999999948</v>
      </c>
      <c r="P17" s="1">
        <v>-0.88696999999999948</v>
      </c>
      <c r="Q17" s="1">
        <v>-0.88696999999999948</v>
      </c>
      <c r="R17" s="1">
        <v>-0.88696999999999948</v>
      </c>
      <c r="S17" s="1">
        <v>-0.88696999999999948</v>
      </c>
      <c r="T17" s="1">
        <v>-0.88696999999999948</v>
      </c>
      <c r="U17" s="1">
        <v>-0.88696999999999948</v>
      </c>
    </row>
    <row r="18" spans="1:21">
      <c r="A18" s="11" t="s">
        <v>23</v>
      </c>
      <c r="B18" s="1">
        <v>-0.46598999999999935</v>
      </c>
      <c r="C18" s="1">
        <v>-0.46598999999999935</v>
      </c>
      <c r="D18" s="1">
        <v>-0.46598999999999935</v>
      </c>
      <c r="E18" s="1">
        <v>-0.46598999999999935</v>
      </c>
      <c r="F18" s="1">
        <v>-0.46598999999999935</v>
      </c>
      <c r="G18" s="1">
        <v>-0.46598999999999935</v>
      </c>
      <c r="H18" s="1">
        <v>-0.46598999999999935</v>
      </c>
      <c r="I18" s="1">
        <v>-0.46598999999999935</v>
      </c>
      <c r="J18" s="1">
        <v>-0.46598999999999935</v>
      </c>
      <c r="K18" s="1">
        <v>-0.46598999999999935</v>
      </c>
      <c r="L18" s="1">
        <v>-0.46598999999999935</v>
      </c>
      <c r="M18" s="1">
        <v>-0.46598999999999935</v>
      </c>
      <c r="N18" s="1">
        <v>-0.46598999999999935</v>
      </c>
      <c r="O18" s="1">
        <v>-0.46598999999999935</v>
      </c>
      <c r="P18" s="1">
        <v>-0.46598999999999935</v>
      </c>
      <c r="Q18" s="1">
        <v>-0.46598999999999935</v>
      </c>
      <c r="R18" s="1">
        <v>-0.46598999999999935</v>
      </c>
      <c r="S18" s="1">
        <v>-0.46598999999999935</v>
      </c>
      <c r="T18" s="1">
        <v>-0.46598999999999935</v>
      </c>
      <c r="U18" s="1">
        <v>-0.46598999999999935</v>
      </c>
    </row>
    <row r="19" spans="1:21">
      <c r="A19" s="1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 spans="1:21">
      <c r="A20" s="11" t="s">
        <v>24</v>
      </c>
      <c r="B20" s="1">
        <v>3.7709999999999869E-2</v>
      </c>
      <c r="C20" s="1">
        <v>3.7709999999999869E-2</v>
      </c>
      <c r="D20" s="1">
        <v>3.7709999999999869E-2</v>
      </c>
      <c r="E20" s="1">
        <v>3.7709999999999869E-2</v>
      </c>
      <c r="F20" s="1">
        <v>3.7709999999999869E-2</v>
      </c>
      <c r="G20" s="1">
        <v>3.7709999999999869E-2</v>
      </c>
      <c r="H20" s="1">
        <v>3.7709999999999869E-2</v>
      </c>
      <c r="I20" s="1">
        <v>3.7709999999999869E-2</v>
      </c>
      <c r="J20" s="1">
        <v>3.7709999999999869E-2</v>
      </c>
      <c r="K20" s="1">
        <v>3.7709999999999869E-2</v>
      </c>
      <c r="L20" s="1">
        <v>3.7709999999999869E-2</v>
      </c>
      <c r="M20" s="1">
        <v>3.7709999999999869E-2</v>
      </c>
      <c r="N20" s="1">
        <v>3.7709999999999869E-2</v>
      </c>
      <c r="O20" s="1">
        <v>3.7709999999999869E-2</v>
      </c>
      <c r="P20" s="1">
        <v>3.7709999999999869E-2</v>
      </c>
      <c r="Q20" s="1">
        <v>3.7709999999999869E-2</v>
      </c>
      <c r="R20" s="1">
        <v>3.7709999999999869E-2</v>
      </c>
      <c r="S20" s="1">
        <v>3.7709999999999869E-2</v>
      </c>
      <c r="T20" s="1">
        <v>3.7709999999999869E-2</v>
      </c>
      <c r="U20" s="1">
        <v>3.7709999999999869E-2</v>
      </c>
    </row>
    <row r="21" spans="1:21">
      <c r="A21" s="11" t="s">
        <v>25</v>
      </c>
      <c r="B21" s="1">
        <v>5.1767099999999999</v>
      </c>
      <c r="C21" s="1">
        <v>5.1767099999999999</v>
      </c>
      <c r="D21" s="1">
        <v>5.1767099999999999</v>
      </c>
      <c r="E21" s="1">
        <v>5.1767099999999999</v>
      </c>
      <c r="F21" s="1">
        <v>5.1767099999999999</v>
      </c>
      <c r="G21" s="1">
        <v>5.1767099999999999</v>
      </c>
      <c r="H21" s="1">
        <v>5.1767099999999999</v>
      </c>
      <c r="I21" s="1">
        <v>5.1767099999999999</v>
      </c>
      <c r="J21" s="1">
        <v>5.1767099999999999</v>
      </c>
      <c r="K21" s="1">
        <v>5.1767099999999999</v>
      </c>
      <c r="L21" s="1">
        <v>5.1767099999999999</v>
      </c>
      <c r="M21" s="1">
        <v>5.1767099999999999</v>
      </c>
      <c r="N21" s="1">
        <v>5.1767099999999999</v>
      </c>
      <c r="O21" s="1">
        <v>5.1767099999999999</v>
      </c>
      <c r="P21" s="1">
        <v>5.1767099999999999</v>
      </c>
      <c r="Q21" s="1">
        <v>5.1767099999999999</v>
      </c>
      <c r="R21" s="1">
        <v>5.1767099999999999</v>
      </c>
      <c r="S21" s="1">
        <v>5.1767099999999999</v>
      </c>
      <c r="T21" s="1">
        <v>5.1767099999999999</v>
      </c>
      <c r="U21" s="1">
        <v>5.1767099999999999</v>
      </c>
    </row>
    <row r="22" spans="1:21">
      <c r="A22" s="11" t="s">
        <v>26</v>
      </c>
      <c r="B22" s="1">
        <v>-2.0720900000000002</v>
      </c>
      <c r="C22" s="1">
        <v>-2.0720900000000002</v>
      </c>
      <c r="D22" s="1">
        <v>-2.0720900000000002</v>
      </c>
      <c r="E22" s="1">
        <v>-2.0720900000000002</v>
      </c>
      <c r="F22" s="1">
        <v>-2.0720900000000002</v>
      </c>
      <c r="G22" s="1">
        <v>-2.0720900000000002</v>
      </c>
      <c r="H22" s="1">
        <v>-2.0720900000000002</v>
      </c>
      <c r="I22" s="1">
        <v>-2.0720900000000002</v>
      </c>
      <c r="J22" s="1">
        <v>-2.0720900000000002</v>
      </c>
      <c r="K22" s="1">
        <v>-2.0720900000000002</v>
      </c>
      <c r="L22" s="1">
        <v>-2.0720900000000002</v>
      </c>
      <c r="M22" s="1">
        <v>-2.0720900000000002</v>
      </c>
      <c r="N22" s="1">
        <v>-2.0720900000000002</v>
      </c>
      <c r="O22" s="1">
        <v>-2.0720900000000002</v>
      </c>
      <c r="P22" s="1">
        <v>-2.0720900000000002</v>
      </c>
      <c r="Q22" s="1">
        <v>-2.0720900000000002</v>
      </c>
      <c r="R22" s="1">
        <v>-2.0720900000000002</v>
      </c>
      <c r="S22" s="1">
        <v>-2.0720900000000002</v>
      </c>
      <c r="T22" s="1">
        <v>-2.0720900000000002</v>
      </c>
      <c r="U22" s="1">
        <v>-2.0720900000000002</v>
      </c>
    </row>
    <row r="23" spans="1:21">
      <c r="A23" s="11" t="s">
        <v>27</v>
      </c>
      <c r="B23" s="1">
        <v>3.5532600000000003</v>
      </c>
      <c r="C23" s="1">
        <v>3.5532600000000003</v>
      </c>
      <c r="D23" s="1">
        <v>3.5532600000000003</v>
      </c>
      <c r="E23" s="1">
        <v>3.5532600000000003</v>
      </c>
      <c r="F23" s="1">
        <v>3.5532600000000003</v>
      </c>
      <c r="G23" s="1">
        <v>3.5532600000000003</v>
      </c>
      <c r="H23" s="1">
        <v>3.5532600000000003</v>
      </c>
      <c r="I23" s="1">
        <v>3.5532600000000003</v>
      </c>
      <c r="J23" s="1">
        <v>3.5532600000000003</v>
      </c>
      <c r="K23" s="1">
        <v>3.5532600000000003</v>
      </c>
      <c r="L23" s="1">
        <v>3.5532600000000003</v>
      </c>
      <c r="M23" s="1">
        <v>3.5532600000000003</v>
      </c>
      <c r="N23" s="1">
        <v>3.5532600000000003</v>
      </c>
      <c r="O23" s="1">
        <v>3.5532600000000003</v>
      </c>
      <c r="P23" s="1">
        <v>3.5532600000000003</v>
      </c>
      <c r="Q23" s="1">
        <v>3.5532600000000003</v>
      </c>
      <c r="R23" s="1">
        <v>3.5532600000000003</v>
      </c>
      <c r="S23" s="1">
        <v>3.5532600000000003</v>
      </c>
      <c r="T23" s="1">
        <v>3.5532600000000003</v>
      </c>
      <c r="U23" s="1">
        <v>3.5532600000000003</v>
      </c>
    </row>
    <row r="24" spans="1:21">
      <c r="A24" s="11" t="s">
        <v>28</v>
      </c>
      <c r="B24" s="1">
        <v>0.9819300000000013</v>
      </c>
      <c r="C24" s="1">
        <v>0.9819300000000013</v>
      </c>
      <c r="D24" s="1">
        <v>0.9819300000000013</v>
      </c>
      <c r="E24" s="1">
        <v>0.9819300000000013</v>
      </c>
      <c r="F24" s="1">
        <v>0.9819300000000013</v>
      </c>
      <c r="G24" s="1">
        <v>0.9819300000000013</v>
      </c>
      <c r="H24" s="1">
        <v>0.9819300000000013</v>
      </c>
      <c r="I24" s="1">
        <v>0.9819300000000013</v>
      </c>
      <c r="J24" s="1">
        <v>0.9819300000000013</v>
      </c>
      <c r="K24" s="1">
        <v>0.9819300000000013</v>
      </c>
      <c r="L24" s="1">
        <v>0.9819300000000013</v>
      </c>
      <c r="M24" s="1">
        <v>0.9819300000000013</v>
      </c>
      <c r="N24" s="1">
        <v>0.9819300000000013</v>
      </c>
      <c r="O24" s="1">
        <v>0.9819300000000013</v>
      </c>
      <c r="P24" s="1">
        <v>0.9819300000000013</v>
      </c>
      <c r="Q24" s="1">
        <v>0.9819300000000013</v>
      </c>
      <c r="R24" s="1">
        <v>0.9819300000000013</v>
      </c>
      <c r="S24" s="1">
        <v>0.9819300000000013</v>
      </c>
      <c r="T24" s="1">
        <v>0.9819300000000013</v>
      </c>
      <c r="U24" s="1">
        <v>0.9819300000000013</v>
      </c>
    </row>
    <row r="25" spans="1:21">
      <c r="A25" s="11" t="s">
        <v>29</v>
      </c>
      <c r="B25" s="1">
        <v>8.5310000000000136E-2</v>
      </c>
      <c r="C25" s="1">
        <v>8.5310000000000136E-2</v>
      </c>
      <c r="D25" s="1">
        <v>8.5310000000000136E-2</v>
      </c>
      <c r="E25" s="1">
        <v>8.5310000000000136E-2</v>
      </c>
      <c r="F25" s="1">
        <v>8.5310000000000136E-2</v>
      </c>
      <c r="G25" s="1">
        <v>8.5310000000000136E-2</v>
      </c>
      <c r="H25" s="1">
        <v>8.5310000000000136E-2</v>
      </c>
      <c r="I25" s="1">
        <v>8.5310000000000136E-2</v>
      </c>
      <c r="J25" s="1">
        <v>8.5310000000000136E-2</v>
      </c>
      <c r="K25" s="1">
        <v>8.5310000000000136E-2</v>
      </c>
      <c r="L25" s="1">
        <v>8.5310000000000136E-2</v>
      </c>
      <c r="M25" s="1">
        <v>8.5310000000000136E-2</v>
      </c>
      <c r="N25" s="1">
        <v>8.5310000000000136E-2</v>
      </c>
      <c r="O25" s="1">
        <v>8.5310000000000136E-2</v>
      </c>
      <c r="P25" s="1">
        <v>8.5310000000000136E-2</v>
      </c>
      <c r="Q25" s="1">
        <v>8.5310000000000136E-2</v>
      </c>
      <c r="R25" s="1">
        <v>8.5310000000000136E-2</v>
      </c>
      <c r="S25" s="1">
        <v>8.5310000000000136E-2</v>
      </c>
      <c r="T25" s="1">
        <v>8.5310000000000136E-2</v>
      </c>
      <c r="U25" s="1">
        <v>8.5310000000000136E-2</v>
      </c>
    </row>
    <row r="26" spans="1:21">
      <c r="A26" s="1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spans="1:21">
      <c r="A27" s="11" t="s">
        <v>30</v>
      </c>
      <c r="B27" s="1">
        <v>1.63994</v>
      </c>
      <c r="C27" s="1">
        <v>1.63994</v>
      </c>
      <c r="D27" s="1">
        <v>1.63994</v>
      </c>
      <c r="E27" s="1">
        <v>1.63994</v>
      </c>
      <c r="F27" s="1">
        <v>1.63994</v>
      </c>
      <c r="G27" s="1">
        <v>1.63994</v>
      </c>
      <c r="H27" s="1">
        <v>1.63994</v>
      </c>
      <c r="I27" s="1">
        <v>1.63994</v>
      </c>
      <c r="J27" s="1">
        <v>1.63994</v>
      </c>
      <c r="K27" s="1">
        <v>1.63994</v>
      </c>
      <c r="L27" s="1">
        <v>1.63994</v>
      </c>
      <c r="M27" s="1">
        <v>1.63994</v>
      </c>
      <c r="N27" s="1">
        <v>1.63994</v>
      </c>
      <c r="O27" s="1">
        <v>1.63994</v>
      </c>
      <c r="P27" s="1">
        <v>1.63994</v>
      </c>
      <c r="Q27" s="1">
        <v>1.63994</v>
      </c>
      <c r="R27" s="1">
        <v>1.63994</v>
      </c>
      <c r="S27" s="1">
        <v>1.63994</v>
      </c>
      <c r="T27" s="1">
        <v>1.63994</v>
      </c>
      <c r="U27" s="1">
        <v>1.63994</v>
      </c>
    </row>
    <row r="28" spans="1:21">
      <c r="A28" s="11" t="s">
        <v>31</v>
      </c>
      <c r="B28" s="1">
        <v>7.8611999999999993</v>
      </c>
      <c r="C28" s="1">
        <v>7.8611999999999993</v>
      </c>
      <c r="D28" s="1">
        <v>7.8611999999999993</v>
      </c>
      <c r="E28" s="1">
        <v>7.8611999999999993</v>
      </c>
      <c r="F28" s="1">
        <v>7.8611999999999993</v>
      </c>
      <c r="G28" s="1">
        <v>7.8611999999999993</v>
      </c>
      <c r="H28" s="1">
        <v>7.8611999999999993</v>
      </c>
      <c r="I28" s="1">
        <v>7.8611999999999993</v>
      </c>
      <c r="J28" s="1">
        <v>7.8611999999999993</v>
      </c>
      <c r="K28" s="1">
        <v>7.8611999999999993</v>
      </c>
      <c r="L28" s="1">
        <v>7.8611999999999993</v>
      </c>
      <c r="M28" s="1">
        <v>7.8611999999999993</v>
      </c>
      <c r="N28" s="1">
        <v>7.8611999999999993</v>
      </c>
      <c r="O28" s="1">
        <v>7.8611999999999993</v>
      </c>
      <c r="P28" s="1">
        <v>7.8611999999999993</v>
      </c>
      <c r="Q28" s="1">
        <v>7.8611999999999993</v>
      </c>
      <c r="R28" s="1">
        <v>7.8611999999999993</v>
      </c>
      <c r="S28" s="1">
        <v>7.8611999999999993</v>
      </c>
      <c r="T28" s="1">
        <v>7.8611999999999993</v>
      </c>
      <c r="U28" s="1">
        <v>7.8611999999999993</v>
      </c>
    </row>
    <row r="29" spans="1:21">
      <c r="A29" s="11" t="s">
        <v>32</v>
      </c>
      <c r="B29" s="1">
        <v>1.3028999999999999</v>
      </c>
      <c r="C29" s="1">
        <v>1.3028999999999999</v>
      </c>
      <c r="D29" s="1">
        <v>1.3028999999999999</v>
      </c>
      <c r="E29" s="1">
        <v>1.3028999999999999</v>
      </c>
      <c r="F29" s="1">
        <v>1.3028999999999999</v>
      </c>
      <c r="G29" s="1">
        <v>1.3028999999999999</v>
      </c>
      <c r="H29" s="1">
        <v>1.3028999999999999</v>
      </c>
      <c r="I29" s="1">
        <v>1.3028999999999999</v>
      </c>
      <c r="J29" s="1">
        <v>1.3028999999999999</v>
      </c>
      <c r="K29" s="1">
        <v>1.3028999999999999</v>
      </c>
      <c r="L29" s="1">
        <v>1.3028999999999999</v>
      </c>
      <c r="M29" s="1">
        <v>1.3028999999999999</v>
      </c>
      <c r="N29" s="1">
        <v>1.3028999999999999</v>
      </c>
      <c r="O29" s="1">
        <v>1.3028999999999999</v>
      </c>
      <c r="P29" s="1">
        <v>1.3028999999999999</v>
      </c>
      <c r="Q29" s="1">
        <v>1.3028999999999999</v>
      </c>
      <c r="R29" s="1">
        <v>1.3028999999999999</v>
      </c>
      <c r="S29" s="1">
        <v>1.3028999999999999</v>
      </c>
      <c r="T29" s="1">
        <v>1.3028999999999999</v>
      </c>
      <c r="U29" s="1">
        <v>1.3028999999999999</v>
      </c>
    </row>
    <row r="30" spans="1:21">
      <c r="A30" s="11" t="s">
        <v>33</v>
      </c>
      <c r="B30" s="1">
        <v>3.2819600000000002</v>
      </c>
      <c r="C30" s="1">
        <v>3.2819600000000002</v>
      </c>
      <c r="D30" s="1">
        <v>3.2819600000000002</v>
      </c>
      <c r="E30" s="1">
        <v>3.2819600000000002</v>
      </c>
      <c r="F30" s="1">
        <v>3.2819600000000002</v>
      </c>
      <c r="G30" s="1">
        <v>3.2819600000000002</v>
      </c>
      <c r="H30" s="1">
        <v>3.2819600000000002</v>
      </c>
      <c r="I30" s="1">
        <v>3.2819600000000002</v>
      </c>
      <c r="J30" s="1">
        <v>3.2819600000000002</v>
      </c>
      <c r="K30" s="1">
        <v>3.2819600000000002</v>
      </c>
      <c r="L30" s="1">
        <v>3.2819600000000002</v>
      </c>
      <c r="M30" s="1">
        <v>3.2819600000000002</v>
      </c>
      <c r="N30" s="1">
        <v>3.2819600000000002</v>
      </c>
      <c r="O30" s="1">
        <v>3.2819600000000002</v>
      </c>
      <c r="P30" s="1">
        <v>3.2819600000000002</v>
      </c>
      <c r="Q30" s="1">
        <v>3.2819600000000002</v>
      </c>
      <c r="R30" s="1">
        <v>3.2819600000000002</v>
      </c>
      <c r="S30" s="1">
        <v>3.2819600000000002</v>
      </c>
      <c r="T30" s="1">
        <v>3.2819600000000002</v>
      </c>
      <c r="U30" s="1">
        <v>3.2819600000000002</v>
      </c>
    </row>
    <row r="31" spans="1:21">
      <c r="A31" s="11" t="s">
        <v>34</v>
      </c>
      <c r="B31" s="1">
        <v>12.969999999999994</v>
      </c>
      <c r="C31" s="1">
        <v>12.969999999999994</v>
      </c>
      <c r="D31" s="1">
        <v>12.969999999999994</v>
      </c>
      <c r="E31" s="1">
        <v>12.969999999999994</v>
      </c>
      <c r="F31" s="1">
        <v>12.969999999999994</v>
      </c>
      <c r="G31" s="1">
        <v>12.969999999999994</v>
      </c>
      <c r="H31" s="1">
        <v>12.969999999999994</v>
      </c>
      <c r="I31" s="1">
        <v>12.969999999999994</v>
      </c>
      <c r="J31" s="1">
        <v>12.969999999999994</v>
      </c>
      <c r="K31" s="1">
        <v>12.969999999999994</v>
      </c>
      <c r="L31" s="1">
        <v>12.969999999999994</v>
      </c>
      <c r="M31" s="1">
        <v>12.969999999999994</v>
      </c>
      <c r="N31" s="1">
        <v>12.969999999999994</v>
      </c>
      <c r="O31" s="1">
        <v>12.969999999999994</v>
      </c>
      <c r="P31" s="1">
        <v>12.969999999999994</v>
      </c>
      <c r="Q31" s="1">
        <v>12.969999999999994</v>
      </c>
      <c r="R31" s="1">
        <v>12.969999999999994</v>
      </c>
      <c r="S31" s="1">
        <v>12.969999999999994</v>
      </c>
      <c r="T31" s="1">
        <v>12.969999999999994</v>
      </c>
      <c r="U31" s="1">
        <v>12.969999999999994</v>
      </c>
    </row>
    <row r="32" spans="1:21">
      <c r="A32" s="1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 spans="1:21">
      <c r="A33" s="11" t="s">
        <v>35</v>
      </c>
      <c r="B33" s="1">
        <v>0.15605000000000011</v>
      </c>
      <c r="C33" s="1">
        <v>0.15605000000000011</v>
      </c>
      <c r="D33" s="1">
        <v>0.15605000000000011</v>
      </c>
      <c r="E33" s="1">
        <v>0.15605000000000011</v>
      </c>
      <c r="F33" s="1">
        <v>0.15605000000000011</v>
      </c>
      <c r="G33" s="1">
        <v>0.15605000000000011</v>
      </c>
      <c r="H33" s="1">
        <v>0.15605000000000011</v>
      </c>
      <c r="I33" s="1">
        <v>0.15605000000000011</v>
      </c>
      <c r="J33" s="1">
        <v>0.15605000000000011</v>
      </c>
      <c r="K33" s="1">
        <v>0.15605000000000011</v>
      </c>
      <c r="L33" s="1">
        <v>0.15605000000000011</v>
      </c>
      <c r="M33" s="1">
        <v>0.15605000000000011</v>
      </c>
      <c r="N33" s="1">
        <v>0.15605000000000011</v>
      </c>
      <c r="O33" s="1">
        <v>0.15605000000000011</v>
      </c>
      <c r="P33" s="1">
        <v>0.15605000000000011</v>
      </c>
      <c r="Q33" s="1">
        <v>0.15605000000000011</v>
      </c>
      <c r="R33" s="1">
        <v>0.15605000000000011</v>
      </c>
      <c r="S33" s="1">
        <v>0.15605000000000011</v>
      </c>
      <c r="T33" s="1">
        <v>0.15605000000000011</v>
      </c>
      <c r="U33" s="1">
        <v>0.15605000000000011</v>
      </c>
    </row>
    <row r="34" spans="1:21">
      <c r="A34" s="11" t="s">
        <v>36</v>
      </c>
      <c r="B34" s="1">
        <v>4.3580399999999981</v>
      </c>
      <c r="C34" s="1">
        <v>4.3580399999999981</v>
      </c>
      <c r="D34" s="1">
        <v>4.3580399999999981</v>
      </c>
      <c r="E34" s="1">
        <v>4.3580399999999981</v>
      </c>
      <c r="F34" s="1">
        <v>4.3580399999999981</v>
      </c>
      <c r="G34" s="1">
        <v>4.3580399999999981</v>
      </c>
      <c r="H34" s="1">
        <v>4.3580399999999981</v>
      </c>
      <c r="I34" s="1">
        <v>4.3580399999999981</v>
      </c>
      <c r="J34" s="1">
        <v>4.3580399999999981</v>
      </c>
      <c r="K34" s="1">
        <v>4.3580399999999981</v>
      </c>
      <c r="L34" s="1">
        <v>4.3580399999999981</v>
      </c>
      <c r="M34" s="1">
        <v>4.3580399999999981</v>
      </c>
      <c r="N34" s="1">
        <v>4.3580399999999981</v>
      </c>
      <c r="O34" s="1">
        <v>4.3580399999999981</v>
      </c>
      <c r="P34" s="1">
        <v>4.3580399999999981</v>
      </c>
      <c r="Q34" s="1">
        <v>4.3580399999999981</v>
      </c>
      <c r="R34" s="1">
        <v>4.3580399999999981</v>
      </c>
      <c r="S34" s="1">
        <v>4.3580399999999981</v>
      </c>
      <c r="T34" s="1">
        <v>4.3580399999999981</v>
      </c>
      <c r="U34" s="1">
        <v>4.3580399999999981</v>
      </c>
    </row>
    <row r="35" spans="1:21">
      <c r="A35" s="11" t="s">
        <v>37</v>
      </c>
      <c r="B35" s="1">
        <v>40.17633</v>
      </c>
      <c r="C35" s="1">
        <v>40.17633</v>
      </c>
      <c r="D35" s="1">
        <v>40.17633</v>
      </c>
      <c r="E35" s="1">
        <v>40.17633</v>
      </c>
      <c r="F35" s="1">
        <v>40.17633</v>
      </c>
      <c r="G35" s="1">
        <v>40.17633</v>
      </c>
      <c r="H35" s="1">
        <v>40.17633</v>
      </c>
      <c r="I35" s="1">
        <v>40.17633</v>
      </c>
      <c r="J35" s="1">
        <v>40.17633</v>
      </c>
      <c r="K35" s="1">
        <v>40.17633</v>
      </c>
      <c r="L35" s="1">
        <v>40.17633</v>
      </c>
      <c r="M35" s="1">
        <v>40.17633</v>
      </c>
      <c r="N35" s="1">
        <v>40.17633</v>
      </c>
      <c r="O35" s="1">
        <v>40.17633</v>
      </c>
      <c r="P35" s="1">
        <v>40.17633</v>
      </c>
      <c r="Q35" s="1">
        <v>40.17633</v>
      </c>
      <c r="R35" s="1">
        <v>40.17633</v>
      </c>
      <c r="S35" s="1">
        <v>40.17633</v>
      </c>
      <c r="T35" s="1">
        <v>40.17633</v>
      </c>
      <c r="U35" s="1">
        <v>40.17633</v>
      </c>
    </row>
    <row r="36" spans="1:21">
      <c r="A36" s="11" t="s">
        <v>38</v>
      </c>
      <c r="B36" s="1">
        <v>-0.48443000000000003</v>
      </c>
      <c r="C36" s="1">
        <v>-0.48443000000000003</v>
      </c>
      <c r="D36" s="1">
        <v>-0.48443000000000003</v>
      </c>
      <c r="E36" s="1">
        <v>-0.48443000000000003</v>
      </c>
      <c r="F36" s="1">
        <v>-0.48443000000000003</v>
      </c>
      <c r="G36" s="1">
        <v>-0.48443000000000003</v>
      </c>
      <c r="H36" s="1">
        <v>-0.48443000000000003</v>
      </c>
      <c r="I36" s="1">
        <v>-0.48443000000000003</v>
      </c>
      <c r="J36" s="1">
        <v>-0.48443000000000003</v>
      </c>
      <c r="K36" s="1">
        <v>-0.48443000000000003</v>
      </c>
      <c r="L36" s="1">
        <v>-0.48443000000000003</v>
      </c>
      <c r="M36" s="1">
        <v>-0.48443000000000003</v>
      </c>
      <c r="N36" s="1">
        <v>-0.48443000000000003</v>
      </c>
      <c r="O36" s="1">
        <v>-0.48443000000000003</v>
      </c>
      <c r="P36" s="1">
        <v>-0.48443000000000003</v>
      </c>
      <c r="Q36" s="1">
        <v>-0.48443000000000003</v>
      </c>
      <c r="R36" s="1">
        <v>-0.48443000000000003</v>
      </c>
      <c r="S36" s="1">
        <v>-0.48443000000000003</v>
      </c>
      <c r="T36" s="1">
        <v>-0.48443000000000003</v>
      </c>
      <c r="U36" s="1">
        <v>-0.48443000000000003</v>
      </c>
    </row>
    <row r="37" spans="1:21">
      <c r="A37" s="11" t="s">
        <v>39</v>
      </c>
      <c r="B37" s="1">
        <v>25.38044</v>
      </c>
      <c r="C37" s="1">
        <v>25.38044</v>
      </c>
      <c r="D37" s="1">
        <v>25.38044</v>
      </c>
      <c r="E37" s="1">
        <v>25.38044</v>
      </c>
      <c r="F37" s="1">
        <v>25.38044</v>
      </c>
      <c r="G37" s="1">
        <v>25.38044</v>
      </c>
      <c r="H37" s="1">
        <v>25.38044</v>
      </c>
      <c r="I37" s="1">
        <v>25.38044</v>
      </c>
      <c r="J37" s="1">
        <v>25.38044</v>
      </c>
      <c r="K37" s="1">
        <v>25.38044</v>
      </c>
      <c r="L37" s="1">
        <v>25.38044</v>
      </c>
      <c r="M37" s="1">
        <v>25.38044</v>
      </c>
      <c r="N37" s="1">
        <v>25.38044</v>
      </c>
      <c r="O37" s="1">
        <v>25.38044</v>
      </c>
      <c r="P37" s="1">
        <v>25.38044</v>
      </c>
      <c r="Q37" s="1">
        <v>25.38044</v>
      </c>
      <c r="R37" s="1">
        <v>25.38044</v>
      </c>
      <c r="S37" s="1">
        <v>25.38044</v>
      </c>
      <c r="T37" s="1">
        <v>25.38044</v>
      </c>
      <c r="U37" s="1">
        <v>25.38044</v>
      </c>
    </row>
    <row r="38" spans="1:21">
      <c r="A38" s="10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  <row r="39" spans="1:21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</row>
    <row r="40" spans="1:21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</row>
  </sheetData>
  <phoneticPr fontId="6" type="noConversion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FFA19-59B4-E44A-BAD1-1DEE02991C35}">
  <dimension ref="A1:U37"/>
  <sheetViews>
    <sheetView workbookViewId="0">
      <selection sqref="A1:XFD1"/>
    </sheetView>
  </sheetViews>
  <sheetFormatPr baseColWidth="10" defaultRowHeight="16"/>
  <cols>
    <col min="1" max="1" width="19" style="10" customWidth="1"/>
  </cols>
  <sheetData>
    <row r="1" spans="1:21" ht="17">
      <c r="A1" s="23" t="s">
        <v>43</v>
      </c>
      <c r="B1" s="23">
        <v>1997</v>
      </c>
      <c r="C1" s="23">
        <v>1998</v>
      </c>
      <c r="D1" s="23">
        <v>1999</v>
      </c>
      <c r="E1" s="23">
        <v>2000</v>
      </c>
      <c r="F1" s="23">
        <v>2001</v>
      </c>
      <c r="G1" s="23">
        <v>2002</v>
      </c>
      <c r="H1" s="23">
        <v>2003</v>
      </c>
      <c r="I1" s="23">
        <v>2004</v>
      </c>
      <c r="J1" s="23">
        <v>2005</v>
      </c>
      <c r="K1" s="23">
        <v>2006</v>
      </c>
      <c r="L1" s="23">
        <v>2007</v>
      </c>
      <c r="M1" s="23">
        <v>2008</v>
      </c>
      <c r="N1" s="23">
        <v>2009</v>
      </c>
      <c r="O1" s="23">
        <v>2010</v>
      </c>
      <c r="P1" s="23">
        <v>2011</v>
      </c>
      <c r="Q1" s="23">
        <v>2012</v>
      </c>
      <c r="R1" s="23">
        <v>2013</v>
      </c>
      <c r="S1" s="23">
        <v>2014</v>
      </c>
      <c r="T1" s="23">
        <v>2015</v>
      </c>
      <c r="U1" s="23">
        <v>2016</v>
      </c>
    </row>
    <row r="2" spans="1:21">
      <c r="A2" s="16" t="s">
        <v>9</v>
      </c>
      <c r="B2" s="1">
        <v>43.60313622222592</v>
      </c>
      <c r="C2" s="1">
        <v>43.60313622222592</v>
      </c>
      <c r="D2" s="1">
        <v>44.374873146513103</v>
      </c>
      <c r="E2" s="1">
        <v>44.953675839728497</v>
      </c>
      <c r="F2" s="1">
        <v>44.9</v>
      </c>
      <c r="G2" s="1">
        <v>45.2</v>
      </c>
      <c r="H2" s="1">
        <v>45.4</v>
      </c>
      <c r="I2" s="1">
        <v>45.5</v>
      </c>
      <c r="J2" s="1">
        <v>47.8</v>
      </c>
      <c r="K2" s="1">
        <v>47.3</v>
      </c>
      <c r="L2" s="1">
        <v>45.5</v>
      </c>
      <c r="M2" s="1">
        <v>44.6</v>
      </c>
      <c r="N2" s="1">
        <v>44.7</v>
      </c>
      <c r="O2" s="1">
        <v>47</v>
      </c>
      <c r="P2" s="1">
        <v>46.2</v>
      </c>
      <c r="Q2" s="1">
        <v>46.3</v>
      </c>
      <c r="R2" s="1">
        <v>46.6</v>
      </c>
      <c r="S2" s="1">
        <v>46.6</v>
      </c>
      <c r="T2" s="1">
        <v>45.52</v>
      </c>
      <c r="U2" s="1">
        <v>45.52</v>
      </c>
    </row>
    <row r="3" spans="1:21">
      <c r="A3" s="11" t="s">
        <v>10</v>
      </c>
      <c r="B3" s="1">
        <v>43.60313622222592</v>
      </c>
      <c r="C3" s="1">
        <v>43.60313622222592</v>
      </c>
      <c r="D3" s="1">
        <v>44.374873146513103</v>
      </c>
      <c r="E3" s="1">
        <v>44.953675839728497</v>
      </c>
      <c r="F3" s="1">
        <v>44.9</v>
      </c>
      <c r="G3" s="1">
        <v>45.2</v>
      </c>
      <c r="H3" s="1">
        <v>45.4</v>
      </c>
      <c r="I3" s="1">
        <v>45.5</v>
      </c>
      <c r="J3" s="1">
        <v>47.8</v>
      </c>
      <c r="K3" s="1">
        <v>47.3</v>
      </c>
      <c r="L3" s="1">
        <v>45.5</v>
      </c>
      <c r="M3" s="1">
        <v>44.6</v>
      </c>
      <c r="N3" s="1">
        <v>44.7</v>
      </c>
      <c r="O3" s="1">
        <v>47</v>
      </c>
      <c r="P3" s="1">
        <v>46.2</v>
      </c>
      <c r="Q3" s="1">
        <v>46.3</v>
      </c>
      <c r="R3" s="1">
        <v>46.6</v>
      </c>
      <c r="S3" s="1">
        <v>46.6</v>
      </c>
      <c r="T3" s="1">
        <v>45.52</v>
      </c>
      <c r="U3" s="1">
        <v>45.52</v>
      </c>
    </row>
    <row r="4" spans="1:21">
      <c r="A4" s="11" t="s">
        <v>11</v>
      </c>
      <c r="B4" s="1">
        <v>43.60313622222592</v>
      </c>
      <c r="C4" s="1">
        <v>43.60313622222592</v>
      </c>
      <c r="D4" s="1">
        <v>44.374873146513103</v>
      </c>
      <c r="E4" s="1">
        <v>44.953675839728497</v>
      </c>
      <c r="F4" s="1">
        <v>44.9</v>
      </c>
      <c r="G4" s="1">
        <v>45.2</v>
      </c>
      <c r="H4" s="1">
        <v>45.4</v>
      </c>
      <c r="I4" s="1">
        <v>45.5</v>
      </c>
      <c r="J4" s="1">
        <v>47.8</v>
      </c>
      <c r="K4" s="1">
        <v>47.3</v>
      </c>
      <c r="L4" s="1">
        <v>45.5</v>
      </c>
      <c r="M4" s="1">
        <v>44.6</v>
      </c>
      <c r="N4" s="1">
        <v>44.7</v>
      </c>
      <c r="O4" s="1">
        <v>47</v>
      </c>
      <c r="P4" s="1">
        <v>46.2</v>
      </c>
      <c r="Q4" s="1">
        <v>46.3</v>
      </c>
      <c r="R4" s="1">
        <v>46.6</v>
      </c>
      <c r="S4" s="1">
        <v>46.6</v>
      </c>
      <c r="T4" s="1">
        <v>45.52</v>
      </c>
      <c r="U4" s="1">
        <v>45.52</v>
      </c>
    </row>
    <row r="5" spans="1:21">
      <c r="A5" s="11" t="s">
        <v>12</v>
      </c>
      <c r="B5" s="1">
        <v>43.60313622222592</v>
      </c>
      <c r="C5" s="1">
        <v>43.60313622222592</v>
      </c>
      <c r="D5" s="1">
        <v>44.374873146513103</v>
      </c>
      <c r="E5" s="1">
        <v>44.953675839728497</v>
      </c>
      <c r="F5" s="1">
        <v>44.9</v>
      </c>
      <c r="G5" s="1">
        <v>45.2</v>
      </c>
      <c r="H5" s="1">
        <v>45.4</v>
      </c>
      <c r="I5" s="1">
        <v>45.5</v>
      </c>
      <c r="J5" s="1">
        <v>47.8</v>
      </c>
      <c r="K5" s="1">
        <v>47.3</v>
      </c>
      <c r="L5" s="1">
        <v>45.5</v>
      </c>
      <c r="M5" s="1">
        <v>44.6</v>
      </c>
      <c r="N5" s="1">
        <v>44.7</v>
      </c>
      <c r="O5" s="1">
        <v>47</v>
      </c>
      <c r="P5" s="1">
        <v>46.2</v>
      </c>
      <c r="Q5" s="1">
        <v>46.3</v>
      </c>
      <c r="R5" s="1">
        <v>46.6</v>
      </c>
      <c r="S5" s="1">
        <v>46.6</v>
      </c>
      <c r="T5" s="1">
        <v>45.52</v>
      </c>
      <c r="U5" s="1">
        <v>45.52</v>
      </c>
    </row>
    <row r="6" spans="1:21">
      <c r="A6" s="11" t="s">
        <v>13</v>
      </c>
      <c r="B6" s="1">
        <v>43.60313622222592</v>
      </c>
      <c r="C6" s="1">
        <v>43.60313622222592</v>
      </c>
      <c r="D6" s="1">
        <v>44.374873146513103</v>
      </c>
      <c r="E6" s="1">
        <v>44.953675839728497</v>
      </c>
      <c r="F6" s="1">
        <v>44.9</v>
      </c>
      <c r="G6" s="1">
        <v>45.2</v>
      </c>
      <c r="H6" s="1">
        <v>45.4</v>
      </c>
      <c r="I6" s="1">
        <v>45.5</v>
      </c>
      <c r="J6" s="1">
        <v>47.8</v>
      </c>
      <c r="K6" s="1">
        <v>47.3</v>
      </c>
      <c r="L6" s="1">
        <v>45.5</v>
      </c>
      <c r="M6" s="1">
        <v>44.6</v>
      </c>
      <c r="N6" s="1">
        <v>44.7</v>
      </c>
      <c r="O6" s="1">
        <v>47</v>
      </c>
      <c r="P6" s="1">
        <v>46.2</v>
      </c>
      <c r="Q6" s="1">
        <v>46.3</v>
      </c>
      <c r="R6" s="1">
        <v>46.6</v>
      </c>
      <c r="S6" s="1">
        <v>46.6</v>
      </c>
      <c r="T6" s="1">
        <v>45.52</v>
      </c>
      <c r="U6" s="1">
        <v>45.52</v>
      </c>
    </row>
    <row r="7" spans="1:21">
      <c r="A7" s="1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>
        <v>45.52</v>
      </c>
      <c r="U7" s="1">
        <v>45.52</v>
      </c>
    </row>
    <row r="8" spans="1:21">
      <c r="A8" s="11" t="s">
        <v>14</v>
      </c>
      <c r="B8" s="1">
        <v>43.60313622222592</v>
      </c>
      <c r="C8" s="1">
        <v>43.60313622222592</v>
      </c>
      <c r="D8" s="1">
        <v>44.374873146513103</v>
      </c>
      <c r="E8" s="1">
        <v>44.953675839728497</v>
      </c>
      <c r="F8" s="1">
        <v>44.9</v>
      </c>
      <c r="G8" s="1">
        <v>45.2</v>
      </c>
      <c r="H8" s="1">
        <v>45.4</v>
      </c>
      <c r="I8" s="1">
        <v>45.5</v>
      </c>
      <c r="J8" s="1">
        <v>47.8</v>
      </c>
      <c r="K8" s="1">
        <v>47.3</v>
      </c>
      <c r="L8" s="1">
        <v>45.5</v>
      </c>
      <c r="M8" s="1">
        <v>44.6</v>
      </c>
      <c r="N8" s="1">
        <v>44.7</v>
      </c>
      <c r="O8" s="1">
        <v>47</v>
      </c>
      <c r="P8" s="1">
        <v>46.2</v>
      </c>
      <c r="Q8" s="1">
        <v>46.3</v>
      </c>
      <c r="R8" s="1">
        <v>46.6</v>
      </c>
      <c r="S8" s="1">
        <v>46.6</v>
      </c>
      <c r="T8" s="1">
        <v>45.52</v>
      </c>
      <c r="U8" s="1">
        <v>45.52</v>
      </c>
    </row>
    <row r="9" spans="1:21">
      <c r="A9" s="11" t="s">
        <v>15</v>
      </c>
      <c r="B9" s="1">
        <v>43.60313622222592</v>
      </c>
      <c r="C9" s="1">
        <v>43.60313622222592</v>
      </c>
      <c r="D9" s="1">
        <v>44.374873146513103</v>
      </c>
      <c r="E9" s="1">
        <v>44.953675839728497</v>
      </c>
      <c r="F9" s="1">
        <v>44.9</v>
      </c>
      <c r="G9" s="1">
        <v>45.2</v>
      </c>
      <c r="H9" s="1">
        <v>45.4</v>
      </c>
      <c r="I9" s="1">
        <v>45.5</v>
      </c>
      <c r="J9" s="1">
        <v>47.8</v>
      </c>
      <c r="K9" s="1">
        <v>47.3</v>
      </c>
      <c r="L9" s="1">
        <v>45.5</v>
      </c>
      <c r="M9" s="1">
        <v>44.6</v>
      </c>
      <c r="N9" s="1">
        <v>44.7</v>
      </c>
      <c r="O9" s="1">
        <v>47</v>
      </c>
      <c r="P9" s="1">
        <v>46.2</v>
      </c>
      <c r="Q9" s="1">
        <v>46.3</v>
      </c>
      <c r="R9" s="1">
        <v>46.6</v>
      </c>
      <c r="S9" s="1">
        <v>46.6</v>
      </c>
      <c r="T9" s="1">
        <v>45.52</v>
      </c>
      <c r="U9" s="1">
        <v>45.52</v>
      </c>
    </row>
    <row r="10" spans="1:21">
      <c r="A10" s="11" t="s">
        <v>16</v>
      </c>
      <c r="B10" s="1">
        <v>43.60313622222592</v>
      </c>
      <c r="C10" s="1">
        <v>43.60313622222592</v>
      </c>
      <c r="D10" s="1">
        <v>44.374873146513103</v>
      </c>
      <c r="E10" s="1">
        <v>44.953675839728497</v>
      </c>
      <c r="F10" s="1">
        <v>44.9</v>
      </c>
      <c r="G10" s="1">
        <v>45.2</v>
      </c>
      <c r="H10" s="1">
        <v>45.4</v>
      </c>
      <c r="I10" s="1">
        <v>45.5</v>
      </c>
      <c r="J10" s="1">
        <v>47.8</v>
      </c>
      <c r="K10" s="1">
        <v>47.3</v>
      </c>
      <c r="L10" s="1">
        <v>45.5</v>
      </c>
      <c r="M10" s="1">
        <v>44.6</v>
      </c>
      <c r="N10" s="1">
        <v>44.7</v>
      </c>
      <c r="O10" s="1">
        <v>47</v>
      </c>
      <c r="P10" s="1">
        <v>46.2</v>
      </c>
      <c r="Q10" s="1">
        <v>46.3</v>
      </c>
      <c r="R10" s="1">
        <v>46.6</v>
      </c>
      <c r="S10" s="1">
        <v>46.6</v>
      </c>
      <c r="T10" s="1">
        <v>45.52</v>
      </c>
      <c r="U10" s="1">
        <v>45.52</v>
      </c>
    </row>
    <row r="11" spans="1:21">
      <c r="A11" s="1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>
        <v>45.52</v>
      </c>
      <c r="U11" s="1">
        <v>45.52</v>
      </c>
    </row>
    <row r="12" spans="1:21">
      <c r="A12" s="11" t="s">
        <v>17</v>
      </c>
      <c r="B12" s="1">
        <v>43.60313622222592</v>
      </c>
      <c r="C12" s="1">
        <v>43.60313622222592</v>
      </c>
      <c r="D12" s="1">
        <v>44.374873146513103</v>
      </c>
      <c r="E12" s="1">
        <v>44.953675839728497</v>
      </c>
      <c r="F12" s="1">
        <v>44.9</v>
      </c>
      <c r="G12" s="1">
        <v>45.2</v>
      </c>
      <c r="H12" s="1">
        <v>45.4</v>
      </c>
      <c r="I12" s="1">
        <v>45.5</v>
      </c>
      <c r="J12" s="1">
        <v>47.8</v>
      </c>
      <c r="K12" s="1">
        <v>47.3</v>
      </c>
      <c r="L12" s="1">
        <v>45.5</v>
      </c>
      <c r="M12" s="1">
        <v>44.6</v>
      </c>
      <c r="N12" s="1">
        <v>44.7</v>
      </c>
      <c r="O12" s="1">
        <v>47</v>
      </c>
      <c r="P12" s="1">
        <v>46.2</v>
      </c>
      <c r="Q12" s="1">
        <v>46.3</v>
      </c>
      <c r="R12" s="1">
        <v>46.6</v>
      </c>
      <c r="S12" s="1">
        <v>46.6</v>
      </c>
      <c r="T12" s="1">
        <v>45.52</v>
      </c>
      <c r="U12" s="1">
        <v>45.52</v>
      </c>
    </row>
    <row r="13" spans="1:21">
      <c r="A13" s="11" t="s">
        <v>18</v>
      </c>
      <c r="B13" s="1">
        <v>43.60313622222592</v>
      </c>
      <c r="C13" s="1">
        <v>43.60313622222592</v>
      </c>
      <c r="D13" s="1">
        <v>44.374873146513103</v>
      </c>
      <c r="E13" s="1">
        <v>44.953675839728497</v>
      </c>
      <c r="F13" s="1">
        <v>44.9</v>
      </c>
      <c r="G13" s="1">
        <v>45.2</v>
      </c>
      <c r="H13" s="1">
        <v>45.4</v>
      </c>
      <c r="I13" s="1">
        <v>45.5</v>
      </c>
      <c r="J13" s="1">
        <v>47.8</v>
      </c>
      <c r="K13" s="1">
        <v>47.3</v>
      </c>
      <c r="L13" s="1">
        <v>45.5</v>
      </c>
      <c r="M13" s="1">
        <v>44.6</v>
      </c>
      <c r="N13" s="1">
        <v>44.7</v>
      </c>
      <c r="O13" s="1">
        <v>47</v>
      </c>
      <c r="P13" s="1">
        <v>46.2</v>
      </c>
      <c r="Q13" s="1">
        <v>46.3</v>
      </c>
      <c r="R13" s="1">
        <v>46.6</v>
      </c>
      <c r="S13" s="1">
        <v>46.6</v>
      </c>
      <c r="T13" s="1">
        <v>45.52</v>
      </c>
      <c r="U13" s="1">
        <v>45.52</v>
      </c>
    </row>
    <row r="14" spans="1:21">
      <c r="A14" s="11" t="s">
        <v>19</v>
      </c>
      <c r="B14" s="1">
        <v>43.60313622222592</v>
      </c>
      <c r="C14" s="1">
        <v>43.60313622222592</v>
      </c>
      <c r="D14" s="1">
        <v>44.374873146513103</v>
      </c>
      <c r="E14" s="1">
        <v>44.953675839728497</v>
      </c>
      <c r="F14" s="1">
        <v>44.9</v>
      </c>
      <c r="G14" s="1">
        <v>45.2</v>
      </c>
      <c r="H14" s="1">
        <v>45.4</v>
      </c>
      <c r="I14" s="1">
        <v>45.5</v>
      </c>
      <c r="J14" s="1">
        <v>47.8</v>
      </c>
      <c r="K14" s="1">
        <v>47.3</v>
      </c>
      <c r="L14" s="1">
        <v>45.5</v>
      </c>
      <c r="M14" s="1">
        <v>44.6</v>
      </c>
      <c r="N14" s="1">
        <v>44.7</v>
      </c>
      <c r="O14" s="1">
        <v>47</v>
      </c>
      <c r="P14" s="1">
        <v>46.2</v>
      </c>
      <c r="Q14" s="1">
        <v>46.3</v>
      </c>
      <c r="R14" s="1">
        <v>46.6</v>
      </c>
      <c r="S14" s="1">
        <v>46.6</v>
      </c>
      <c r="T14" s="1">
        <v>45.52</v>
      </c>
      <c r="U14" s="1">
        <v>45.52</v>
      </c>
    </row>
    <row r="15" spans="1:21">
      <c r="A15" s="11" t="s">
        <v>20</v>
      </c>
      <c r="B15" s="1">
        <v>43.60313622222592</v>
      </c>
      <c r="C15" s="1">
        <v>43.60313622222592</v>
      </c>
      <c r="D15" s="1">
        <v>44.374873146513103</v>
      </c>
      <c r="E15" s="1">
        <v>44.953675839728497</v>
      </c>
      <c r="F15" s="1">
        <v>44.9</v>
      </c>
      <c r="G15" s="1">
        <v>45.2</v>
      </c>
      <c r="H15" s="1">
        <v>45.4</v>
      </c>
      <c r="I15" s="1">
        <v>45.5</v>
      </c>
      <c r="J15" s="1">
        <v>47.8</v>
      </c>
      <c r="K15" s="1">
        <v>47.3</v>
      </c>
      <c r="L15" s="1">
        <v>45.5</v>
      </c>
      <c r="M15" s="1">
        <v>44.6</v>
      </c>
      <c r="N15" s="1">
        <v>44.7</v>
      </c>
      <c r="O15" s="1">
        <v>47</v>
      </c>
      <c r="P15" s="1">
        <v>46.2</v>
      </c>
      <c r="Q15" s="1">
        <v>46.3</v>
      </c>
      <c r="R15" s="1">
        <v>46.6</v>
      </c>
      <c r="S15" s="1">
        <v>46.6</v>
      </c>
      <c r="T15" s="1">
        <v>45.52</v>
      </c>
      <c r="U15" s="1">
        <v>45.52</v>
      </c>
    </row>
    <row r="16" spans="1:21">
      <c r="A16" s="11" t="s">
        <v>21</v>
      </c>
      <c r="B16" s="1">
        <v>43.60313622222592</v>
      </c>
      <c r="C16" s="1">
        <v>43.60313622222592</v>
      </c>
      <c r="D16" s="1">
        <v>44.374873146513103</v>
      </c>
      <c r="E16" s="1">
        <v>44.953675839728497</v>
      </c>
      <c r="F16" s="1">
        <v>44.9</v>
      </c>
      <c r="G16" s="1">
        <v>45.2</v>
      </c>
      <c r="H16" s="1">
        <v>45.4</v>
      </c>
      <c r="I16" s="1">
        <v>45.5</v>
      </c>
      <c r="J16" s="1">
        <v>47.8</v>
      </c>
      <c r="K16" s="1">
        <v>47.3</v>
      </c>
      <c r="L16" s="1">
        <v>45.5</v>
      </c>
      <c r="M16" s="1">
        <v>44.6</v>
      </c>
      <c r="N16" s="1">
        <v>44.7</v>
      </c>
      <c r="O16" s="1">
        <v>47</v>
      </c>
      <c r="P16" s="1">
        <v>46.2</v>
      </c>
      <c r="Q16" s="1">
        <v>46.3</v>
      </c>
      <c r="R16" s="1">
        <v>46.6</v>
      </c>
      <c r="S16" s="1">
        <v>46.6</v>
      </c>
      <c r="T16" s="1">
        <v>45.52</v>
      </c>
      <c r="U16" s="1">
        <v>45.52</v>
      </c>
    </row>
    <row r="17" spans="1:21">
      <c r="A17" s="11" t="s">
        <v>22</v>
      </c>
      <c r="B17" s="1">
        <v>43.60313622222592</v>
      </c>
      <c r="C17" s="1">
        <v>43.60313622222592</v>
      </c>
      <c r="D17" s="1">
        <v>44.374873146513103</v>
      </c>
      <c r="E17" s="1">
        <v>44.953675839728497</v>
      </c>
      <c r="F17" s="1">
        <v>44.9</v>
      </c>
      <c r="G17" s="1">
        <v>45.2</v>
      </c>
      <c r="H17" s="1">
        <v>45.4</v>
      </c>
      <c r="I17" s="1">
        <v>45.5</v>
      </c>
      <c r="J17" s="1">
        <v>47.8</v>
      </c>
      <c r="K17" s="1">
        <v>47.3</v>
      </c>
      <c r="L17" s="1">
        <v>45.5</v>
      </c>
      <c r="M17" s="1">
        <v>44.6</v>
      </c>
      <c r="N17" s="1">
        <v>44.7</v>
      </c>
      <c r="O17" s="1">
        <v>47</v>
      </c>
      <c r="P17" s="1">
        <v>46.2</v>
      </c>
      <c r="Q17" s="1">
        <v>46.3</v>
      </c>
      <c r="R17" s="1">
        <v>46.6</v>
      </c>
      <c r="S17" s="1">
        <v>46.6</v>
      </c>
      <c r="T17" s="1">
        <v>45.52</v>
      </c>
      <c r="U17" s="1">
        <v>45.52</v>
      </c>
    </row>
    <row r="18" spans="1:21">
      <c r="A18" s="11" t="s">
        <v>23</v>
      </c>
      <c r="B18" s="1">
        <v>43.60313622222592</v>
      </c>
      <c r="C18" s="1">
        <v>43.60313622222592</v>
      </c>
      <c r="D18" s="1">
        <v>44.374873146513103</v>
      </c>
      <c r="E18" s="1">
        <v>44.953675839728497</v>
      </c>
      <c r="F18" s="1">
        <v>44.9</v>
      </c>
      <c r="G18" s="1">
        <v>45.2</v>
      </c>
      <c r="H18" s="1">
        <v>45.4</v>
      </c>
      <c r="I18" s="1">
        <v>45.5</v>
      </c>
      <c r="J18" s="1">
        <v>47.8</v>
      </c>
      <c r="K18" s="1">
        <v>47.3</v>
      </c>
      <c r="L18" s="1">
        <v>45.5</v>
      </c>
      <c r="M18" s="1">
        <v>44.6</v>
      </c>
      <c r="N18" s="1">
        <v>44.7</v>
      </c>
      <c r="O18" s="1">
        <v>47</v>
      </c>
      <c r="P18" s="1">
        <v>46.2</v>
      </c>
      <c r="Q18" s="1">
        <v>46.3</v>
      </c>
      <c r="R18" s="1">
        <v>46.6</v>
      </c>
      <c r="S18" s="1">
        <v>46.6</v>
      </c>
      <c r="T18" s="1">
        <v>45.52</v>
      </c>
      <c r="U18" s="1">
        <v>45.52</v>
      </c>
    </row>
    <row r="19" spans="1:21">
      <c r="A19" s="1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>
        <v>45.52</v>
      </c>
      <c r="U19" s="1">
        <v>45.52</v>
      </c>
    </row>
    <row r="20" spans="1:21">
      <c r="A20" s="11" t="s">
        <v>24</v>
      </c>
      <c r="B20" s="1">
        <v>43.60313622222592</v>
      </c>
      <c r="C20" s="1">
        <v>43.60313622222592</v>
      </c>
      <c r="D20" s="1">
        <v>44.374873146513103</v>
      </c>
      <c r="E20" s="1">
        <v>44.953675839728497</v>
      </c>
      <c r="F20" s="1">
        <v>44.9</v>
      </c>
      <c r="G20" s="1">
        <v>45.2</v>
      </c>
      <c r="H20" s="1">
        <v>45.4</v>
      </c>
      <c r="I20" s="1">
        <v>45.5</v>
      </c>
      <c r="J20" s="1">
        <v>47.8</v>
      </c>
      <c r="K20" s="1">
        <v>47.3</v>
      </c>
      <c r="L20" s="1">
        <v>45.5</v>
      </c>
      <c r="M20" s="1">
        <v>44.6</v>
      </c>
      <c r="N20" s="1">
        <v>44.7</v>
      </c>
      <c r="O20" s="1">
        <v>47</v>
      </c>
      <c r="P20" s="1">
        <v>46.2</v>
      </c>
      <c r="Q20" s="1">
        <v>46.3</v>
      </c>
      <c r="R20" s="1">
        <v>46.6</v>
      </c>
      <c r="S20" s="1">
        <v>46.6</v>
      </c>
      <c r="T20" s="1">
        <v>45.52</v>
      </c>
      <c r="U20" s="1">
        <v>45.52</v>
      </c>
    </row>
    <row r="21" spans="1:21">
      <c r="A21" s="11" t="s">
        <v>25</v>
      </c>
      <c r="B21" s="1">
        <v>43.60313622222592</v>
      </c>
      <c r="C21" s="1">
        <v>43.60313622222592</v>
      </c>
      <c r="D21" s="1">
        <v>44.374873146513103</v>
      </c>
      <c r="E21" s="1">
        <v>44.953675839728497</v>
      </c>
      <c r="F21" s="1">
        <v>44.9</v>
      </c>
      <c r="G21" s="1">
        <v>45.2</v>
      </c>
      <c r="H21" s="1">
        <v>45.4</v>
      </c>
      <c r="I21" s="1">
        <v>45.5</v>
      </c>
      <c r="J21" s="1">
        <v>47.8</v>
      </c>
      <c r="K21" s="1">
        <v>47.3</v>
      </c>
      <c r="L21" s="1">
        <v>45.5</v>
      </c>
      <c r="M21" s="1">
        <v>44.6</v>
      </c>
      <c r="N21" s="1">
        <v>44.7</v>
      </c>
      <c r="O21" s="1">
        <v>47</v>
      </c>
      <c r="P21" s="1">
        <v>46.2</v>
      </c>
      <c r="Q21" s="1">
        <v>46.3</v>
      </c>
      <c r="R21" s="1">
        <v>46.6</v>
      </c>
      <c r="S21" s="1">
        <v>46.6</v>
      </c>
      <c r="T21" s="1">
        <v>45.52</v>
      </c>
      <c r="U21" s="1">
        <v>45.52</v>
      </c>
    </row>
    <row r="22" spans="1:21">
      <c r="A22" s="11" t="s">
        <v>26</v>
      </c>
      <c r="B22" s="1">
        <v>43.60313622222592</v>
      </c>
      <c r="C22" s="1">
        <v>43.60313622222592</v>
      </c>
      <c r="D22" s="1">
        <v>44.374873146513103</v>
      </c>
      <c r="E22" s="1">
        <v>44.953675839728497</v>
      </c>
      <c r="F22" s="1">
        <v>44.9</v>
      </c>
      <c r="G22" s="1">
        <v>45.2</v>
      </c>
      <c r="H22" s="1">
        <v>45.4</v>
      </c>
      <c r="I22" s="1">
        <v>45.5</v>
      </c>
      <c r="J22" s="1">
        <v>47.8</v>
      </c>
      <c r="K22" s="1">
        <v>47.3</v>
      </c>
      <c r="L22" s="1">
        <v>45.5</v>
      </c>
      <c r="M22" s="1">
        <v>44.6</v>
      </c>
      <c r="N22" s="1">
        <v>44.7</v>
      </c>
      <c r="O22" s="1">
        <v>47</v>
      </c>
      <c r="P22" s="1">
        <v>46.2</v>
      </c>
      <c r="Q22" s="1">
        <v>46.3</v>
      </c>
      <c r="R22" s="1">
        <v>46.6</v>
      </c>
      <c r="S22" s="1">
        <v>46.6</v>
      </c>
      <c r="T22" s="1">
        <v>45.52</v>
      </c>
      <c r="U22" s="1">
        <v>45.52</v>
      </c>
    </row>
    <row r="23" spans="1:21">
      <c r="A23" s="11" t="s">
        <v>27</v>
      </c>
      <c r="B23" s="1">
        <v>43.60313622222592</v>
      </c>
      <c r="C23" s="1">
        <v>43.60313622222592</v>
      </c>
      <c r="D23" s="1">
        <v>44.374873146513103</v>
      </c>
      <c r="E23" s="1">
        <v>44.953675839728497</v>
      </c>
      <c r="F23" s="1">
        <v>44.9</v>
      </c>
      <c r="G23" s="1">
        <v>45.2</v>
      </c>
      <c r="H23" s="1">
        <v>45.4</v>
      </c>
      <c r="I23" s="1">
        <v>45.5</v>
      </c>
      <c r="J23" s="1">
        <v>47.8</v>
      </c>
      <c r="K23" s="1">
        <v>47.3</v>
      </c>
      <c r="L23" s="1">
        <v>45.5</v>
      </c>
      <c r="M23" s="1">
        <v>44.6</v>
      </c>
      <c r="N23" s="1">
        <v>44.7</v>
      </c>
      <c r="O23" s="1">
        <v>47</v>
      </c>
      <c r="P23" s="1">
        <v>46.2</v>
      </c>
      <c r="Q23" s="1">
        <v>46.3</v>
      </c>
      <c r="R23" s="1">
        <v>46.6</v>
      </c>
      <c r="S23" s="1">
        <v>46.6</v>
      </c>
      <c r="T23" s="1">
        <v>45.52</v>
      </c>
      <c r="U23" s="1">
        <v>45.52</v>
      </c>
    </row>
    <row r="24" spans="1:21">
      <c r="A24" s="11" t="s">
        <v>28</v>
      </c>
      <c r="B24" s="1">
        <v>43.60313622222592</v>
      </c>
      <c r="C24" s="1">
        <v>43.60313622222592</v>
      </c>
      <c r="D24" s="1">
        <v>44.374873146513103</v>
      </c>
      <c r="E24" s="1">
        <v>44.953675839728497</v>
      </c>
      <c r="F24" s="1">
        <v>44.9</v>
      </c>
      <c r="G24" s="1">
        <v>45.2</v>
      </c>
      <c r="H24" s="1">
        <v>45.4</v>
      </c>
      <c r="I24" s="1">
        <v>45.5</v>
      </c>
      <c r="J24" s="1">
        <v>47.8</v>
      </c>
      <c r="K24" s="1">
        <v>47.3</v>
      </c>
      <c r="L24" s="1">
        <v>45.5</v>
      </c>
      <c r="M24" s="1">
        <v>44.6</v>
      </c>
      <c r="N24" s="1">
        <v>44.7</v>
      </c>
      <c r="O24" s="1">
        <v>47</v>
      </c>
      <c r="P24" s="1">
        <v>46.2</v>
      </c>
      <c r="Q24" s="1">
        <v>46.3</v>
      </c>
      <c r="R24" s="1">
        <v>46.6</v>
      </c>
      <c r="S24" s="1">
        <v>46.6</v>
      </c>
      <c r="T24" s="1">
        <v>45.52</v>
      </c>
      <c r="U24" s="1">
        <v>45.52</v>
      </c>
    </row>
    <row r="25" spans="1:21">
      <c r="A25" s="11" t="s">
        <v>29</v>
      </c>
      <c r="B25" s="1">
        <v>43.60313622222592</v>
      </c>
      <c r="C25" s="1">
        <v>43.60313622222592</v>
      </c>
      <c r="D25" s="1">
        <v>44.374873146513103</v>
      </c>
      <c r="E25" s="1">
        <v>44.953675839728497</v>
      </c>
      <c r="F25" s="1">
        <v>44.9</v>
      </c>
      <c r="G25" s="1">
        <v>45.2</v>
      </c>
      <c r="H25" s="1">
        <v>45.4</v>
      </c>
      <c r="I25" s="1">
        <v>45.5</v>
      </c>
      <c r="J25" s="1">
        <v>47.8</v>
      </c>
      <c r="K25" s="1">
        <v>47.3</v>
      </c>
      <c r="L25" s="1">
        <v>45.5</v>
      </c>
      <c r="M25" s="1">
        <v>44.6</v>
      </c>
      <c r="N25" s="1">
        <v>44.7</v>
      </c>
      <c r="O25" s="1">
        <v>47</v>
      </c>
      <c r="P25" s="1">
        <v>46.2</v>
      </c>
      <c r="Q25" s="1">
        <v>46.3</v>
      </c>
      <c r="R25" s="1">
        <v>46.6</v>
      </c>
      <c r="S25" s="1">
        <v>46.6</v>
      </c>
      <c r="T25" s="1">
        <v>45.52</v>
      </c>
      <c r="U25" s="1">
        <v>45.52</v>
      </c>
    </row>
    <row r="26" spans="1:21">
      <c r="A26" s="1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>
        <v>45.52</v>
      </c>
      <c r="U26" s="1">
        <v>45.52</v>
      </c>
    </row>
    <row r="27" spans="1:21">
      <c r="A27" s="11" t="s">
        <v>30</v>
      </c>
      <c r="B27" s="1">
        <v>43.60313622222592</v>
      </c>
      <c r="C27" s="1">
        <v>43.60313622222592</v>
      </c>
      <c r="D27" s="1">
        <v>44.374873146513103</v>
      </c>
      <c r="E27" s="1">
        <v>44.953675839728497</v>
      </c>
      <c r="F27" s="1">
        <v>44.9</v>
      </c>
      <c r="G27" s="1">
        <v>45.2</v>
      </c>
      <c r="H27" s="1">
        <v>45.4</v>
      </c>
      <c r="I27" s="1">
        <v>45.5</v>
      </c>
      <c r="J27" s="1">
        <v>47.8</v>
      </c>
      <c r="K27" s="1">
        <v>47.3</v>
      </c>
      <c r="L27" s="1">
        <v>45.5</v>
      </c>
      <c r="M27" s="1">
        <v>44.6</v>
      </c>
      <c r="N27" s="1">
        <v>44.7</v>
      </c>
      <c r="O27" s="1">
        <v>47</v>
      </c>
      <c r="P27" s="1">
        <v>46.2</v>
      </c>
      <c r="Q27" s="1">
        <v>46.3</v>
      </c>
      <c r="R27" s="1">
        <v>46.6</v>
      </c>
      <c r="S27" s="1">
        <v>46.6</v>
      </c>
      <c r="T27" s="1">
        <v>45.52</v>
      </c>
      <c r="U27" s="1">
        <v>45.52</v>
      </c>
    </row>
    <row r="28" spans="1:21">
      <c r="A28" s="11" t="s">
        <v>31</v>
      </c>
      <c r="B28" s="1">
        <v>43.60313622222592</v>
      </c>
      <c r="C28" s="1">
        <v>43.60313622222592</v>
      </c>
      <c r="D28" s="1">
        <v>44.374873146513103</v>
      </c>
      <c r="E28" s="1">
        <v>44.953675839728497</v>
      </c>
      <c r="F28" s="1">
        <v>44.9</v>
      </c>
      <c r="G28" s="1">
        <v>45.2</v>
      </c>
      <c r="H28" s="1">
        <v>45.4</v>
      </c>
      <c r="I28" s="1">
        <v>45.5</v>
      </c>
      <c r="J28" s="1">
        <v>47.8</v>
      </c>
      <c r="K28" s="1">
        <v>47.3</v>
      </c>
      <c r="L28" s="1">
        <v>45.5</v>
      </c>
      <c r="M28" s="1">
        <v>44.6</v>
      </c>
      <c r="N28" s="1">
        <v>44.7</v>
      </c>
      <c r="O28" s="1">
        <v>47</v>
      </c>
      <c r="P28" s="1">
        <v>46.2</v>
      </c>
      <c r="Q28" s="1">
        <v>46.3</v>
      </c>
      <c r="R28" s="1">
        <v>46.6</v>
      </c>
      <c r="S28" s="1">
        <v>46.6</v>
      </c>
      <c r="T28" s="1">
        <v>45.52</v>
      </c>
      <c r="U28" s="1">
        <v>45.52</v>
      </c>
    </row>
    <row r="29" spans="1:21">
      <c r="A29" s="11" t="s">
        <v>32</v>
      </c>
      <c r="B29" s="1">
        <v>43.60313622222592</v>
      </c>
      <c r="C29" s="1">
        <v>43.60313622222592</v>
      </c>
      <c r="D29" s="1">
        <v>44.374873146513103</v>
      </c>
      <c r="E29" s="1">
        <v>44.953675839728497</v>
      </c>
      <c r="F29" s="1">
        <v>44.9</v>
      </c>
      <c r="G29" s="1">
        <v>45.2</v>
      </c>
      <c r="H29" s="1">
        <v>45.4</v>
      </c>
      <c r="I29" s="1">
        <v>45.5</v>
      </c>
      <c r="J29" s="1">
        <v>47.8</v>
      </c>
      <c r="K29" s="1">
        <v>47.3</v>
      </c>
      <c r="L29" s="1">
        <v>45.5</v>
      </c>
      <c r="M29" s="1">
        <v>44.6</v>
      </c>
      <c r="N29" s="1">
        <v>44.7</v>
      </c>
      <c r="O29" s="1">
        <v>47</v>
      </c>
      <c r="P29" s="1">
        <v>46.2</v>
      </c>
      <c r="Q29" s="1">
        <v>46.3</v>
      </c>
      <c r="R29" s="1">
        <v>46.6</v>
      </c>
      <c r="S29" s="1">
        <v>46.6</v>
      </c>
      <c r="T29" s="1">
        <v>45.52</v>
      </c>
      <c r="U29" s="1">
        <v>45.52</v>
      </c>
    </row>
    <row r="30" spans="1:21">
      <c r="A30" s="11" t="s">
        <v>33</v>
      </c>
      <c r="B30" s="1">
        <v>43.60313622222592</v>
      </c>
      <c r="C30" s="1">
        <v>43.60313622222592</v>
      </c>
      <c r="D30" s="1">
        <v>44.374873146513103</v>
      </c>
      <c r="E30" s="1">
        <v>44.953675839728497</v>
      </c>
      <c r="F30" s="1">
        <v>44.9</v>
      </c>
      <c r="G30" s="1">
        <v>45.2</v>
      </c>
      <c r="H30" s="1">
        <v>45.4</v>
      </c>
      <c r="I30" s="1">
        <v>45.5</v>
      </c>
      <c r="J30" s="1">
        <v>47.8</v>
      </c>
      <c r="K30" s="1">
        <v>47.3</v>
      </c>
      <c r="L30" s="1">
        <v>45.5</v>
      </c>
      <c r="M30" s="1">
        <v>44.6</v>
      </c>
      <c r="N30" s="1">
        <v>44.7</v>
      </c>
      <c r="O30" s="1">
        <v>47</v>
      </c>
      <c r="P30" s="1">
        <v>46.2</v>
      </c>
      <c r="Q30" s="1">
        <v>46.3</v>
      </c>
      <c r="R30" s="1">
        <v>46.6</v>
      </c>
      <c r="S30" s="1">
        <v>46.6</v>
      </c>
      <c r="T30" s="1">
        <v>45.52</v>
      </c>
      <c r="U30" s="1">
        <v>45.52</v>
      </c>
    </row>
    <row r="31" spans="1:21">
      <c r="A31" s="11" t="s">
        <v>34</v>
      </c>
      <c r="B31" s="1">
        <v>43.60313622222592</v>
      </c>
      <c r="C31" s="1">
        <v>43.60313622222592</v>
      </c>
      <c r="D31" s="1">
        <v>44.374873146513103</v>
      </c>
      <c r="E31" s="1">
        <v>44.953675839728497</v>
      </c>
      <c r="F31" s="1">
        <v>44.9</v>
      </c>
      <c r="G31" s="1">
        <v>45.2</v>
      </c>
      <c r="H31" s="1">
        <v>45.4</v>
      </c>
      <c r="I31" s="1">
        <v>45.5</v>
      </c>
      <c r="J31" s="1">
        <v>47.8</v>
      </c>
      <c r="K31" s="1">
        <v>47.3</v>
      </c>
      <c r="L31" s="1">
        <v>45.5</v>
      </c>
      <c r="M31" s="1">
        <v>44.6</v>
      </c>
      <c r="N31" s="1">
        <v>44.7</v>
      </c>
      <c r="O31" s="1">
        <v>47</v>
      </c>
      <c r="P31" s="1">
        <v>46.2</v>
      </c>
      <c r="Q31" s="1">
        <v>46.3</v>
      </c>
      <c r="R31" s="1">
        <v>46.6</v>
      </c>
      <c r="S31" s="1">
        <v>46.6</v>
      </c>
      <c r="T31" s="1">
        <v>45.52</v>
      </c>
      <c r="U31" s="1">
        <v>45.52</v>
      </c>
    </row>
    <row r="32" spans="1:21">
      <c r="A32" s="1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>
        <v>45.52</v>
      </c>
      <c r="U32" s="1">
        <v>45.52</v>
      </c>
    </row>
    <row r="33" spans="1:21">
      <c r="A33" s="11" t="s">
        <v>35</v>
      </c>
      <c r="B33" s="1">
        <v>43.60313622222592</v>
      </c>
      <c r="C33" s="1">
        <v>43.60313622222592</v>
      </c>
      <c r="D33" s="1">
        <v>44.374873146513103</v>
      </c>
      <c r="E33" s="1">
        <v>44.953675839728497</v>
      </c>
      <c r="F33" s="1">
        <v>44.9</v>
      </c>
      <c r="G33" s="1">
        <v>45.2</v>
      </c>
      <c r="H33" s="1">
        <v>45.4</v>
      </c>
      <c r="I33" s="1">
        <v>45.5</v>
      </c>
      <c r="J33" s="1">
        <v>47.8</v>
      </c>
      <c r="K33" s="1">
        <v>47.3</v>
      </c>
      <c r="L33" s="1">
        <v>45.5</v>
      </c>
      <c r="M33" s="1">
        <v>44.6</v>
      </c>
      <c r="N33" s="1">
        <v>44.7</v>
      </c>
      <c r="O33" s="1">
        <v>47</v>
      </c>
      <c r="P33" s="1">
        <v>46.2</v>
      </c>
      <c r="Q33" s="1">
        <v>46.3</v>
      </c>
      <c r="R33" s="1">
        <v>46.6</v>
      </c>
      <c r="S33" s="1">
        <v>46.6</v>
      </c>
      <c r="T33" s="1">
        <v>45.52</v>
      </c>
      <c r="U33" s="1">
        <v>45.52</v>
      </c>
    </row>
    <row r="34" spans="1:21">
      <c r="A34" s="11" t="s">
        <v>36</v>
      </c>
      <c r="B34" s="1">
        <v>43.60313622222592</v>
      </c>
      <c r="C34" s="1">
        <v>43.60313622222592</v>
      </c>
      <c r="D34" s="1">
        <v>44.374873146513103</v>
      </c>
      <c r="E34" s="1">
        <v>44.953675839728497</v>
      </c>
      <c r="F34" s="1">
        <v>44.9</v>
      </c>
      <c r="G34" s="1">
        <v>45.2</v>
      </c>
      <c r="H34" s="1">
        <v>45.4</v>
      </c>
      <c r="I34" s="1">
        <v>45.5</v>
      </c>
      <c r="J34" s="1">
        <v>47.8</v>
      </c>
      <c r="K34" s="1">
        <v>47.3</v>
      </c>
      <c r="L34" s="1">
        <v>45.5</v>
      </c>
      <c r="M34" s="1">
        <v>44.6</v>
      </c>
      <c r="N34" s="1">
        <v>44.7</v>
      </c>
      <c r="O34" s="1">
        <v>47</v>
      </c>
      <c r="P34" s="1">
        <v>46.2</v>
      </c>
      <c r="Q34" s="1">
        <v>46.3</v>
      </c>
      <c r="R34" s="1">
        <v>46.6</v>
      </c>
      <c r="S34" s="1">
        <v>46.6</v>
      </c>
      <c r="T34" s="1">
        <v>45.52</v>
      </c>
      <c r="U34" s="1">
        <v>45.52</v>
      </c>
    </row>
    <row r="35" spans="1:21">
      <c r="A35" s="11" t="s">
        <v>37</v>
      </c>
      <c r="B35" s="1">
        <v>43.60313622222592</v>
      </c>
      <c r="C35" s="1">
        <v>43.60313622222592</v>
      </c>
      <c r="D35" s="1">
        <v>44.374873146513103</v>
      </c>
      <c r="E35" s="1">
        <v>44.953675839728497</v>
      </c>
      <c r="F35" s="1">
        <v>44.9</v>
      </c>
      <c r="G35" s="1">
        <v>45.2</v>
      </c>
      <c r="H35" s="1">
        <v>45.4</v>
      </c>
      <c r="I35" s="1">
        <v>45.5</v>
      </c>
      <c r="J35" s="1">
        <v>47.8</v>
      </c>
      <c r="K35" s="1">
        <v>47.3</v>
      </c>
      <c r="L35" s="1">
        <v>45.5</v>
      </c>
      <c r="M35" s="1">
        <v>44.6</v>
      </c>
      <c r="N35" s="1">
        <v>44.7</v>
      </c>
      <c r="O35" s="1">
        <v>47</v>
      </c>
      <c r="P35" s="1">
        <v>46.2</v>
      </c>
      <c r="Q35" s="1">
        <v>46.3</v>
      </c>
      <c r="R35" s="1">
        <v>46.6</v>
      </c>
      <c r="S35" s="1">
        <v>46.6</v>
      </c>
      <c r="T35" s="1">
        <v>45.52</v>
      </c>
      <c r="U35" s="1">
        <v>45.52</v>
      </c>
    </row>
    <row r="36" spans="1:21">
      <c r="A36" s="11" t="s">
        <v>38</v>
      </c>
      <c r="B36" s="1">
        <v>43.60313622222592</v>
      </c>
      <c r="C36" s="1">
        <v>43.60313622222592</v>
      </c>
      <c r="D36" s="1">
        <v>44.374873146513103</v>
      </c>
      <c r="E36" s="1">
        <v>44.953675839728497</v>
      </c>
      <c r="F36" s="1">
        <v>44.9</v>
      </c>
      <c r="G36" s="1">
        <v>45.2</v>
      </c>
      <c r="H36" s="1">
        <v>45.4</v>
      </c>
      <c r="I36" s="1">
        <v>45.5</v>
      </c>
      <c r="J36" s="1">
        <v>47.8</v>
      </c>
      <c r="K36" s="1">
        <v>47.3</v>
      </c>
      <c r="L36" s="1">
        <v>45.5</v>
      </c>
      <c r="M36" s="1">
        <v>44.6</v>
      </c>
      <c r="N36" s="1">
        <v>44.7</v>
      </c>
      <c r="O36" s="1">
        <v>47</v>
      </c>
      <c r="P36" s="1">
        <v>46.2</v>
      </c>
      <c r="Q36" s="1">
        <v>46.3</v>
      </c>
      <c r="R36" s="1">
        <v>46.6</v>
      </c>
      <c r="S36" s="1">
        <v>46.6</v>
      </c>
      <c r="T36" s="1">
        <v>45.52</v>
      </c>
      <c r="U36" s="1">
        <v>45.52</v>
      </c>
    </row>
    <row r="37" spans="1:21">
      <c r="A37" s="11" t="s">
        <v>39</v>
      </c>
      <c r="B37" s="1">
        <v>43.60313622222592</v>
      </c>
      <c r="C37" s="1">
        <v>43.60313622222592</v>
      </c>
      <c r="D37" s="1">
        <v>44.374873146513103</v>
      </c>
      <c r="E37" s="1">
        <v>44.953675839728497</v>
      </c>
      <c r="F37" s="1">
        <v>44.9</v>
      </c>
      <c r="G37" s="1">
        <v>45.2</v>
      </c>
      <c r="H37" s="1">
        <v>45.4</v>
      </c>
      <c r="I37" s="1">
        <v>45.5</v>
      </c>
      <c r="J37" s="1">
        <v>47.8</v>
      </c>
      <c r="K37" s="1">
        <v>47.3</v>
      </c>
      <c r="L37" s="1">
        <v>45.5</v>
      </c>
      <c r="M37" s="1">
        <v>44.6</v>
      </c>
      <c r="N37" s="1">
        <v>44.7</v>
      </c>
      <c r="O37" s="1">
        <v>47</v>
      </c>
      <c r="P37" s="1">
        <v>46.2</v>
      </c>
      <c r="Q37" s="1">
        <v>46.3</v>
      </c>
      <c r="R37" s="1">
        <v>46.6</v>
      </c>
      <c r="S37" s="1">
        <v>46.6</v>
      </c>
      <c r="T37" s="1">
        <v>45.52</v>
      </c>
      <c r="U37" s="1">
        <v>45.52</v>
      </c>
    </row>
  </sheetData>
  <phoneticPr fontId="6" type="noConversion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7EA1B-5689-D148-837B-94EF07ED4686}">
  <dimension ref="A1:W42"/>
  <sheetViews>
    <sheetView workbookViewId="0">
      <selection activeCell="C11" sqref="C11"/>
    </sheetView>
  </sheetViews>
  <sheetFormatPr baseColWidth="10" defaultRowHeight="16"/>
  <cols>
    <col min="1" max="1" width="19" style="10" customWidth="1"/>
  </cols>
  <sheetData>
    <row r="1" spans="1:23" ht="17">
      <c r="A1" s="23" t="s">
        <v>43</v>
      </c>
      <c r="B1" s="20">
        <v>1997</v>
      </c>
      <c r="C1" s="20">
        <v>1998</v>
      </c>
      <c r="D1" s="20">
        <v>1999</v>
      </c>
      <c r="E1" s="20">
        <v>2000</v>
      </c>
      <c r="F1" s="20">
        <v>2001</v>
      </c>
      <c r="G1" s="20">
        <v>2002</v>
      </c>
      <c r="H1" s="20">
        <v>2003</v>
      </c>
      <c r="I1" s="20">
        <v>2004</v>
      </c>
      <c r="J1" s="20">
        <v>2005</v>
      </c>
      <c r="K1" s="20">
        <v>2006</v>
      </c>
      <c r="L1" s="20">
        <v>2007</v>
      </c>
      <c r="M1" s="20">
        <v>2008</v>
      </c>
      <c r="N1" s="20">
        <v>2009</v>
      </c>
      <c r="O1" s="20">
        <v>2010</v>
      </c>
      <c r="P1" s="20">
        <v>2011</v>
      </c>
      <c r="Q1" s="20">
        <v>2012</v>
      </c>
      <c r="R1" s="20">
        <v>2013</v>
      </c>
      <c r="S1" s="20">
        <v>2014</v>
      </c>
      <c r="T1" s="20">
        <v>2015</v>
      </c>
      <c r="U1" s="20">
        <v>2016</v>
      </c>
    </row>
    <row r="2" spans="1:23">
      <c r="A2" s="16" t="s">
        <v>9</v>
      </c>
      <c r="B2" s="24">
        <v>62</v>
      </c>
      <c r="C2" s="24">
        <v>62</v>
      </c>
      <c r="D2" s="24">
        <v>62</v>
      </c>
      <c r="E2" s="24">
        <v>62</v>
      </c>
      <c r="F2" s="24">
        <v>62</v>
      </c>
      <c r="G2" s="24">
        <v>62</v>
      </c>
      <c r="H2" s="24">
        <v>62</v>
      </c>
      <c r="I2" s="24">
        <v>62</v>
      </c>
      <c r="J2" s="24">
        <v>62</v>
      </c>
      <c r="K2" s="24">
        <v>62</v>
      </c>
      <c r="L2" s="24">
        <v>62</v>
      </c>
      <c r="M2" s="24">
        <v>62</v>
      </c>
      <c r="N2" s="24">
        <v>62</v>
      </c>
      <c r="O2" s="24">
        <v>62</v>
      </c>
      <c r="P2" s="24">
        <v>62</v>
      </c>
      <c r="Q2" s="24">
        <v>62</v>
      </c>
      <c r="R2" s="24">
        <v>62</v>
      </c>
      <c r="S2" s="24">
        <v>62</v>
      </c>
      <c r="T2" s="24">
        <v>62</v>
      </c>
      <c r="U2" s="24">
        <v>62</v>
      </c>
      <c r="V2" s="10"/>
      <c r="W2" s="10"/>
    </row>
    <row r="3" spans="1:23">
      <c r="A3" s="11" t="s">
        <v>10</v>
      </c>
      <c r="B3" s="24">
        <v>62</v>
      </c>
      <c r="C3" s="24">
        <v>62</v>
      </c>
      <c r="D3" s="24">
        <v>62</v>
      </c>
      <c r="E3" s="24">
        <v>62</v>
      </c>
      <c r="F3" s="24">
        <v>62</v>
      </c>
      <c r="G3" s="24">
        <v>62</v>
      </c>
      <c r="H3" s="24">
        <v>62</v>
      </c>
      <c r="I3" s="24">
        <v>62</v>
      </c>
      <c r="J3" s="24">
        <v>62</v>
      </c>
      <c r="K3" s="24">
        <v>62</v>
      </c>
      <c r="L3" s="24">
        <v>62</v>
      </c>
      <c r="M3" s="24">
        <v>62</v>
      </c>
      <c r="N3" s="24">
        <v>62</v>
      </c>
      <c r="O3" s="24">
        <v>62</v>
      </c>
      <c r="P3" s="24">
        <v>62</v>
      </c>
      <c r="Q3" s="24">
        <v>62</v>
      </c>
      <c r="R3" s="24">
        <v>62</v>
      </c>
      <c r="S3" s="24">
        <v>62</v>
      </c>
      <c r="T3" s="24">
        <v>62</v>
      </c>
      <c r="U3" s="24">
        <v>62</v>
      </c>
      <c r="V3" s="10"/>
      <c r="W3" s="10"/>
    </row>
    <row r="4" spans="1:23">
      <c r="A4" s="11" t="s">
        <v>11</v>
      </c>
      <c r="B4" s="24">
        <v>65</v>
      </c>
      <c r="C4" s="24">
        <v>65</v>
      </c>
      <c r="D4" s="24">
        <v>65</v>
      </c>
      <c r="E4" s="24">
        <v>65</v>
      </c>
      <c r="F4" s="24">
        <v>65</v>
      </c>
      <c r="G4" s="24">
        <v>65</v>
      </c>
      <c r="H4" s="24">
        <v>65</v>
      </c>
      <c r="I4" s="24">
        <v>65</v>
      </c>
      <c r="J4" s="24">
        <v>65</v>
      </c>
      <c r="K4" s="24">
        <v>65</v>
      </c>
      <c r="L4" s="24">
        <v>65</v>
      </c>
      <c r="M4" s="24">
        <v>65</v>
      </c>
      <c r="N4" s="24">
        <v>65</v>
      </c>
      <c r="O4" s="24">
        <v>65</v>
      </c>
      <c r="P4" s="24">
        <v>65</v>
      </c>
      <c r="Q4" s="24">
        <v>65</v>
      </c>
      <c r="R4" s="24">
        <v>65</v>
      </c>
      <c r="S4" s="24">
        <v>65</v>
      </c>
      <c r="T4" s="24">
        <v>65</v>
      </c>
      <c r="U4" s="24">
        <v>65</v>
      </c>
      <c r="V4" s="10"/>
      <c r="W4" s="10"/>
    </row>
    <row r="5" spans="1:23">
      <c r="A5" s="11" t="s">
        <v>12</v>
      </c>
      <c r="B5" s="24">
        <v>62</v>
      </c>
      <c r="C5" s="24">
        <v>62</v>
      </c>
      <c r="D5" s="24">
        <v>62</v>
      </c>
      <c r="E5" s="24">
        <v>62</v>
      </c>
      <c r="F5" s="24">
        <v>62</v>
      </c>
      <c r="G5" s="24">
        <v>62</v>
      </c>
      <c r="H5" s="24">
        <v>62</v>
      </c>
      <c r="I5" s="24">
        <v>62</v>
      </c>
      <c r="J5" s="24">
        <v>62</v>
      </c>
      <c r="K5" s="24">
        <v>62</v>
      </c>
      <c r="L5" s="24">
        <v>62</v>
      </c>
      <c r="M5" s="24">
        <v>62</v>
      </c>
      <c r="N5" s="24">
        <v>62</v>
      </c>
      <c r="O5" s="24">
        <v>62</v>
      </c>
      <c r="P5" s="24">
        <v>62</v>
      </c>
      <c r="Q5" s="24">
        <v>62</v>
      </c>
      <c r="R5" s="24">
        <v>62</v>
      </c>
      <c r="S5" s="24">
        <v>62</v>
      </c>
      <c r="T5" s="24">
        <v>62</v>
      </c>
      <c r="U5" s="24">
        <v>62</v>
      </c>
      <c r="V5" s="10"/>
      <c r="W5" s="10"/>
    </row>
    <row r="6" spans="1:23">
      <c r="A6" s="11" t="s">
        <v>13</v>
      </c>
      <c r="B6" s="24">
        <v>62</v>
      </c>
      <c r="C6" s="24">
        <v>62</v>
      </c>
      <c r="D6" s="24">
        <v>62</v>
      </c>
      <c r="E6" s="24">
        <v>62</v>
      </c>
      <c r="F6" s="24">
        <v>62</v>
      </c>
      <c r="G6" s="24">
        <v>62</v>
      </c>
      <c r="H6" s="24">
        <v>62</v>
      </c>
      <c r="I6" s="24">
        <v>62</v>
      </c>
      <c r="J6" s="24">
        <v>62</v>
      </c>
      <c r="K6" s="24">
        <v>62</v>
      </c>
      <c r="L6" s="24">
        <v>62</v>
      </c>
      <c r="M6" s="24">
        <v>62</v>
      </c>
      <c r="N6" s="24">
        <v>62</v>
      </c>
      <c r="O6" s="24">
        <v>62</v>
      </c>
      <c r="P6" s="24">
        <v>62</v>
      </c>
      <c r="Q6" s="24">
        <v>62</v>
      </c>
      <c r="R6" s="24">
        <v>62</v>
      </c>
      <c r="S6" s="24">
        <v>62</v>
      </c>
      <c r="T6" s="24">
        <v>62</v>
      </c>
      <c r="U6" s="24">
        <v>62</v>
      </c>
      <c r="V6" s="10"/>
      <c r="W6" s="10"/>
    </row>
    <row r="7" spans="1:23">
      <c r="A7" s="11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10"/>
      <c r="W7" s="10"/>
    </row>
    <row r="8" spans="1:23">
      <c r="A8" s="11" t="s">
        <v>14</v>
      </c>
      <c r="B8" s="24">
        <v>62</v>
      </c>
      <c r="C8" s="24">
        <v>62</v>
      </c>
      <c r="D8" s="24">
        <v>62</v>
      </c>
      <c r="E8" s="24">
        <v>62</v>
      </c>
      <c r="F8" s="24">
        <v>62</v>
      </c>
      <c r="G8" s="24">
        <v>62</v>
      </c>
      <c r="H8" s="24">
        <v>62</v>
      </c>
      <c r="I8" s="24">
        <v>62</v>
      </c>
      <c r="J8" s="24">
        <v>62</v>
      </c>
      <c r="K8" s="24">
        <v>62</v>
      </c>
      <c r="L8" s="24">
        <v>62</v>
      </c>
      <c r="M8" s="24">
        <v>62</v>
      </c>
      <c r="N8" s="24">
        <v>62</v>
      </c>
      <c r="O8" s="24">
        <v>62</v>
      </c>
      <c r="P8" s="24">
        <v>62</v>
      </c>
      <c r="Q8" s="24">
        <v>62</v>
      </c>
      <c r="R8" s="24">
        <v>62</v>
      </c>
      <c r="S8" s="24">
        <v>62</v>
      </c>
      <c r="T8" s="24">
        <v>62</v>
      </c>
      <c r="U8" s="24">
        <v>62</v>
      </c>
      <c r="V8" s="10"/>
      <c r="W8" s="10"/>
    </row>
    <row r="9" spans="1:23">
      <c r="A9" s="11" t="s">
        <v>15</v>
      </c>
      <c r="B9" s="24">
        <v>62</v>
      </c>
      <c r="C9" s="24">
        <v>62</v>
      </c>
      <c r="D9" s="24">
        <v>62</v>
      </c>
      <c r="E9" s="24">
        <v>62</v>
      </c>
      <c r="F9" s="24">
        <v>62</v>
      </c>
      <c r="G9" s="24">
        <v>62</v>
      </c>
      <c r="H9" s="24">
        <v>62</v>
      </c>
      <c r="I9" s="24">
        <v>62</v>
      </c>
      <c r="J9" s="24">
        <v>62</v>
      </c>
      <c r="K9" s="24">
        <v>62</v>
      </c>
      <c r="L9" s="24">
        <v>62</v>
      </c>
      <c r="M9" s="24">
        <v>62</v>
      </c>
      <c r="N9" s="24">
        <v>62</v>
      </c>
      <c r="O9" s="24">
        <v>62</v>
      </c>
      <c r="P9" s="24">
        <v>62</v>
      </c>
      <c r="Q9" s="24">
        <v>62</v>
      </c>
      <c r="R9" s="24">
        <v>62</v>
      </c>
      <c r="S9" s="24">
        <v>62</v>
      </c>
      <c r="T9" s="24">
        <v>62</v>
      </c>
      <c r="U9" s="24">
        <v>62</v>
      </c>
      <c r="V9" s="10"/>
      <c r="W9" s="10"/>
    </row>
    <row r="10" spans="1:23">
      <c r="A10" s="11" t="s">
        <v>16</v>
      </c>
      <c r="B10" s="24">
        <v>61</v>
      </c>
      <c r="C10" s="24">
        <v>61</v>
      </c>
      <c r="D10" s="24">
        <v>61</v>
      </c>
      <c r="E10" s="24">
        <v>61</v>
      </c>
      <c r="F10" s="24">
        <v>61</v>
      </c>
      <c r="G10" s="24">
        <v>61</v>
      </c>
      <c r="H10" s="24">
        <v>61</v>
      </c>
      <c r="I10" s="24">
        <v>61</v>
      </c>
      <c r="J10" s="24">
        <v>61</v>
      </c>
      <c r="K10" s="24">
        <v>61</v>
      </c>
      <c r="L10" s="24">
        <v>61</v>
      </c>
      <c r="M10" s="24">
        <v>61</v>
      </c>
      <c r="N10" s="24">
        <v>61</v>
      </c>
      <c r="O10" s="24">
        <v>61</v>
      </c>
      <c r="P10" s="24">
        <v>61</v>
      </c>
      <c r="Q10" s="24">
        <v>61</v>
      </c>
      <c r="R10" s="24">
        <v>61</v>
      </c>
      <c r="S10" s="24">
        <v>61</v>
      </c>
      <c r="T10" s="24">
        <v>61</v>
      </c>
      <c r="U10" s="24">
        <v>61</v>
      </c>
      <c r="V10" s="10"/>
      <c r="W10" s="10"/>
    </row>
    <row r="11" spans="1:23">
      <c r="A11" s="11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10"/>
      <c r="W11" s="10"/>
    </row>
    <row r="12" spans="1:23">
      <c r="A12" s="11" t="s">
        <v>17</v>
      </c>
      <c r="B12" s="24">
        <v>62</v>
      </c>
      <c r="C12" s="24">
        <v>62</v>
      </c>
      <c r="D12" s="24">
        <v>62</v>
      </c>
      <c r="E12" s="24">
        <v>62</v>
      </c>
      <c r="F12" s="24">
        <v>62</v>
      </c>
      <c r="G12" s="24">
        <v>62</v>
      </c>
      <c r="H12" s="24">
        <v>62</v>
      </c>
      <c r="I12" s="24">
        <v>62</v>
      </c>
      <c r="J12" s="24">
        <v>62</v>
      </c>
      <c r="K12" s="24">
        <v>62</v>
      </c>
      <c r="L12" s="24">
        <v>62</v>
      </c>
      <c r="M12" s="24">
        <v>62</v>
      </c>
      <c r="N12" s="24">
        <v>62</v>
      </c>
      <c r="O12" s="24">
        <v>62</v>
      </c>
      <c r="P12" s="24">
        <v>62</v>
      </c>
      <c r="Q12" s="24">
        <v>62</v>
      </c>
      <c r="R12" s="24">
        <v>62</v>
      </c>
      <c r="S12" s="24">
        <v>62</v>
      </c>
      <c r="T12" s="24">
        <v>62</v>
      </c>
      <c r="U12" s="24">
        <v>62</v>
      </c>
      <c r="V12" s="10"/>
      <c r="W12" s="10"/>
    </row>
    <row r="13" spans="1:23">
      <c r="A13" s="11" t="s">
        <v>18</v>
      </c>
      <c r="B13" s="24">
        <v>62</v>
      </c>
      <c r="C13" s="24">
        <v>62</v>
      </c>
      <c r="D13" s="24">
        <v>62</v>
      </c>
      <c r="E13" s="24">
        <v>62</v>
      </c>
      <c r="F13" s="24">
        <v>62</v>
      </c>
      <c r="G13" s="24">
        <v>62</v>
      </c>
      <c r="H13" s="24">
        <v>62</v>
      </c>
      <c r="I13" s="24">
        <v>62</v>
      </c>
      <c r="J13" s="24">
        <v>62</v>
      </c>
      <c r="K13" s="24">
        <v>62</v>
      </c>
      <c r="L13" s="24">
        <v>62</v>
      </c>
      <c r="M13" s="24">
        <v>62</v>
      </c>
      <c r="N13" s="24">
        <v>62</v>
      </c>
      <c r="O13" s="24">
        <v>62</v>
      </c>
      <c r="P13" s="24">
        <v>62</v>
      </c>
      <c r="Q13" s="24">
        <v>62</v>
      </c>
      <c r="R13" s="24">
        <v>62</v>
      </c>
      <c r="S13" s="24">
        <v>62</v>
      </c>
      <c r="T13" s="24">
        <v>62</v>
      </c>
      <c r="U13" s="24">
        <v>62</v>
      </c>
      <c r="V13" s="10"/>
      <c r="W13" s="10"/>
    </row>
    <row r="14" spans="1:23">
      <c r="A14" s="11" t="s">
        <v>19</v>
      </c>
      <c r="B14" s="24">
        <v>59</v>
      </c>
      <c r="C14" s="24">
        <v>59</v>
      </c>
      <c r="D14" s="24">
        <v>59</v>
      </c>
      <c r="E14" s="24">
        <v>59</v>
      </c>
      <c r="F14" s="24">
        <v>59</v>
      </c>
      <c r="G14" s="24">
        <v>59</v>
      </c>
      <c r="H14" s="24">
        <v>59</v>
      </c>
      <c r="I14" s="24">
        <v>59</v>
      </c>
      <c r="J14" s="24">
        <v>59</v>
      </c>
      <c r="K14" s="24">
        <v>59</v>
      </c>
      <c r="L14" s="24">
        <v>59</v>
      </c>
      <c r="M14" s="24">
        <v>59</v>
      </c>
      <c r="N14" s="24">
        <v>59</v>
      </c>
      <c r="O14" s="24">
        <v>59</v>
      </c>
      <c r="P14" s="24">
        <v>59</v>
      </c>
      <c r="Q14" s="24">
        <v>59</v>
      </c>
      <c r="R14" s="24">
        <v>59</v>
      </c>
      <c r="S14" s="24">
        <v>59</v>
      </c>
      <c r="T14" s="24">
        <v>59</v>
      </c>
      <c r="U14" s="24">
        <v>59</v>
      </c>
      <c r="V14" s="10"/>
      <c r="W14" s="10"/>
    </row>
    <row r="15" spans="1:23">
      <c r="A15" s="11" t="s">
        <v>20</v>
      </c>
      <c r="B15" s="24">
        <v>61</v>
      </c>
      <c r="C15" s="24">
        <v>61</v>
      </c>
      <c r="D15" s="24">
        <v>61</v>
      </c>
      <c r="E15" s="24">
        <v>61</v>
      </c>
      <c r="F15" s="24">
        <v>61</v>
      </c>
      <c r="G15" s="24">
        <v>61</v>
      </c>
      <c r="H15" s="24">
        <v>61</v>
      </c>
      <c r="I15" s="24">
        <v>61</v>
      </c>
      <c r="J15" s="24">
        <v>61</v>
      </c>
      <c r="K15" s="24">
        <v>61</v>
      </c>
      <c r="L15" s="24">
        <v>61</v>
      </c>
      <c r="M15" s="24">
        <v>61</v>
      </c>
      <c r="N15" s="24">
        <v>61</v>
      </c>
      <c r="O15" s="24">
        <v>61</v>
      </c>
      <c r="P15" s="24">
        <v>61</v>
      </c>
      <c r="Q15" s="24">
        <v>61</v>
      </c>
      <c r="R15" s="24">
        <v>61</v>
      </c>
      <c r="S15" s="24">
        <v>61</v>
      </c>
      <c r="T15" s="24">
        <v>61</v>
      </c>
      <c r="U15" s="24">
        <v>61</v>
      </c>
      <c r="V15" s="10"/>
      <c r="W15" s="10"/>
    </row>
    <row r="16" spans="1:23">
      <c r="A16" s="11" t="s">
        <v>21</v>
      </c>
      <c r="B16" s="24">
        <v>62</v>
      </c>
      <c r="C16" s="24">
        <v>62</v>
      </c>
      <c r="D16" s="24">
        <v>62</v>
      </c>
      <c r="E16" s="24">
        <v>62</v>
      </c>
      <c r="F16" s="24">
        <v>62</v>
      </c>
      <c r="G16" s="24">
        <v>62</v>
      </c>
      <c r="H16" s="24">
        <v>62</v>
      </c>
      <c r="I16" s="24">
        <v>62</v>
      </c>
      <c r="J16" s="24">
        <v>62</v>
      </c>
      <c r="K16" s="24">
        <v>62</v>
      </c>
      <c r="L16" s="24">
        <v>62</v>
      </c>
      <c r="M16" s="24">
        <v>62</v>
      </c>
      <c r="N16" s="24">
        <v>62</v>
      </c>
      <c r="O16" s="24">
        <v>62</v>
      </c>
      <c r="P16" s="24">
        <v>62</v>
      </c>
      <c r="Q16" s="24">
        <v>62</v>
      </c>
      <c r="R16" s="24">
        <v>62</v>
      </c>
      <c r="S16" s="24">
        <v>62</v>
      </c>
      <c r="T16" s="24">
        <v>62</v>
      </c>
      <c r="U16" s="24">
        <v>62</v>
      </c>
      <c r="V16" s="10"/>
      <c r="W16" s="10"/>
    </row>
    <row r="17" spans="1:23">
      <c r="A17" s="11" t="s">
        <v>22</v>
      </c>
      <c r="B17" s="24">
        <v>62</v>
      </c>
      <c r="C17" s="24">
        <v>62</v>
      </c>
      <c r="D17" s="24">
        <v>62</v>
      </c>
      <c r="E17" s="24">
        <v>62</v>
      </c>
      <c r="F17" s="24">
        <v>62</v>
      </c>
      <c r="G17" s="24">
        <v>62</v>
      </c>
      <c r="H17" s="24">
        <v>62</v>
      </c>
      <c r="I17" s="24">
        <v>62</v>
      </c>
      <c r="J17" s="24">
        <v>62</v>
      </c>
      <c r="K17" s="24">
        <v>62</v>
      </c>
      <c r="L17" s="24">
        <v>62</v>
      </c>
      <c r="M17" s="24">
        <v>62</v>
      </c>
      <c r="N17" s="24">
        <v>62</v>
      </c>
      <c r="O17" s="24">
        <v>62</v>
      </c>
      <c r="P17" s="24">
        <v>62</v>
      </c>
      <c r="Q17" s="24">
        <v>62</v>
      </c>
      <c r="R17" s="24">
        <v>62</v>
      </c>
      <c r="S17" s="24">
        <v>62</v>
      </c>
      <c r="T17" s="24">
        <v>62</v>
      </c>
      <c r="U17" s="24">
        <v>62</v>
      </c>
      <c r="V17" s="10"/>
      <c r="W17" s="10"/>
    </row>
    <row r="18" spans="1:23">
      <c r="A18" s="11" t="s">
        <v>23</v>
      </c>
      <c r="B18" s="24">
        <v>62</v>
      </c>
      <c r="C18" s="24">
        <v>62</v>
      </c>
      <c r="D18" s="24">
        <v>62</v>
      </c>
      <c r="E18" s="24">
        <v>62</v>
      </c>
      <c r="F18" s="24">
        <v>62</v>
      </c>
      <c r="G18" s="24">
        <v>62</v>
      </c>
      <c r="H18" s="24">
        <v>62</v>
      </c>
      <c r="I18" s="24">
        <v>62</v>
      </c>
      <c r="J18" s="24">
        <v>62</v>
      </c>
      <c r="K18" s="24">
        <v>62</v>
      </c>
      <c r="L18" s="24">
        <v>62</v>
      </c>
      <c r="M18" s="24">
        <v>62</v>
      </c>
      <c r="N18" s="24">
        <v>62</v>
      </c>
      <c r="O18" s="24">
        <v>62</v>
      </c>
      <c r="P18" s="24">
        <v>62</v>
      </c>
      <c r="Q18" s="24">
        <v>62</v>
      </c>
      <c r="R18" s="24">
        <v>62</v>
      </c>
      <c r="S18" s="24">
        <v>62</v>
      </c>
      <c r="T18" s="24">
        <v>62</v>
      </c>
      <c r="U18" s="24">
        <v>62</v>
      </c>
      <c r="V18" s="10"/>
      <c r="W18" s="10"/>
    </row>
    <row r="19" spans="1:23">
      <c r="A19" s="11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10"/>
      <c r="W19" s="10"/>
    </row>
    <row r="20" spans="1:23">
      <c r="A20" s="11" t="s">
        <v>24</v>
      </c>
      <c r="B20" s="24">
        <v>69</v>
      </c>
      <c r="C20" s="24">
        <v>69</v>
      </c>
      <c r="D20" s="24">
        <v>69</v>
      </c>
      <c r="E20" s="24">
        <v>69</v>
      </c>
      <c r="F20" s="24">
        <v>69</v>
      </c>
      <c r="G20" s="24">
        <v>69</v>
      </c>
      <c r="H20" s="24">
        <v>69</v>
      </c>
      <c r="I20" s="24">
        <v>69</v>
      </c>
      <c r="J20" s="24">
        <v>69</v>
      </c>
      <c r="K20" s="24">
        <v>69</v>
      </c>
      <c r="L20" s="24">
        <v>69</v>
      </c>
      <c r="M20" s="24">
        <v>69</v>
      </c>
      <c r="N20" s="24">
        <v>69</v>
      </c>
      <c r="O20" s="24">
        <v>69</v>
      </c>
      <c r="P20" s="24">
        <v>69</v>
      </c>
      <c r="Q20" s="24">
        <v>69</v>
      </c>
      <c r="R20" s="24">
        <v>69</v>
      </c>
      <c r="S20" s="24">
        <v>69</v>
      </c>
      <c r="T20" s="24">
        <v>69</v>
      </c>
      <c r="U20" s="24">
        <v>69</v>
      </c>
      <c r="V20" s="10"/>
      <c r="W20" s="10"/>
    </row>
    <row r="21" spans="1:23">
      <c r="A21" s="11" t="s">
        <v>25</v>
      </c>
      <c r="B21" s="24">
        <v>62</v>
      </c>
      <c r="C21" s="24">
        <v>62</v>
      </c>
      <c r="D21" s="24">
        <v>62</v>
      </c>
      <c r="E21" s="24">
        <v>62</v>
      </c>
      <c r="F21" s="24">
        <v>62</v>
      </c>
      <c r="G21" s="24">
        <v>62</v>
      </c>
      <c r="H21" s="24">
        <v>62</v>
      </c>
      <c r="I21" s="24">
        <v>62</v>
      </c>
      <c r="J21" s="24">
        <v>62</v>
      </c>
      <c r="K21" s="24">
        <v>62</v>
      </c>
      <c r="L21" s="24">
        <v>62</v>
      </c>
      <c r="M21" s="24">
        <v>62</v>
      </c>
      <c r="N21" s="24">
        <v>62</v>
      </c>
      <c r="O21" s="24">
        <v>62</v>
      </c>
      <c r="P21" s="24">
        <v>62</v>
      </c>
      <c r="Q21" s="24">
        <v>62</v>
      </c>
      <c r="R21" s="24">
        <v>62</v>
      </c>
      <c r="S21" s="24">
        <v>62</v>
      </c>
      <c r="T21" s="24">
        <v>62</v>
      </c>
      <c r="U21" s="24">
        <v>62</v>
      </c>
      <c r="V21" s="10"/>
      <c r="W21" s="10"/>
    </row>
    <row r="22" spans="1:23">
      <c r="A22" s="11" t="s">
        <v>26</v>
      </c>
      <c r="B22" s="24">
        <v>62</v>
      </c>
      <c r="C22" s="24">
        <v>62</v>
      </c>
      <c r="D22" s="24">
        <v>62</v>
      </c>
      <c r="E22" s="24">
        <v>62</v>
      </c>
      <c r="F22" s="24">
        <v>62</v>
      </c>
      <c r="G22" s="24">
        <v>62</v>
      </c>
      <c r="H22" s="24">
        <v>62</v>
      </c>
      <c r="I22" s="24">
        <v>62</v>
      </c>
      <c r="J22" s="24">
        <v>62</v>
      </c>
      <c r="K22" s="24">
        <v>62</v>
      </c>
      <c r="L22" s="24">
        <v>62</v>
      </c>
      <c r="M22" s="24">
        <v>62</v>
      </c>
      <c r="N22" s="24">
        <v>62</v>
      </c>
      <c r="O22" s="24">
        <v>62</v>
      </c>
      <c r="P22" s="24">
        <v>62</v>
      </c>
      <c r="Q22" s="24">
        <v>62</v>
      </c>
      <c r="R22" s="24">
        <v>62</v>
      </c>
      <c r="S22" s="24">
        <v>62</v>
      </c>
      <c r="T22" s="24">
        <v>62</v>
      </c>
      <c r="U22" s="24">
        <v>62</v>
      </c>
      <c r="V22" s="10"/>
      <c r="W22" s="10"/>
    </row>
    <row r="23" spans="1:23">
      <c r="A23" s="11" t="s">
        <v>27</v>
      </c>
      <c r="B23" s="24">
        <v>53</v>
      </c>
      <c r="C23" s="24">
        <v>53</v>
      </c>
      <c r="D23" s="24">
        <v>53</v>
      </c>
      <c r="E23" s="24">
        <v>53</v>
      </c>
      <c r="F23" s="24">
        <v>53</v>
      </c>
      <c r="G23" s="24">
        <v>53</v>
      </c>
      <c r="H23" s="24">
        <v>53</v>
      </c>
      <c r="I23" s="24">
        <v>53</v>
      </c>
      <c r="J23" s="24">
        <v>53</v>
      </c>
      <c r="K23" s="24">
        <v>53</v>
      </c>
      <c r="L23" s="24">
        <v>53</v>
      </c>
      <c r="M23" s="24">
        <v>53</v>
      </c>
      <c r="N23" s="24">
        <v>53</v>
      </c>
      <c r="O23" s="24">
        <v>53</v>
      </c>
      <c r="P23" s="24">
        <v>53</v>
      </c>
      <c r="Q23" s="24">
        <v>53</v>
      </c>
      <c r="R23" s="24">
        <v>53</v>
      </c>
      <c r="S23" s="24">
        <v>53</v>
      </c>
      <c r="T23" s="24">
        <v>53</v>
      </c>
      <c r="U23" s="24">
        <v>53</v>
      </c>
      <c r="V23" s="10"/>
      <c r="W23" s="10"/>
    </row>
    <row r="24" spans="1:23">
      <c r="A24" s="11" t="s">
        <v>28</v>
      </c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10"/>
      <c r="W24" s="10"/>
    </row>
    <row r="25" spans="1:23">
      <c r="A25" s="11" t="s">
        <v>29</v>
      </c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10"/>
      <c r="W25" s="10"/>
    </row>
    <row r="26" spans="1:23">
      <c r="A26" s="11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10"/>
      <c r="W26" s="10"/>
    </row>
    <row r="27" spans="1:23">
      <c r="A27" s="11" t="s">
        <v>30</v>
      </c>
      <c r="B27" s="24">
        <v>62</v>
      </c>
      <c r="C27" s="24">
        <v>62</v>
      </c>
      <c r="D27" s="24">
        <v>62</v>
      </c>
      <c r="E27" s="24">
        <v>62</v>
      </c>
      <c r="F27" s="24">
        <v>62</v>
      </c>
      <c r="G27" s="24">
        <v>62</v>
      </c>
      <c r="H27" s="24">
        <v>62</v>
      </c>
      <c r="I27" s="24">
        <v>62</v>
      </c>
      <c r="J27" s="24">
        <v>62</v>
      </c>
      <c r="K27" s="24">
        <v>62</v>
      </c>
      <c r="L27" s="24">
        <v>62</v>
      </c>
      <c r="M27" s="24">
        <v>62</v>
      </c>
      <c r="N27" s="24">
        <v>62</v>
      </c>
      <c r="O27" s="24">
        <v>62</v>
      </c>
      <c r="P27" s="24">
        <v>62</v>
      </c>
      <c r="Q27" s="24">
        <v>62</v>
      </c>
      <c r="R27" s="24">
        <v>62</v>
      </c>
      <c r="S27" s="24">
        <v>62</v>
      </c>
      <c r="T27" s="24">
        <v>62</v>
      </c>
      <c r="U27" s="24">
        <v>62</v>
      </c>
      <c r="V27" s="10"/>
      <c r="W27" s="10"/>
    </row>
    <row r="28" spans="1:23">
      <c r="A28" s="11" t="s">
        <v>31</v>
      </c>
      <c r="B28" s="24">
        <v>58</v>
      </c>
      <c r="C28" s="24">
        <v>58</v>
      </c>
      <c r="D28" s="24">
        <v>58</v>
      </c>
      <c r="E28" s="24">
        <v>58</v>
      </c>
      <c r="F28" s="24">
        <v>58</v>
      </c>
      <c r="G28" s="24">
        <v>58</v>
      </c>
      <c r="H28" s="24">
        <v>58</v>
      </c>
      <c r="I28" s="24">
        <v>58</v>
      </c>
      <c r="J28" s="24">
        <v>58</v>
      </c>
      <c r="K28" s="24">
        <v>58</v>
      </c>
      <c r="L28" s="24">
        <v>58</v>
      </c>
      <c r="M28" s="24">
        <v>58</v>
      </c>
      <c r="N28" s="24">
        <v>58</v>
      </c>
      <c r="O28" s="24">
        <v>58</v>
      </c>
      <c r="P28" s="24">
        <v>58</v>
      </c>
      <c r="Q28" s="24">
        <v>58</v>
      </c>
      <c r="R28" s="24">
        <v>58</v>
      </c>
      <c r="S28" s="24">
        <v>58</v>
      </c>
      <c r="T28" s="24">
        <v>58</v>
      </c>
      <c r="U28" s="24">
        <v>58</v>
      </c>
      <c r="V28" s="10"/>
      <c r="W28" s="10"/>
    </row>
    <row r="29" spans="1:23">
      <c r="A29" s="11" t="s">
        <v>32</v>
      </c>
      <c r="B29" s="24">
        <v>62</v>
      </c>
      <c r="C29" s="24">
        <v>62</v>
      </c>
      <c r="D29" s="24">
        <v>62</v>
      </c>
      <c r="E29" s="24">
        <v>62</v>
      </c>
      <c r="F29" s="24">
        <v>62</v>
      </c>
      <c r="G29" s="24">
        <v>62</v>
      </c>
      <c r="H29" s="24">
        <v>62</v>
      </c>
      <c r="I29" s="24">
        <v>62</v>
      </c>
      <c r="J29" s="24">
        <v>62</v>
      </c>
      <c r="K29" s="24">
        <v>62</v>
      </c>
      <c r="L29" s="24">
        <v>62</v>
      </c>
      <c r="M29" s="24">
        <v>62</v>
      </c>
      <c r="N29" s="24">
        <v>62</v>
      </c>
      <c r="O29" s="24">
        <v>62</v>
      </c>
      <c r="P29" s="24">
        <v>62</v>
      </c>
      <c r="Q29" s="24">
        <v>62</v>
      </c>
      <c r="R29" s="24">
        <v>62</v>
      </c>
      <c r="S29" s="24">
        <v>62</v>
      </c>
      <c r="T29" s="24">
        <v>62</v>
      </c>
      <c r="U29" s="24">
        <v>62</v>
      </c>
      <c r="V29" s="10"/>
      <c r="W29" s="10"/>
    </row>
    <row r="30" spans="1:23">
      <c r="A30" s="11" t="s">
        <v>33</v>
      </c>
      <c r="B30" s="24">
        <v>66</v>
      </c>
      <c r="C30" s="24">
        <v>66</v>
      </c>
      <c r="D30" s="24">
        <v>66</v>
      </c>
      <c r="E30" s="24">
        <v>66</v>
      </c>
      <c r="F30" s="24">
        <v>66</v>
      </c>
      <c r="G30" s="24">
        <v>66</v>
      </c>
      <c r="H30" s="24">
        <v>66</v>
      </c>
      <c r="I30" s="24">
        <v>66</v>
      </c>
      <c r="J30" s="24">
        <v>66</v>
      </c>
      <c r="K30" s="24">
        <v>66</v>
      </c>
      <c r="L30" s="24">
        <v>66</v>
      </c>
      <c r="M30" s="24">
        <v>66</v>
      </c>
      <c r="N30" s="24">
        <v>66</v>
      </c>
      <c r="O30" s="24">
        <v>66</v>
      </c>
      <c r="P30" s="24">
        <v>66</v>
      </c>
      <c r="Q30" s="24">
        <v>66</v>
      </c>
      <c r="R30" s="24">
        <v>66</v>
      </c>
      <c r="S30" s="24">
        <v>66</v>
      </c>
      <c r="T30" s="24">
        <v>66</v>
      </c>
      <c r="U30" s="24">
        <v>66</v>
      </c>
      <c r="V30" s="10"/>
      <c r="W30" s="10"/>
    </row>
    <row r="31" spans="1:23">
      <c r="A31" s="11" t="s">
        <v>34</v>
      </c>
      <c r="B31" s="24">
        <v>62</v>
      </c>
      <c r="C31" s="24">
        <v>62</v>
      </c>
      <c r="D31" s="24">
        <v>62</v>
      </c>
      <c r="E31" s="24">
        <v>62</v>
      </c>
      <c r="F31" s="24">
        <v>62</v>
      </c>
      <c r="G31" s="24">
        <v>62</v>
      </c>
      <c r="H31" s="24">
        <v>62</v>
      </c>
      <c r="I31" s="24">
        <v>62</v>
      </c>
      <c r="J31" s="24">
        <v>62</v>
      </c>
      <c r="K31" s="24">
        <v>62</v>
      </c>
      <c r="L31" s="24">
        <v>62</v>
      </c>
      <c r="M31" s="24">
        <v>62</v>
      </c>
      <c r="N31" s="24">
        <v>62</v>
      </c>
      <c r="O31" s="24">
        <v>62</v>
      </c>
      <c r="P31" s="24">
        <v>62</v>
      </c>
      <c r="Q31" s="24">
        <v>62</v>
      </c>
      <c r="R31" s="24">
        <v>62</v>
      </c>
      <c r="S31" s="24">
        <v>62</v>
      </c>
      <c r="T31" s="24">
        <v>62</v>
      </c>
      <c r="U31" s="24">
        <v>62</v>
      </c>
      <c r="V31" s="10"/>
      <c r="W31" s="10"/>
    </row>
    <row r="32" spans="1:23">
      <c r="A32" s="11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10"/>
      <c r="W32" s="10"/>
    </row>
    <row r="33" spans="1:23">
      <c r="A33" s="11" t="s">
        <v>35</v>
      </c>
      <c r="B33" s="24">
        <v>62</v>
      </c>
      <c r="C33" s="24">
        <v>62</v>
      </c>
      <c r="D33" s="24">
        <v>62</v>
      </c>
      <c r="E33" s="24">
        <v>62</v>
      </c>
      <c r="F33" s="24">
        <v>62</v>
      </c>
      <c r="G33" s="24">
        <v>62</v>
      </c>
      <c r="H33" s="24">
        <v>62</v>
      </c>
      <c r="I33" s="24">
        <v>62</v>
      </c>
      <c r="J33" s="24">
        <v>62</v>
      </c>
      <c r="K33" s="24">
        <v>62</v>
      </c>
      <c r="L33" s="24">
        <v>62</v>
      </c>
      <c r="M33" s="24">
        <v>62</v>
      </c>
      <c r="N33" s="24">
        <v>62</v>
      </c>
      <c r="O33" s="24">
        <v>62</v>
      </c>
      <c r="P33" s="24">
        <v>62</v>
      </c>
      <c r="Q33" s="24">
        <v>62</v>
      </c>
      <c r="R33" s="24">
        <v>62</v>
      </c>
      <c r="S33" s="24">
        <v>62</v>
      </c>
      <c r="T33" s="24">
        <v>62</v>
      </c>
      <c r="U33" s="24">
        <v>62</v>
      </c>
      <c r="V33" s="10"/>
      <c r="W33" s="10"/>
    </row>
    <row r="34" spans="1:23">
      <c r="A34" s="11" t="s">
        <v>36</v>
      </c>
      <c r="B34" s="24">
        <v>64</v>
      </c>
      <c r="C34" s="24">
        <v>64</v>
      </c>
      <c r="D34" s="24">
        <v>64</v>
      </c>
      <c r="E34" s="24">
        <v>64</v>
      </c>
      <c r="F34" s="24">
        <v>64</v>
      </c>
      <c r="G34" s="24">
        <v>64</v>
      </c>
      <c r="H34" s="24">
        <v>64</v>
      </c>
      <c r="I34" s="24">
        <v>64</v>
      </c>
      <c r="J34" s="24">
        <v>64</v>
      </c>
      <c r="K34" s="24">
        <v>64</v>
      </c>
      <c r="L34" s="24">
        <v>64</v>
      </c>
      <c r="M34" s="24">
        <v>64</v>
      </c>
      <c r="N34" s="24">
        <v>64</v>
      </c>
      <c r="O34" s="24">
        <v>64</v>
      </c>
      <c r="P34" s="24">
        <v>64</v>
      </c>
      <c r="Q34" s="24">
        <v>64</v>
      </c>
      <c r="R34" s="24">
        <v>64</v>
      </c>
      <c r="S34" s="24">
        <v>64</v>
      </c>
      <c r="T34" s="24">
        <v>64</v>
      </c>
      <c r="U34" s="24">
        <v>64</v>
      </c>
      <c r="V34" s="10"/>
      <c r="W34" s="10"/>
    </row>
    <row r="35" spans="1:23">
      <c r="A35" s="11" t="s">
        <v>37</v>
      </c>
      <c r="B35" s="24">
        <v>62</v>
      </c>
      <c r="C35" s="24">
        <v>62</v>
      </c>
      <c r="D35" s="24">
        <v>62</v>
      </c>
      <c r="E35" s="24">
        <v>62</v>
      </c>
      <c r="F35" s="24">
        <v>62</v>
      </c>
      <c r="G35" s="24">
        <v>62</v>
      </c>
      <c r="H35" s="24">
        <v>62</v>
      </c>
      <c r="I35" s="24">
        <v>62</v>
      </c>
      <c r="J35" s="24">
        <v>62</v>
      </c>
      <c r="K35" s="24">
        <v>62</v>
      </c>
      <c r="L35" s="24">
        <v>62</v>
      </c>
      <c r="M35" s="24">
        <v>62</v>
      </c>
      <c r="N35" s="24">
        <v>62</v>
      </c>
      <c r="O35" s="24">
        <v>62</v>
      </c>
      <c r="P35" s="24">
        <v>62</v>
      </c>
      <c r="Q35" s="24">
        <v>62</v>
      </c>
      <c r="R35" s="24">
        <v>62</v>
      </c>
      <c r="S35" s="24">
        <v>62</v>
      </c>
      <c r="T35" s="24">
        <v>62</v>
      </c>
      <c r="U35" s="24">
        <v>62</v>
      </c>
      <c r="V35" s="10"/>
      <c r="W35" s="10"/>
    </row>
    <row r="36" spans="1:23">
      <c r="A36" s="11" t="s">
        <v>38</v>
      </c>
      <c r="B36" s="24">
        <v>62</v>
      </c>
      <c r="C36" s="24">
        <v>62</v>
      </c>
      <c r="D36" s="24">
        <v>62</v>
      </c>
      <c r="E36" s="24">
        <v>62</v>
      </c>
      <c r="F36" s="24">
        <v>62</v>
      </c>
      <c r="G36" s="24">
        <v>62</v>
      </c>
      <c r="H36" s="24">
        <v>62</v>
      </c>
      <c r="I36" s="24">
        <v>62</v>
      </c>
      <c r="J36" s="24">
        <v>62</v>
      </c>
      <c r="K36" s="24">
        <v>62</v>
      </c>
      <c r="L36" s="24">
        <v>62</v>
      </c>
      <c r="M36" s="24">
        <v>62</v>
      </c>
      <c r="N36" s="24">
        <v>62</v>
      </c>
      <c r="O36" s="24">
        <v>62</v>
      </c>
      <c r="P36" s="24">
        <v>62</v>
      </c>
      <c r="Q36" s="24">
        <v>62</v>
      </c>
      <c r="R36" s="24">
        <v>62</v>
      </c>
      <c r="S36" s="24">
        <v>62</v>
      </c>
      <c r="T36" s="24">
        <v>62</v>
      </c>
      <c r="U36" s="24">
        <v>62</v>
      </c>
      <c r="V36" s="10"/>
      <c r="W36" s="10"/>
    </row>
    <row r="37" spans="1:23">
      <c r="A37" s="11" t="s">
        <v>39</v>
      </c>
      <c r="B37" s="24">
        <v>62</v>
      </c>
      <c r="C37" s="24">
        <v>62</v>
      </c>
      <c r="D37" s="24">
        <v>62</v>
      </c>
      <c r="E37" s="24">
        <v>62</v>
      </c>
      <c r="F37" s="24">
        <v>62</v>
      </c>
      <c r="G37" s="24">
        <v>62</v>
      </c>
      <c r="H37" s="24">
        <v>62</v>
      </c>
      <c r="I37" s="24">
        <v>62</v>
      </c>
      <c r="J37" s="24">
        <v>62</v>
      </c>
      <c r="K37" s="24">
        <v>62</v>
      </c>
      <c r="L37" s="24">
        <v>62</v>
      </c>
      <c r="M37" s="24">
        <v>62</v>
      </c>
      <c r="N37" s="24">
        <v>62</v>
      </c>
      <c r="O37" s="24">
        <v>62</v>
      </c>
      <c r="P37" s="24">
        <v>62</v>
      </c>
      <c r="Q37" s="24">
        <v>62</v>
      </c>
      <c r="R37" s="24">
        <v>62</v>
      </c>
      <c r="S37" s="24">
        <v>62</v>
      </c>
      <c r="T37" s="24">
        <v>62</v>
      </c>
      <c r="U37" s="24">
        <v>62</v>
      </c>
      <c r="V37" s="10"/>
      <c r="W37" s="10"/>
    </row>
    <row r="38" spans="1:23"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</row>
    <row r="39" spans="1:23"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</row>
    <row r="40" spans="1:23"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</row>
    <row r="41" spans="1:23"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</row>
    <row r="42" spans="1:23"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</row>
  </sheetData>
  <phoneticPr fontId="6" type="noConversion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02AC2-7D12-DD49-8CEA-6626D3ADBE89}">
  <dimension ref="A1:V42"/>
  <sheetViews>
    <sheetView workbookViewId="0">
      <selection activeCell="K19" sqref="K19"/>
    </sheetView>
  </sheetViews>
  <sheetFormatPr baseColWidth="10" defaultRowHeight="16"/>
  <cols>
    <col min="1" max="1" width="19" style="10" customWidth="1"/>
  </cols>
  <sheetData>
    <row r="1" spans="1:22" ht="17">
      <c r="A1" s="23" t="s">
        <v>43</v>
      </c>
      <c r="B1" s="20">
        <v>1997</v>
      </c>
      <c r="C1" s="20">
        <v>1998</v>
      </c>
      <c r="D1" s="20">
        <v>1999</v>
      </c>
      <c r="E1" s="20">
        <v>2000</v>
      </c>
      <c r="F1" s="20">
        <v>2001</v>
      </c>
      <c r="G1" s="20">
        <v>2002</v>
      </c>
      <c r="H1" s="20">
        <v>2003</v>
      </c>
      <c r="I1" s="20">
        <v>2004</v>
      </c>
      <c r="J1" s="20">
        <v>2005</v>
      </c>
      <c r="K1" s="20">
        <v>2006</v>
      </c>
      <c r="L1" s="20">
        <v>2007</v>
      </c>
      <c r="M1" s="20">
        <v>2008</v>
      </c>
      <c r="N1" s="20">
        <v>2009</v>
      </c>
      <c r="O1" s="20">
        <v>2010</v>
      </c>
      <c r="P1" s="20">
        <v>2011</v>
      </c>
      <c r="Q1" s="20">
        <v>2012</v>
      </c>
      <c r="R1" s="20">
        <v>2013</v>
      </c>
      <c r="S1" s="20">
        <v>2014</v>
      </c>
      <c r="T1" s="20">
        <v>2015</v>
      </c>
      <c r="U1" s="20">
        <v>2016</v>
      </c>
    </row>
    <row r="2" spans="1:22">
      <c r="A2" s="16" t="s">
        <v>9</v>
      </c>
      <c r="B2" s="24">
        <v>167</v>
      </c>
      <c r="C2" s="24">
        <v>167</v>
      </c>
      <c r="D2" s="24">
        <v>167</v>
      </c>
      <c r="E2" s="24">
        <v>167</v>
      </c>
      <c r="F2" s="24">
        <v>167</v>
      </c>
      <c r="G2" s="24">
        <v>167</v>
      </c>
      <c r="H2" s="24">
        <v>167</v>
      </c>
      <c r="I2" s="24">
        <v>167</v>
      </c>
      <c r="J2" s="24">
        <v>167</v>
      </c>
      <c r="K2" s="24">
        <v>167</v>
      </c>
      <c r="L2" s="24">
        <v>167</v>
      </c>
      <c r="M2" s="24">
        <v>167</v>
      </c>
      <c r="N2" s="24">
        <v>167</v>
      </c>
      <c r="O2" s="24">
        <v>167</v>
      </c>
      <c r="P2" s="24">
        <v>167</v>
      </c>
      <c r="Q2" s="24">
        <v>167</v>
      </c>
      <c r="R2" s="24">
        <v>167</v>
      </c>
      <c r="S2" s="24">
        <v>167</v>
      </c>
      <c r="T2" s="24">
        <v>167</v>
      </c>
      <c r="U2" s="24">
        <v>167</v>
      </c>
      <c r="V2" s="10"/>
    </row>
    <row r="3" spans="1:22">
      <c r="A3" s="11" t="s">
        <v>10</v>
      </c>
      <c r="B3" s="24">
        <v>180</v>
      </c>
      <c r="C3" s="24">
        <v>180</v>
      </c>
      <c r="D3" s="24">
        <v>180</v>
      </c>
      <c r="E3" s="24">
        <v>180</v>
      </c>
      <c r="F3" s="24">
        <v>180</v>
      </c>
      <c r="G3" s="24">
        <v>180</v>
      </c>
      <c r="H3" s="24">
        <v>180</v>
      </c>
      <c r="I3" s="24">
        <v>180</v>
      </c>
      <c r="J3" s="24">
        <v>180</v>
      </c>
      <c r="K3" s="24">
        <v>180</v>
      </c>
      <c r="L3" s="24">
        <v>180</v>
      </c>
      <c r="M3" s="24">
        <v>180</v>
      </c>
      <c r="N3" s="24">
        <v>180</v>
      </c>
      <c r="O3" s="24">
        <v>180</v>
      </c>
      <c r="P3" s="24">
        <v>180</v>
      </c>
      <c r="Q3" s="24">
        <v>180</v>
      </c>
      <c r="R3" s="24">
        <v>180</v>
      </c>
      <c r="S3" s="24">
        <v>180</v>
      </c>
      <c r="T3" s="24">
        <v>180</v>
      </c>
      <c r="U3" s="24">
        <v>180</v>
      </c>
      <c r="V3" s="10"/>
    </row>
    <row r="4" spans="1:22">
      <c r="A4" s="11" t="s">
        <v>11</v>
      </c>
      <c r="B4" s="24">
        <v>192</v>
      </c>
      <c r="C4" s="24">
        <v>192</v>
      </c>
      <c r="D4" s="24">
        <v>192</v>
      </c>
      <c r="E4" s="24">
        <v>192</v>
      </c>
      <c r="F4" s="24">
        <v>192</v>
      </c>
      <c r="G4" s="24">
        <v>192</v>
      </c>
      <c r="H4" s="24">
        <v>192</v>
      </c>
      <c r="I4" s="24">
        <v>192</v>
      </c>
      <c r="J4" s="24">
        <v>192</v>
      </c>
      <c r="K4" s="24">
        <v>192</v>
      </c>
      <c r="L4" s="24">
        <v>192</v>
      </c>
      <c r="M4" s="24">
        <v>192</v>
      </c>
      <c r="N4" s="24">
        <v>192</v>
      </c>
      <c r="O4" s="24">
        <v>192</v>
      </c>
      <c r="P4" s="24">
        <v>192</v>
      </c>
      <c r="Q4" s="24">
        <v>192</v>
      </c>
      <c r="R4" s="24">
        <v>192</v>
      </c>
      <c r="S4" s="24">
        <v>192</v>
      </c>
      <c r="T4" s="24">
        <v>192</v>
      </c>
      <c r="U4" s="24">
        <v>192</v>
      </c>
      <c r="V4" s="10"/>
    </row>
    <row r="5" spans="1:22">
      <c r="A5" s="11" t="s">
        <v>12</v>
      </c>
      <c r="B5" s="24">
        <v>180</v>
      </c>
      <c r="C5" s="24">
        <v>180</v>
      </c>
      <c r="D5" s="24">
        <v>180</v>
      </c>
      <c r="E5" s="24">
        <v>180</v>
      </c>
      <c r="F5" s="24">
        <v>180</v>
      </c>
      <c r="G5" s="24">
        <v>180</v>
      </c>
      <c r="H5" s="24">
        <v>180</v>
      </c>
      <c r="I5" s="24">
        <v>180</v>
      </c>
      <c r="J5" s="24">
        <v>180</v>
      </c>
      <c r="K5" s="24">
        <v>180</v>
      </c>
      <c r="L5" s="24">
        <v>180</v>
      </c>
      <c r="M5" s="24">
        <v>180</v>
      </c>
      <c r="N5" s="24">
        <v>180</v>
      </c>
      <c r="O5" s="24">
        <v>180</v>
      </c>
      <c r="P5" s="24">
        <v>180</v>
      </c>
      <c r="Q5" s="24">
        <v>180</v>
      </c>
      <c r="R5" s="24">
        <v>180</v>
      </c>
      <c r="S5" s="24">
        <v>180</v>
      </c>
      <c r="T5" s="24">
        <v>180</v>
      </c>
      <c r="U5" s="24">
        <v>180</v>
      </c>
      <c r="V5" s="10"/>
    </row>
    <row r="6" spans="1:22">
      <c r="A6" s="11" t="s">
        <v>13</v>
      </c>
      <c r="B6" s="24">
        <v>180</v>
      </c>
      <c r="C6" s="24">
        <v>180</v>
      </c>
      <c r="D6" s="24">
        <v>180</v>
      </c>
      <c r="E6" s="24">
        <v>180</v>
      </c>
      <c r="F6" s="24">
        <v>180</v>
      </c>
      <c r="G6" s="24">
        <v>180</v>
      </c>
      <c r="H6" s="24">
        <v>180</v>
      </c>
      <c r="I6" s="24">
        <v>180</v>
      </c>
      <c r="J6" s="24">
        <v>180</v>
      </c>
      <c r="K6" s="24">
        <v>180</v>
      </c>
      <c r="L6" s="24">
        <v>180</v>
      </c>
      <c r="M6" s="24">
        <v>180</v>
      </c>
      <c r="N6" s="24">
        <v>180</v>
      </c>
      <c r="O6" s="24">
        <v>180</v>
      </c>
      <c r="P6" s="24">
        <v>180</v>
      </c>
      <c r="Q6" s="24">
        <v>180</v>
      </c>
      <c r="R6" s="24">
        <v>180</v>
      </c>
      <c r="S6" s="24">
        <v>180</v>
      </c>
      <c r="T6" s="24">
        <v>180</v>
      </c>
      <c r="U6" s="24">
        <v>180</v>
      </c>
      <c r="V6" s="10"/>
    </row>
    <row r="7" spans="1:22">
      <c r="A7" s="11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10"/>
    </row>
    <row r="8" spans="1:22">
      <c r="A8" s="11" t="s">
        <v>14</v>
      </c>
      <c r="B8" s="24">
        <v>180</v>
      </c>
      <c r="C8" s="24">
        <v>180</v>
      </c>
      <c r="D8" s="24">
        <v>180</v>
      </c>
      <c r="E8" s="24">
        <v>180</v>
      </c>
      <c r="F8" s="24">
        <v>180</v>
      </c>
      <c r="G8" s="24">
        <v>180</v>
      </c>
      <c r="H8" s="24">
        <v>180</v>
      </c>
      <c r="I8" s="24">
        <v>180</v>
      </c>
      <c r="J8" s="24">
        <v>180</v>
      </c>
      <c r="K8" s="24">
        <v>180</v>
      </c>
      <c r="L8" s="24">
        <v>180</v>
      </c>
      <c r="M8" s="24">
        <v>180</v>
      </c>
      <c r="N8" s="24">
        <v>180</v>
      </c>
      <c r="O8" s="24">
        <v>180</v>
      </c>
      <c r="P8" s="24">
        <v>180</v>
      </c>
      <c r="Q8" s="24">
        <v>180</v>
      </c>
      <c r="R8" s="24">
        <v>180</v>
      </c>
      <c r="S8" s="24">
        <v>180</v>
      </c>
      <c r="T8" s="24">
        <v>180</v>
      </c>
      <c r="U8" s="24">
        <v>180</v>
      </c>
      <c r="V8" s="10"/>
    </row>
    <row r="9" spans="1:22">
      <c r="A9" s="11" t="s">
        <v>15</v>
      </c>
      <c r="B9" s="24">
        <v>180</v>
      </c>
      <c r="C9" s="24">
        <v>180</v>
      </c>
      <c r="D9" s="24">
        <v>180</v>
      </c>
      <c r="E9" s="24">
        <v>180</v>
      </c>
      <c r="F9" s="24">
        <v>180</v>
      </c>
      <c r="G9" s="24">
        <v>180</v>
      </c>
      <c r="H9" s="24">
        <v>180</v>
      </c>
      <c r="I9" s="24">
        <v>180</v>
      </c>
      <c r="J9" s="24">
        <v>180</v>
      </c>
      <c r="K9" s="24">
        <v>180</v>
      </c>
      <c r="L9" s="24">
        <v>180</v>
      </c>
      <c r="M9" s="24">
        <v>180</v>
      </c>
      <c r="N9" s="24">
        <v>180</v>
      </c>
      <c r="O9" s="24">
        <v>180</v>
      </c>
      <c r="P9" s="24">
        <v>180</v>
      </c>
      <c r="Q9" s="24">
        <v>180</v>
      </c>
      <c r="R9" s="24">
        <v>180</v>
      </c>
      <c r="S9" s="24">
        <v>180</v>
      </c>
      <c r="T9" s="24">
        <v>180</v>
      </c>
      <c r="U9" s="24">
        <v>180</v>
      </c>
      <c r="V9" s="10"/>
    </row>
    <row r="10" spans="1:22">
      <c r="A10" s="11" t="s">
        <v>16</v>
      </c>
      <c r="B10" s="24">
        <v>188</v>
      </c>
      <c r="C10" s="24">
        <v>188</v>
      </c>
      <c r="D10" s="24">
        <v>188</v>
      </c>
      <c r="E10" s="24">
        <v>188</v>
      </c>
      <c r="F10" s="24">
        <v>188</v>
      </c>
      <c r="G10" s="24">
        <v>188</v>
      </c>
      <c r="H10" s="24">
        <v>188</v>
      </c>
      <c r="I10" s="24">
        <v>188</v>
      </c>
      <c r="J10" s="24">
        <v>188</v>
      </c>
      <c r="K10" s="24">
        <v>188</v>
      </c>
      <c r="L10" s="24">
        <v>188</v>
      </c>
      <c r="M10" s="24">
        <v>188</v>
      </c>
      <c r="N10" s="24">
        <v>188</v>
      </c>
      <c r="O10" s="24">
        <v>188</v>
      </c>
      <c r="P10" s="24">
        <v>188</v>
      </c>
      <c r="Q10" s="24">
        <v>188</v>
      </c>
      <c r="R10" s="24">
        <v>188</v>
      </c>
      <c r="S10" s="24">
        <v>188</v>
      </c>
      <c r="T10" s="24">
        <v>188</v>
      </c>
      <c r="U10" s="24">
        <v>188</v>
      </c>
      <c r="V10" s="10"/>
    </row>
    <row r="11" spans="1:22">
      <c r="A11" s="11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10"/>
    </row>
    <row r="12" spans="1:22">
      <c r="A12" s="11" t="s">
        <v>17</v>
      </c>
      <c r="B12" s="24">
        <v>180</v>
      </c>
      <c r="C12" s="24">
        <v>180</v>
      </c>
      <c r="D12" s="24">
        <v>180</v>
      </c>
      <c r="E12" s="24">
        <v>180</v>
      </c>
      <c r="F12" s="24">
        <v>180</v>
      </c>
      <c r="G12" s="24">
        <v>180</v>
      </c>
      <c r="H12" s="24">
        <v>180</v>
      </c>
      <c r="I12" s="24">
        <v>180</v>
      </c>
      <c r="J12" s="24">
        <v>180</v>
      </c>
      <c r="K12" s="24">
        <v>180</v>
      </c>
      <c r="L12" s="24">
        <v>180</v>
      </c>
      <c r="M12" s="24">
        <v>180</v>
      </c>
      <c r="N12" s="24">
        <v>180</v>
      </c>
      <c r="O12" s="24">
        <v>180</v>
      </c>
      <c r="P12" s="24">
        <v>180</v>
      </c>
      <c r="Q12" s="24">
        <v>180</v>
      </c>
      <c r="R12" s="24">
        <v>180</v>
      </c>
      <c r="S12" s="24">
        <v>180</v>
      </c>
      <c r="T12" s="24">
        <v>180</v>
      </c>
      <c r="U12" s="24">
        <v>180</v>
      </c>
      <c r="V12" s="10"/>
    </row>
    <row r="13" spans="1:22">
      <c r="A13" s="11" t="s">
        <v>18</v>
      </c>
      <c r="B13" s="24">
        <v>180</v>
      </c>
      <c r="C13" s="24">
        <v>180</v>
      </c>
      <c r="D13" s="24">
        <v>180</v>
      </c>
      <c r="E13" s="24">
        <v>180</v>
      </c>
      <c r="F13" s="24">
        <v>180</v>
      </c>
      <c r="G13" s="24">
        <v>180</v>
      </c>
      <c r="H13" s="24">
        <v>180</v>
      </c>
      <c r="I13" s="24">
        <v>180</v>
      </c>
      <c r="J13" s="24">
        <v>180</v>
      </c>
      <c r="K13" s="24">
        <v>180</v>
      </c>
      <c r="L13" s="24">
        <v>180</v>
      </c>
      <c r="M13" s="24">
        <v>180</v>
      </c>
      <c r="N13" s="24">
        <v>180</v>
      </c>
      <c r="O13" s="24">
        <v>180</v>
      </c>
      <c r="P13" s="24">
        <v>180</v>
      </c>
      <c r="Q13" s="24">
        <v>180</v>
      </c>
      <c r="R13" s="24">
        <v>180</v>
      </c>
      <c r="S13" s="24">
        <v>180</v>
      </c>
      <c r="T13" s="24">
        <v>180</v>
      </c>
      <c r="U13" s="24">
        <v>180</v>
      </c>
      <c r="V13" s="10"/>
    </row>
    <row r="14" spans="1:22">
      <c r="A14" s="11" t="s">
        <v>19</v>
      </c>
      <c r="B14" s="24">
        <v>171</v>
      </c>
      <c r="C14" s="24">
        <v>171</v>
      </c>
      <c r="D14" s="24">
        <v>171</v>
      </c>
      <c r="E14" s="24">
        <v>171</v>
      </c>
      <c r="F14" s="24">
        <v>171</v>
      </c>
      <c r="G14" s="24">
        <v>171</v>
      </c>
      <c r="H14" s="24">
        <v>171</v>
      </c>
      <c r="I14" s="24">
        <v>171</v>
      </c>
      <c r="J14" s="24">
        <v>171</v>
      </c>
      <c r="K14" s="24">
        <v>171</v>
      </c>
      <c r="L14" s="24">
        <v>171</v>
      </c>
      <c r="M14" s="24">
        <v>171</v>
      </c>
      <c r="N14" s="24">
        <v>171</v>
      </c>
      <c r="O14" s="24">
        <v>171</v>
      </c>
      <c r="P14" s="24">
        <v>171</v>
      </c>
      <c r="Q14" s="24">
        <v>171</v>
      </c>
      <c r="R14" s="24">
        <v>171</v>
      </c>
      <c r="S14" s="24">
        <v>171</v>
      </c>
      <c r="T14" s="24">
        <v>171</v>
      </c>
      <c r="U14" s="24">
        <v>171</v>
      </c>
      <c r="V14" s="10"/>
    </row>
    <row r="15" spans="1:22">
      <c r="A15" s="11" t="s">
        <v>20</v>
      </c>
      <c r="B15" s="24">
        <v>205</v>
      </c>
      <c r="C15" s="24">
        <v>205</v>
      </c>
      <c r="D15" s="24">
        <v>205</v>
      </c>
      <c r="E15" s="24">
        <v>205</v>
      </c>
      <c r="F15" s="24">
        <v>205</v>
      </c>
      <c r="G15" s="24">
        <v>205</v>
      </c>
      <c r="H15" s="24">
        <v>205</v>
      </c>
      <c r="I15" s="24">
        <v>205</v>
      </c>
      <c r="J15" s="24">
        <v>205</v>
      </c>
      <c r="K15" s="24">
        <v>205</v>
      </c>
      <c r="L15" s="24">
        <v>205</v>
      </c>
      <c r="M15" s="24">
        <v>205</v>
      </c>
      <c r="N15" s="24">
        <v>205</v>
      </c>
      <c r="O15" s="24">
        <v>205</v>
      </c>
      <c r="P15" s="24">
        <v>205</v>
      </c>
      <c r="Q15" s="24">
        <v>205</v>
      </c>
      <c r="R15" s="24">
        <v>205</v>
      </c>
      <c r="S15" s="24">
        <v>205</v>
      </c>
      <c r="T15" s="24">
        <v>205</v>
      </c>
      <c r="U15" s="24">
        <v>205</v>
      </c>
      <c r="V15" s="10"/>
    </row>
    <row r="16" spans="1:22">
      <c r="A16" s="11" t="s">
        <v>21</v>
      </c>
      <c r="B16" s="24">
        <v>180</v>
      </c>
      <c r="C16" s="24">
        <v>180</v>
      </c>
      <c r="D16" s="24">
        <v>180</v>
      </c>
      <c r="E16" s="24">
        <v>180</v>
      </c>
      <c r="F16" s="24">
        <v>180</v>
      </c>
      <c r="G16" s="24">
        <v>180</v>
      </c>
      <c r="H16" s="24">
        <v>180</v>
      </c>
      <c r="I16" s="24">
        <v>180</v>
      </c>
      <c r="J16" s="24">
        <v>180</v>
      </c>
      <c r="K16" s="24">
        <v>180</v>
      </c>
      <c r="L16" s="24">
        <v>180</v>
      </c>
      <c r="M16" s="24">
        <v>180</v>
      </c>
      <c r="N16" s="24">
        <v>180</v>
      </c>
      <c r="O16" s="24">
        <v>180</v>
      </c>
      <c r="P16" s="24">
        <v>180</v>
      </c>
      <c r="Q16" s="24">
        <v>180</v>
      </c>
      <c r="R16" s="24">
        <v>180</v>
      </c>
      <c r="S16" s="24">
        <v>180</v>
      </c>
      <c r="T16" s="24">
        <v>180</v>
      </c>
      <c r="U16" s="24">
        <v>180</v>
      </c>
      <c r="V16" s="10"/>
    </row>
    <row r="17" spans="1:22">
      <c r="A17" s="11" t="s">
        <v>22</v>
      </c>
      <c r="B17" s="24">
        <v>180</v>
      </c>
      <c r="C17" s="24">
        <v>180</v>
      </c>
      <c r="D17" s="24">
        <v>180</v>
      </c>
      <c r="E17" s="24">
        <v>180</v>
      </c>
      <c r="F17" s="24">
        <v>180</v>
      </c>
      <c r="G17" s="24">
        <v>180</v>
      </c>
      <c r="H17" s="24">
        <v>180</v>
      </c>
      <c r="I17" s="24">
        <v>180</v>
      </c>
      <c r="J17" s="24">
        <v>180</v>
      </c>
      <c r="K17" s="24">
        <v>180</v>
      </c>
      <c r="L17" s="24">
        <v>180</v>
      </c>
      <c r="M17" s="24">
        <v>180</v>
      </c>
      <c r="N17" s="24">
        <v>180</v>
      </c>
      <c r="O17" s="24">
        <v>180</v>
      </c>
      <c r="P17" s="24">
        <v>180</v>
      </c>
      <c r="Q17" s="24">
        <v>180</v>
      </c>
      <c r="R17" s="24">
        <v>180</v>
      </c>
      <c r="S17" s="24">
        <v>180</v>
      </c>
      <c r="T17" s="24">
        <v>180</v>
      </c>
      <c r="U17" s="24">
        <v>180</v>
      </c>
      <c r="V17" s="10"/>
    </row>
    <row r="18" spans="1:22">
      <c r="A18" s="11" t="s">
        <v>23</v>
      </c>
      <c r="B18" s="24">
        <v>180</v>
      </c>
      <c r="C18" s="24">
        <v>180</v>
      </c>
      <c r="D18" s="24">
        <v>180</v>
      </c>
      <c r="E18" s="24">
        <v>180</v>
      </c>
      <c r="F18" s="24">
        <v>180</v>
      </c>
      <c r="G18" s="24">
        <v>180</v>
      </c>
      <c r="H18" s="24">
        <v>180</v>
      </c>
      <c r="I18" s="24">
        <v>180</v>
      </c>
      <c r="J18" s="24">
        <v>180</v>
      </c>
      <c r="K18" s="24">
        <v>180</v>
      </c>
      <c r="L18" s="24">
        <v>180</v>
      </c>
      <c r="M18" s="24">
        <v>180</v>
      </c>
      <c r="N18" s="24">
        <v>180</v>
      </c>
      <c r="O18" s="24">
        <v>180</v>
      </c>
      <c r="P18" s="24">
        <v>180</v>
      </c>
      <c r="Q18" s="24">
        <v>180</v>
      </c>
      <c r="R18" s="24">
        <v>180</v>
      </c>
      <c r="S18" s="24">
        <v>180</v>
      </c>
      <c r="T18" s="24">
        <v>180</v>
      </c>
      <c r="U18" s="24">
        <v>180</v>
      </c>
      <c r="V18" s="10"/>
    </row>
    <row r="19" spans="1:22">
      <c r="A19" s="11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10"/>
    </row>
    <row r="20" spans="1:22">
      <c r="A20" s="11" t="s">
        <v>24</v>
      </c>
      <c r="B20" s="24">
        <v>186</v>
      </c>
      <c r="C20" s="24">
        <v>186</v>
      </c>
      <c r="D20" s="24">
        <v>186</v>
      </c>
      <c r="E20" s="24">
        <v>186</v>
      </c>
      <c r="F20" s="24">
        <v>186</v>
      </c>
      <c r="G20" s="24">
        <v>186</v>
      </c>
      <c r="H20" s="24">
        <v>186</v>
      </c>
      <c r="I20" s="24">
        <v>186</v>
      </c>
      <c r="J20" s="24">
        <v>186</v>
      </c>
      <c r="K20" s="24">
        <v>186</v>
      </c>
      <c r="L20" s="24">
        <v>186</v>
      </c>
      <c r="M20" s="24">
        <v>186</v>
      </c>
      <c r="N20" s="24">
        <v>186</v>
      </c>
      <c r="O20" s="24">
        <v>186</v>
      </c>
      <c r="P20" s="24">
        <v>186</v>
      </c>
      <c r="Q20" s="24">
        <v>186</v>
      </c>
      <c r="R20" s="24">
        <v>186</v>
      </c>
      <c r="S20" s="24">
        <v>186</v>
      </c>
      <c r="T20" s="24">
        <v>186</v>
      </c>
      <c r="U20" s="24">
        <v>186</v>
      </c>
      <c r="V20" s="10"/>
    </row>
    <row r="21" spans="1:22">
      <c r="A21" s="11" t="s">
        <v>25</v>
      </c>
      <c r="B21" s="24">
        <v>180</v>
      </c>
      <c r="C21" s="24">
        <v>180</v>
      </c>
      <c r="D21" s="24">
        <v>180</v>
      </c>
      <c r="E21" s="24">
        <v>180</v>
      </c>
      <c r="F21" s="24">
        <v>180</v>
      </c>
      <c r="G21" s="24">
        <v>180</v>
      </c>
      <c r="H21" s="24">
        <v>180</v>
      </c>
      <c r="I21" s="24">
        <v>180</v>
      </c>
      <c r="J21" s="24">
        <v>180</v>
      </c>
      <c r="K21" s="24">
        <v>180</v>
      </c>
      <c r="L21" s="24">
        <v>180</v>
      </c>
      <c r="M21" s="24">
        <v>180</v>
      </c>
      <c r="N21" s="24">
        <v>180</v>
      </c>
      <c r="O21" s="24">
        <v>180</v>
      </c>
      <c r="P21" s="24">
        <v>180</v>
      </c>
      <c r="Q21" s="24">
        <v>180</v>
      </c>
      <c r="R21" s="24">
        <v>180</v>
      </c>
      <c r="S21" s="24">
        <v>180</v>
      </c>
      <c r="T21" s="24">
        <v>180</v>
      </c>
      <c r="U21" s="24">
        <v>180</v>
      </c>
      <c r="V21" s="10"/>
    </row>
    <row r="22" spans="1:22">
      <c r="A22" s="11" t="s">
        <v>26</v>
      </c>
      <c r="B22" s="24">
        <v>180</v>
      </c>
      <c r="C22" s="24">
        <v>180</v>
      </c>
      <c r="D22" s="24">
        <v>180</v>
      </c>
      <c r="E22" s="24">
        <v>180</v>
      </c>
      <c r="F22" s="24">
        <v>180</v>
      </c>
      <c r="G22" s="24">
        <v>180</v>
      </c>
      <c r="H22" s="24">
        <v>180</v>
      </c>
      <c r="I22" s="24">
        <v>180</v>
      </c>
      <c r="J22" s="24">
        <v>180</v>
      </c>
      <c r="K22" s="24">
        <v>180</v>
      </c>
      <c r="L22" s="24">
        <v>180</v>
      </c>
      <c r="M22" s="24">
        <v>180</v>
      </c>
      <c r="N22" s="24">
        <v>180</v>
      </c>
      <c r="O22" s="24">
        <v>180</v>
      </c>
      <c r="P22" s="24">
        <v>180</v>
      </c>
      <c r="Q22" s="24">
        <v>180</v>
      </c>
      <c r="R22" s="24">
        <v>180</v>
      </c>
      <c r="S22" s="24">
        <v>180</v>
      </c>
      <c r="T22" s="24">
        <v>180</v>
      </c>
      <c r="U22" s="24">
        <v>180</v>
      </c>
      <c r="V22" s="10"/>
    </row>
    <row r="23" spans="1:22">
      <c r="A23" s="11" t="s">
        <v>27</v>
      </c>
      <c r="B23" s="24">
        <v>164</v>
      </c>
      <c r="C23" s="24">
        <v>164</v>
      </c>
      <c r="D23" s="24">
        <v>164</v>
      </c>
      <c r="E23" s="24">
        <v>164</v>
      </c>
      <c r="F23" s="24">
        <v>164</v>
      </c>
      <c r="G23" s="24">
        <v>164</v>
      </c>
      <c r="H23" s="24">
        <v>164</v>
      </c>
      <c r="I23" s="24">
        <v>164</v>
      </c>
      <c r="J23" s="24">
        <v>164</v>
      </c>
      <c r="K23" s="24">
        <v>164</v>
      </c>
      <c r="L23" s="24">
        <v>164</v>
      </c>
      <c r="M23" s="24">
        <v>164</v>
      </c>
      <c r="N23" s="24">
        <v>164</v>
      </c>
      <c r="O23" s="24">
        <v>164</v>
      </c>
      <c r="P23" s="24">
        <v>164</v>
      </c>
      <c r="Q23" s="24">
        <v>164</v>
      </c>
      <c r="R23" s="24">
        <v>164</v>
      </c>
      <c r="S23" s="24">
        <v>164</v>
      </c>
      <c r="T23" s="24">
        <v>164</v>
      </c>
      <c r="U23" s="24">
        <v>164</v>
      </c>
      <c r="V23" s="10"/>
    </row>
    <row r="24" spans="1:22">
      <c r="A24" s="11" t="s">
        <v>28</v>
      </c>
      <c r="B24" s="24">
        <v>180</v>
      </c>
      <c r="C24" s="24">
        <v>180</v>
      </c>
      <c r="D24" s="24">
        <v>180</v>
      </c>
      <c r="E24" s="24">
        <v>180</v>
      </c>
      <c r="F24" s="24">
        <v>180</v>
      </c>
      <c r="G24" s="24">
        <v>180</v>
      </c>
      <c r="H24" s="24">
        <v>180</v>
      </c>
      <c r="I24" s="24">
        <v>180</v>
      </c>
      <c r="J24" s="24">
        <v>180</v>
      </c>
      <c r="K24" s="24">
        <v>180</v>
      </c>
      <c r="L24" s="24">
        <v>180</v>
      </c>
      <c r="M24" s="24">
        <v>180</v>
      </c>
      <c r="N24" s="24">
        <v>180</v>
      </c>
      <c r="O24" s="24">
        <v>180</v>
      </c>
      <c r="P24" s="24">
        <v>180</v>
      </c>
      <c r="Q24" s="24">
        <v>180</v>
      </c>
      <c r="R24" s="24">
        <v>180</v>
      </c>
      <c r="S24" s="24">
        <v>180</v>
      </c>
      <c r="T24" s="24">
        <v>180</v>
      </c>
      <c r="U24" s="24">
        <v>180</v>
      </c>
      <c r="V24" s="10"/>
    </row>
    <row r="25" spans="1:22">
      <c r="A25" s="11" t="s">
        <v>29</v>
      </c>
      <c r="B25" s="24">
        <v>180</v>
      </c>
      <c r="C25" s="24">
        <v>180</v>
      </c>
      <c r="D25" s="24">
        <v>180</v>
      </c>
      <c r="E25" s="24">
        <v>180</v>
      </c>
      <c r="F25" s="24">
        <v>180</v>
      </c>
      <c r="G25" s="24">
        <v>180</v>
      </c>
      <c r="H25" s="24">
        <v>180</v>
      </c>
      <c r="I25" s="24">
        <v>180</v>
      </c>
      <c r="J25" s="24">
        <v>180</v>
      </c>
      <c r="K25" s="24">
        <v>180</v>
      </c>
      <c r="L25" s="24">
        <v>180</v>
      </c>
      <c r="M25" s="24">
        <v>180</v>
      </c>
      <c r="N25" s="24">
        <v>180</v>
      </c>
      <c r="O25" s="24">
        <v>180</v>
      </c>
      <c r="P25" s="24">
        <v>180</v>
      </c>
      <c r="Q25" s="24">
        <v>180</v>
      </c>
      <c r="R25" s="24">
        <v>180</v>
      </c>
      <c r="S25" s="24">
        <v>180</v>
      </c>
      <c r="T25" s="24">
        <v>180</v>
      </c>
      <c r="U25" s="24">
        <v>180</v>
      </c>
      <c r="V25" s="10"/>
    </row>
    <row r="26" spans="1:22">
      <c r="A26" s="11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10"/>
    </row>
    <row r="27" spans="1:22">
      <c r="A27" s="11" t="s">
        <v>30</v>
      </c>
      <c r="B27" s="24">
        <v>180</v>
      </c>
      <c r="C27" s="24">
        <v>180</v>
      </c>
      <c r="D27" s="24">
        <v>180</v>
      </c>
      <c r="E27" s="24">
        <v>180</v>
      </c>
      <c r="F27" s="24">
        <v>180</v>
      </c>
      <c r="G27" s="24">
        <v>180</v>
      </c>
      <c r="H27" s="24">
        <v>180</v>
      </c>
      <c r="I27" s="24">
        <v>180</v>
      </c>
      <c r="J27" s="24">
        <v>180</v>
      </c>
      <c r="K27" s="24">
        <v>180</v>
      </c>
      <c r="L27" s="24">
        <v>180</v>
      </c>
      <c r="M27" s="24">
        <v>180</v>
      </c>
      <c r="N27" s="24">
        <v>180</v>
      </c>
      <c r="O27" s="24">
        <v>180</v>
      </c>
      <c r="P27" s="24">
        <v>180</v>
      </c>
      <c r="Q27" s="24">
        <v>180</v>
      </c>
      <c r="R27" s="24">
        <v>180</v>
      </c>
      <c r="S27" s="24">
        <v>180</v>
      </c>
      <c r="T27" s="24">
        <v>180</v>
      </c>
      <c r="U27" s="24">
        <v>180</v>
      </c>
      <c r="V27" s="10"/>
    </row>
    <row r="28" spans="1:22">
      <c r="A28" s="11" t="s">
        <v>31</v>
      </c>
      <c r="B28" s="24">
        <v>176</v>
      </c>
      <c r="C28" s="24">
        <v>176</v>
      </c>
      <c r="D28" s="24">
        <v>176</v>
      </c>
      <c r="E28" s="24">
        <v>176</v>
      </c>
      <c r="F28" s="24">
        <v>176</v>
      </c>
      <c r="G28" s="24">
        <v>176</v>
      </c>
      <c r="H28" s="24">
        <v>176</v>
      </c>
      <c r="I28" s="24">
        <v>176</v>
      </c>
      <c r="J28" s="24">
        <v>176</v>
      </c>
      <c r="K28" s="24">
        <v>176</v>
      </c>
      <c r="L28" s="24">
        <v>176</v>
      </c>
      <c r="M28" s="24">
        <v>176</v>
      </c>
      <c r="N28" s="24">
        <v>176</v>
      </c>
      <c r="O28" s="24">
        <v>176</v>
      </c>
      <c r="P28" s="24">
        <v>176</v>
      </c>
      <c r="Q28" s="24">
        <v>176</v>
      </c>
      <c r="R28" s="24">
        <v>176</v>
      </c>
      <c r="S28" s="24">
        <v>176</v>
      </c>
      <c r="T28" s="24">
        <v>176</v>
      </c>
      <c r="U28" s="24">
        <v>176</v>
      </c>
      <c r="V28" s="10"/>
    </row>
    <row r="29" spans="1:22">
      <c r="A29" s="11" t="s">
        <v>32</v>
      </c>
      <c r="B29" s="24">
        <v>180</v>
      </c>
      <c r="C29" s="24">
        <v>180</v>
      </c>
      <c r="D29" s="24">
        <v>180</v>
      </c>
      <c r="E29" s="24">
        <v>180</v>
      </c>
      <c r="F29" s="24">
        <v>180</v>
      </c>
      <c r="G29" s="24">
        <v>180</v>
      </c>
      <c r="H29" s="24">
        <v>180</v>
      </c>
      <c r="I29" s="24">
        <v>180</v>
      </c>
      <c r="J29" s="24">
        <v>180</v>
      </c>
      <c r="K29" s="24">
        <v>180</v>
      </c>
      <c r="L29" s="24">
        <v>180</v>
      </c>
      <c r="M29" s="24">
        <v>180</v>
      </c>
      <c r="N29" s="24">
        <v>180</v>
      </c>
      <c r="O29" s="24">
        <v>180</v>
      </c>
      <c r="P29" s="24">
        <v>180</v>
      </c>
      <c r="Q29" s="24">
        <v>180</v>
      </c>
      <c r="R29" s="24">
        <v>180</v>
      </c>
      <c r="S29" s="24">
        <v>180</v>
      </c>
      <c r="T29" s="24">
        <v>180</v>
      </c>
      <c r="U29" s="24">
        <v>180</v>
      </c>
      <c r="V29" s="10"/>
    </row>
    <row r="30" spans="1:22">
      <c r="A30" s="11" t="s">
        <v>33</v>
      </c>
      <c r="B30" s="24">
        <v>153</v>
      </c>
      <c r="C30" s="24">
        <v>153</v>
      </c>
      <c r="D30" s="24">
        <v>153</v>
      </c>
      <c r="E30" s="24">
        <v>153</v>
      </c>
      <c r="F30" s="24">
        <v>153</v>
      </c>
      <c r="G30" s="24">
        <v>153</v>
      </c>
      <c r="H30" s="24">
        <v>153</v>
      </c>
      <c r="I30" s="24">
        <v>153</v>
      </c>
      <c r="J30" s="24">
        <v>153</v>
      </c>
      <c r="K30" s="24">
        <v>153</v>
      </c>
      <c r="L30" s="24">
        <v>153</v>
      </c>
      <c r="M30" s="24">
        <v>153</v>
      </c>
      <c r="N30" s="24">
        <v>153</v>
      </c>
      <c r="O30" s="24">
        <v>153</v>
      </c>
      <c r="P30" s="24">
        <v>153</v>
      </c>
      <c r="Q30" s="24">
        <v>153</v>
      </c>
      <c r="R30" s="24">
        <v>153</v>
      </c>
      <c r="S30" s="24">
        <v>153</v>
      </c>
      <c r="T30" s="24">
        <v>153</v>
      </c>
      <c r="U30" s="24">
        <v>153</v>
      </c>
      <c r="V30" s="10"/>
    </row>
    <row r="31" spans="1:22">
      <c r="A31" s="11" t="s">
        <v>34</v>
      </c>
      <c r="B31" s="24">
        <v>180</v>
      </c>
      <c r="C31" s="24">
        <v>180</v>
      </c>
      <c r="D31" s="24">
        <v>180</v>
      </c>
      <c r="E31" s="24">
        <v>180</v>
      </c>
      <c r="F31" s="24">
        <v>180</v>
      </c>
      <c r="G31" s="24">
        <v>180</v>
      </c>
      <c r="H31" s="24">
        <v>180</v>
      </c>
      <c r="I31" s="24">
        <v>180</v>
      </c>
      <c r="J31" s="24">
        <v>180</v>
      </c>
      <c r="K31" s="24">
        <v>180</v>
      </c>
      <c r="L31" s="24">
        <v>180</v>
      </c>
      <c r="M31" s="24">
        <v>180</v>
      </c>
      <c r="N31" s="24">
        <v>180</v>
      </c>
      <c r="O31" s="24">
        <v>180</v>
      </c>
      <c r="P31" s="24">
        <v>180</v>
      </c>
      <c r="Q31" s="24">
        <v>180</v>
      </c>
      <c r="R31" s="24">
        <v>180</v>
      </c>
      <c r="S31" s="24">
        <v>180</v>
      </c>
      <c r="T31" s="24">
        <v>180</v>
      </c>
      <c r="U31" s="24">
        <v>180</v>
      </c>
      <c r="V31" s="10"/>
    </row>
    <row r="32" spans="1:22">
      <c r="A32" s="11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10"/>
    </row>
    <row r="33" spans="1:22">
      <c r="A33" s="11" t="s">
        <v>35</v>
      </c>
      <c r="B33" s="24">
        <v>180</v>
      </c>
      <c r="C33" s="24">
        <v>180</v>
      </c>
      <c r="D33" s="24">
        <v>180</v>
      </c>
      <c r="E33" s="24">
        <v>180</v>
      </c>
      <c r="F33" s="24">
        <v>180</v>
      </c>
      <c r="G33" s="24">
        <v>180</v>
      </c>
      <c r="H33" s="24">
        <v>180</v>
      </c>
      <c r="I33" s="24">
        <v>180</v>
      </c>
      <c r="J33" s="24">
        <v>180</v>
      </c>
      <c r="K33" s="24">
        <v>180</v>
      </c>
      <c r="L33" s="24">
        <v>180</v>
      </c>
      <c r="M33" s="24">
        <v>180</v>
      </c>
      <c r="N33" s="24">
        <v>180</v>
      </c>
      <c r="O33" s="24">
        <v>180</v>
      </c>
      <c r="P33" s="24">
        <v>180</v>
      </c>
      <c r="Q33" s="24">
        <v>180</v>
      </c>
      <c r="R33" s="24">
        <v>180</v>
      </c>
      <c r="S33" s="24">
        <v>180</v>
      </c>
      <c r="T33" s="24">
        <v>180</v>
      </c>
      <c r="U33" s="24">
        <v>180</v>
      </c>
      <c r="V33" s="10"/>
    </row>
    <row r="34" spans="1:22">
      <c r="A34" s="11" t="s">
        <v>36</v>
      </c>
      <c r="B34" s="24">
        <v>177</v>
      </c>
      <c r="C34" s="24">
        <v>177</v>
      </c>
      <c r="D34" s="24">
        <v>177</v>
      </c>
      <c r="E34" s="24">
        <v>177</v>
      </c>
      <c r="F34" s="24">
        <v>177</v>
      </c>
      <c r="G34" s="24">
        <v>177</v>
      </c>
      <c r="H34" s="24">
        <v>177</v>
      </c>
      <c r="I34" s="24">
        <v>177</v>
      </c>
      <c r="J34" s="24">
        <v>177</v>
      </c>
      <c r="K34" s="24">
        <v>177</v>
      </c>
      <c r="L34" s="24">
        <v>177</v>
      </c>
      <c r="M34" s="24">
        <v>177</v>
      </c>
      <c r="N34" s="24">
        <v>177</v>
      </c>
      <c r="O34" s="24">
        <v>177</v>
      </c>
      <c r="P34" s="24">
        <v>177</v>
      </c>
      <c r="Q34" s="24">
        <v>177</v>
      </c>
      <c r="R34" s="24">
        <v>177</v>
      </c>
      <c r="S34" s="24">
        <v>177</v>
      </c>
      <c r="T34" s="24">
        <v>177</v>
      </c>
      <c r="U34" s="24">
        <v>177</v>
      </c>
      <c r="V34" s="10"/>
    </row>
    <row r="35" spans="1:22">
      <c r="A35" s="11" t="s">
        <v>37</v>
      </c>
      <c r="B35" s="24">
        <v>180</v>
      </c>
      <c r="C35" s="24">
        <v>180</v>
      </c>
      <c r="D35" s="24">
        <v>180</v>
      </c>
      <c r="E35" s="24">
        <v>180</v>
      </c>
      <c r="F35" s="24">
        <v>180</v>
      </c>
      <c r="G35" s="24">
        <v>180</v>
      </c>
      <c r="H35" s="24">
        <v>180</v>
      </c>
      <c r="I35" s="24">
        <v>180</v>
      </c>
      <c r="J35" s="24">
        <v>180</v>
      </c>
      <c r="K35" s="24">
        <v>180</v>
      </c>
      <c r="L35" s="24">
        <v>180</v>
      </c>
      <c r="M35" s="24">
        <v>180</v>
      </c>
      <c r="N35" s="24">
        <v>180</v>
      </c>
      <c r="O35" s="24">
        <v>180</v>
      </c>
      <c r="P35" s="24">
        <v>180</v>
      </c>
      <c r="Q35" s="24">
        <v>180</v>
      </c>
      <c r="R35" s="24">
        <v>180</v>
      </c>
      <c r="S35" s="24">
        <v>180</v>
      </c>
      <c r="T35" s="24">
        <v>180</v>
      </c>
      <c r="U35" s="24">
        <v>180</v>
      </c>
      <c r="V35" s="10"/>
    </row>
    <row r="36" spans="1:22">
      <c r="A36" s="11" t="s">
        <v>38</v>
      </c>
      <c r="B36" s="24">
        <v>180</v>
      </c>
      <c r="C36" s="24">
        <v>180</v>
      </c>
      <c r="D36" s="24">
        <v>180</v>
      </c>
      <c r="E36" s="24">
        <v>180</v>
      </c>
      <c r="F36" s="24">
        <v>180</v>
      </c>
      <c r="G36" s="24">
        <v>180</v>
      </c>
      <c r="H36" s="24">
        <v>180</v>
      </c>
      <c r="I36" s="24">
        <v>180</v>
      </c>
      <c r="J36" s="24">
        <v>180</v>
      </c>
      <c r="K36" s="24">
        <v>180</v>
      </c>
      <c r="L36" s="24">
        <v>180</v>
      </c>
      <c r="M36" s="24">
        <v>180</v>
      </c>
      <c r="N36" s="24">
        <v>180</v>
      </c>
      <c r="O36" s="24">
        <v>180</v>
      </c>
      <c r="P36" s="24">
        <v>180</v>
      </c>
      <c r="Q36" s="24">
        <v>180</v>
      </c>
      <c r="R36" s="24">
        <v>180</v>
      </c>
      <c r="S36" s="24">
        <v>180</v>
      </c>
      <c r="T36" s="24">
        <v>180</v>
      </c>
      <c r="U36" s="24">
        <v>180</v>
      </c>
      <c r="V36" s="10"/>
    </row>
    <row r="37" spans="1:22">
      <c r="A37" s="11" t="s">
        <v>39</v>
      </c>
      <c r="B37" s="24">
        <v>180</v>
      </c>
      <c r="C37" s="24">
        <v>180</v>
      </c>
      <c r="D37" s="24">
        <v>180</v>
      </c>
      <c r="E37" s="24">
        <v>180</v>
      </c>
      <c r="F37" s="24">
        <v>180</v>
      </c>
      <c r="G37" s="24">
        <v>180</v>
      </c>
      <c r="H37" s="24">
        <v>180</v>
      </c>
      <c r="I37" s="24">
        <v>180</v>
      </c>
      <c r="J37" s="24">
        <v>180</v>
      </c>
      <c r="K37" s="24">
        <v>180</v>
      </c>
      <c r="L37" s="24">
        <v>180</v>
      </c>
      <c r="M37" s="24">
        <v>180</v>
      </c>
      <c r="N37" s="24">
        <v>180</v>
      </c>
      <c r="O37" s="24">
        <v>180</v>
      </c>
      <c r="P37" s="24">
        <v>180</v>
      </c>
      <c r="Q37" s="24">
        <v>180</v>
      </c>
      <c r="R37" s="24">
        <v>180</v>
      </c>
      <c r="S37" s="24">
        <v>180</v>
      </c>
      <c r="T37" s="24">
        <v>180</v>
      </c>
      <c r="U37" s="24">
        <v>180</v>
      </c>
      <c r="V37" s="10"/>
    </row>
    <row r="38" spans="1:22"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</row>
    <row r="39" spans="1:22"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</row>
    <row r="40" spans="1:22"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</row>
    <row r="41" spans="1:22"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</row>
    <row r="42" spans="1:22"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</row>
  </sheetData>
  <phoneticPr fontId="6" type="noConversion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DE023-4321-3146-ADA1-BD6B5D13257D}">
  <dimension ref="A1:W42"/>
  <sheetViews>
    <sheetView workbookViewId="0">
      <selection activeCell="C11" sqref="C11"/>
    </sheetView>
  </sheetViews>
  <sheetFormatPr baseColWidth="10" defaultRowHeight="16"/>
  <cols>
    <col min="1" max="1" width="19" style="10" customWidth="1"/>
  </cols>
  <sheetData>
    <row r="1" spans="1:23" ht="17">
      <c r="A1" s="23" t="s">
        <v>43</v>
      </c>
      <c r="B1" s="20">
        <v>1997</v>
      </c>
      <c r="C1" s="20">
        <v>1998</v>
      </c>
      <c r="D1" s="20">
        <v>1999</v>
      </c>
      <c r="E1" s="20">
        <v>2000</v>
      </c>
      <c r="F1" s="20">
        <v>2001</v>
      </c>
      <c r="G1" s="20">
        <v>2002</v>
      </c>
      <c r="H1" s="20">
        <v>2003</v>
      </c>
      <c r="I1" s="20">
        <v>2004</v>
      </c>
      <c r="J1" s="20">
        <v>2005</v>
      </c>
      <c r="K1" s="20">
        <v>2006</v>
      </c>
      <c r="L1" s="20">
        <v>2007</v>
      </c>
      <c r="M1" s="20">
        <v>2008</v>
      </c>
      <c r="N1" s="20">
        <v>2009</v>
      </c>
      <c r="O1" s="20">
        <v>2010</v>
      </c>
      <c r="P1" s="20">
        <v>2011</v>
      </c>
      <c r="Q1" s="20">
        <v>2012</v>
      </c>
      <c r="R1" s="20">
        <v>2013</v>
      </c>
      <c r="S1" s="20">
        <v>2014</v>
      </c>
      <c r="T1" s="20">
        <v>2015</v>
      </c>
      <c r="U1" s="20">
        <v>2016</v>
      </c>
    </row>
    <row r="2" spans="1:23">
      <c r="A2" s="16" t="s">
        <v>9</v>
      </c>
      <c r="B2" s="24">
        <v>9</v>
      </c>
      <c r="C2" s="24">
        <v>9</v>
      </c>
      <c r="D2" s="24">
        <v>9</v>
      </c>
      <c r="E2" s="24">
        <v>9</v>
      </c>
      <c r="F2" s="24">
        <v>9</v>
      </c>
      <c r="G2" s="24">
        <v>9</v>
      </c>
      <c r="H2" s="24">
        <v>9</v>
      </c>
      <c r="I2" s="24">
        <v>9</v>
      </c>
      <c r="J2" s="24">
        <v>9</v>
      </c>
      <c r="K2" s="24">
        <v>9</v>
      </c>
      <c r="L2" s="24">
        <v>9</v>
      </c>
      <c r="M2" s="24">
        <v>9</v>
      </c>
      <c r="N2" s="24">
        <v>9</v>
      </c>
      <c r="O2" s="24">
        <v>9</v>
      </c>
      <c r="P2" s="24">
        <v>9</v>
      </c>
      <c r="Q2" s="24">
        <v>9</v>
      </c>
      <c r="R2" s="24">
        <v>9</v>
      </c>
      <c r="S2" s="24">
        <v>9</v>
      </c>
      <c r="T2" s="24">
        <v>9</v>
      </c>
      <c r="U2" s="24">
        <v>9</v>
      </c>
      <c r="V2" s="10"/>
      <c r="W2" s="10"/>
    </row>
    <row r="3" spans="1:23">
      <c r="A3" s="11" t="s">
        <v>10</v>
      </c>
      <c r="B3" s="24">
        <v>13</v>
      </c>
      <c r="C3" s="24">
        <v>13</v>
      </c>
      <c r="D3" s="24">
        <v>13</v>
      </c>
      <c r="E3" s="24">
        <v>13</v>
      </c>
      <c r="F3" s="24">
        <v>13</v>
      </c>
      <c r="G3" s="24">
        <v>13</v>
      </c>
      <c r="H3" s="24">
        <v>13</v>
      </c>
      <c r="I3" s="24">
        <v>13</v>
      </c>
      <c r="J3" s="24">
        <v>13</v>
      </c>
      <c r="K3" s="24">
        <v>13</v>
      </c>
      <c r="L3" s="24">
        <v>13</v>
      </c>
      <c r="M3" s="24">
        <v>13</v>
      </c>
      <c r="N3" s="24">
        <v>13</v>
      </c>
      <c r="O3" s="24">
        <v>13</v>
      </c>
      <c r="P3" s="24">
        <v>13</v>
      </c>
      <c r="Q3" s="24">
        <v>13</v>
      </c>
      <c r="R3" s="24">
        <v>13</v>
      </c>
      <c r="S3" s="24">
        <v>13</v>
      </c>
      <c r="T3" s="24">
        <v>13</v>
      </c>
      <c r="U3" s="24">
        <v>13</v>
      </c>
      <c r="V3" s="10"/>
      <c r="W3" s="10"/>
    </row>
    <row r="4" spans="1:23">
      <c r="A4" s="11" t="s">
        <v>11</v>
      </c>
      <c r="B4" s="24">
        <v>14</v>
      </c>
      <c r="C4" s="24">
        <v>14</v>
      </c>
      <c r="D4" s="24">
        <v>14</v>
      </c>
      <c r="E4" s="24">
        <v>14</v>
      </c>
      <c r="F4" s="24">
        <v>14</v>
      </c>
      <c r="G4" s="24">
        <v>14</v>
      </c>
      <c r="H4" s="24">
        <v>14</v>
      </c>
      <c r="I4" s="24">
        <v>14</v>
      </c>
      <c r="J4" s="24">
        <v>14</v>
      </c>
      <c r="K4" s="24">
        <v>14</v>
      </c>
      <c r="L4" s="24">
        <v>14</v>
      </c>
      <c r="M4" s="24">
        <v>14</v>
      </c>
      <c r="N4" s="24">
        <v>14</v>
      </c>
      <c r="O4" s="24">
        <v>14</v>
      </c>
      <c r="P4" s="24">
        <v>14</v>
      </c>
      <c r="Q4" s="24">
        <v>14</v>
      </c>
      <c r="R4" s="24">
        <v>14</v>
      </c>
      <c r="S4" s="24">
        <v>14</v>
      </c>
      <c r="T4" s="24">
        <v>14</v>
      </c>
      <c r="U4" s="24">
        <v>14</v>
      </c>
      <c r="V4" s="10"/>
      <c r="W4" s="10"/>
    </row>
    <row r="5" spans="1:23">
      <c r="A5" s="11" t="s">
        <v>12</v>
      </c>
      <c r="B5" s="24">
        <v>13</v>
      </c>
      <c r="C5" s="24">
        <v>13</v>
      </c>
      <c r="D5" s="24">
        <v>13</v>
      </c>
      <c r="E5" s="24">
        <v>13</v>
      </c>
      <c r="F5" s="24">
        <v>13</v>
      </c>
      <c r="G5" s="24">
        <v>13</v>
      </c>
      <c r="H5" s="24">
        <v>13</v>
      </c>
      <c r="I5" s="24">
        <v>13</v>
      </c>
      <c r="J5" s="24">
        <v>13</v>
      </c>
      <c r="K5" s="24">
        <v>13</v>
      </c>
      <c r="L5" s="24">
        <v>13</v>
      </c>
      <c r="M5" s="24">
        <v>13</v>
      </c>
      <c r="N5" s="24">
        <v>13</v>
      </c>
      <c r="O5" s="24">
        <v>13</v>
      </c>
      <c r="P5" s="24">
        <v>13</v>
      </c>
      <c r="Q5" s="24">
        <v>13</v>
      </c>
      <c r="R5" s="24">
        <v>13</v>
      </c>
      <c r="S5" s="24">
        <v>13</v>
      </c>
      <c r="T5" s="24">
        <v>13</v>
      </c>
      <c r="U5" s="24">
        <v>13</v>
      </c>
      <c r="V5" s="10"/>
      <c r="W5" s="10"/>
    </row>
    <row r="6" spans="1:23">
      <c r="A6" s="11" t="s">
        <v>13</v>
      </c>
      <c r="B6" s="24">
        <v>13</v>
      </c>
      <c r="C6" s="24">
        <v>13</v>
      </c>
      <c r="D6" s="24">
        <v>13</v>
      </c>
      <c r="E6" s="24">
        <v>13</v>
      </c>
      <c r="F6" s="24">
        <v>13</v>
      </c>
      <c r="G6" s="24">
        <v>13</v>
      </c>
      <c r="H6" s="24">
        <v>13</v>
      </c>
      <c r="I6" s="24">
        <v>13</v>
      </c>
      <c r="J6" s="24">
        <v>13</v>
      </c>
      <c r="K6" s="24">
        <v>13</v>
      </c>
      <c r="L6" s="24">
        <v>13</v>
      </c>
      <c r="M6" s="24">
        <v>13</v>
      </c>
      <c r="N6" s="24">
        <v>13</v>
      </c>
      <c r="O6" s="24">
        <v>13</v>
      </c>
      <c r="P6" s="24">
        <v>13</v>
      </c>
      <c r="Q6" s="24">
        <v>13</v>
      </c>
      <c r="R6" s="24">
        <v>13</v>
      </c>
      <c r="S6" s="24">
        <v>13</v>
      </c>
      <c r="T6" s="24">
        <v>13</v>
      </c>
      <c r="U6" s="24">
        <v>13</v>
      </c>
      <c r="V6" s="10"/>
      <c r="W6" s="10"/>
    </row>
    <row r="7" spans="1:23">
      <c r="A7" s="11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10"/>
      <c r="W7" s="10"/>
    </row>
    <row r="8" spans="1:23">
      <c r="A8" s="11" t="s">
        <v>14</v>
      </c>
      <c r="B8" s="24">
        <v>13</v>
      </c>
      <c r="C8" s="24">
        <v>13</v>
      </c>
      <c r="D8" s="24">
        <v>13</v>
      </c>
      <c r="E8" s="24">
        <v>13</v>
      </c>
      <c r="F8" s="24">
        <v>13</v>
      </c>
      <c r="G8" s="24">
        <v>13</v>
      </c>
      <c r="H8" s="24">
        <v>13</v>
      </c>
      <c r="I8" s="24">
        <v>13</v>
      </c>
      <c r="J8" s="24">
        <v>13</v>
      </c>
      <c r="K8" s="24">
        <v>13</v>
      </c>
      <c r="L8" s="24">
        <v>13</v>
      </c>
      <c r="M8" s="24">
        <v>13</v>
      </c>
      <c r="N8" s="24">
        <v>13</v>
      </c>
      <c r="O8" s="24">
        <v>13</v>
      </c>
      <c r="P8" s="24">
        <v>13</v>
      </c>
      <c r="Q8" s="24">
        <v>13</v>
      </c>
      <c r="R8" s="24">
        <v>13</v>
      </c>
      <c r="S8" s="24">
        <v>13</v>
      </c>
      <c r="T8" s="24">
        <v>13</v>
      </c>
      <c r="U8" s="24">
        <v>13</v>
      </c>
      <c r="V8" s="10"/>
      <c r="W8" s="10"/>
    </row>
    <row r="9" spans="1:23">
      <c r="A9" s="11" t="s">
        <v>15</v>
      </c>
      <c r="B9" s="24">
        <v>13</v>
      </c>
      <c r="C9" s="24">
        <v>13</v>
      </c>
      <c r="D9" s="24">
        <v>13</v>
      </c>
      <c r="E9" s="24">
        <v>13</v>
      </c>
      <c r="F9" s="24">
        <v>13</v>
      </c>
      <c r="G9" s="24">
        <v>13</v>
      </c>
      <c r="H9" s="24">
        <v>13</v>
      </c>
      <c r="I9" s="24">
        <v>13</v>
      </c>
      <c r="J9" s="24">
        <v>13</v>
      </c>
      <c r="K9" s="24">
        <v>13</v>
      </c>
      <c r="L9" s="24">
        <v>13</v>
      </c>
      <c r="M9" s="24">
        <v>13</v>
      </c>
      <c r="N9" s="24">
        <v>13</v>
      </c>
      <c r="O9" s="24">
        <v>13</v>
      </c>
      <c r="P9" s="24">
        <v>13</v>
      </c>
      <c r="Q9" s="24">
        <v>13</v>
      </c>
      <c r="R9" s="24">
        <v>13</v>
      </c>
      <c r="S9" s="24">
        <v>13</v>
      </c>
      <c r="T9" s="24">
        <v>13</v>
      </c>
      <c r="U9" s="24">
        <v>13</v>
      </c>
      <c r="V9" s="10"/>
      <c r="W9" s="10"/>
    </row>
    <row r="10" spans="1:23">
      <c r="A10" s="11" t="s">
        <v>16</v>
      </c>
      <c r="B10" s="24">
        <v>10</v>
      </c>
      <c r="C10" s="24">
        <v>10</v>
      </c>
      <c r="D10" s="24">
        <v>10</v>
      </c>
      <c r="E10" s="24">
        <v>10</v>
      </c>
      <c r="F10" s="24">
        <v>10</v>
      </c>
      <c r="G10" s="24">
        <v>10</v>
      </c>
      <c r="H10" s="24">
        <v>10</v>
      </c>
      <c r="I10" s="24">
        <v>10</v>
      </c>
      <c r="J10" s="24">
        <v>10</v>
      </c>
      <c r="K10" s="24">
        <v>10</v>
      </c>
      <c r="L10" s="24">
        <v>10</v>
      </c>
      <c r="M10" s="24">
        <v>10</v>
      </c>
      <c r="N10" s="24">
        <v>10</v>
      </c>
      <c r="O10" s="24">
        <v>10</v>
      </c>
      <c r="P10" s="24">
        <v>10</v>
      </c>
      <c r="Q10" s="24">
        <v>10</v>
      </c>
      <c r="R10" s="24">
        <v>10</v>
      </c>
      <c r="S10" s="24">
        <v>10</v>
      </c>
      <c r="T10" s="24">
        <v>10</v>
      </c>
      <c r="U10" s="24">
        <v>10</v>
      </c>
      <c r="V10" s="10"/>
      <c r="W10" s="10"/>
    </row>
    <row r="11" spans="1:23">
      <c r="A11" s="11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10"/>
      <c r="W11" s="10"/>
    </row>
    <row r="12" spans="1:23">
      <c r="A12" s="11" t="s">
        <v>17</v>
      </c>
      <c r="B12" s="24">
        <v>13</v>
      </c>
      <c r="C12" s="24">
        <v>13</v>
      </c>
      <c r="D12" s="24">
        <v>13</v>
      </c>
      <c r="E12" s="24">
        <v>13</v>
      </c>
      <c r="F12" s="24">
        <v>13</v>
      </c>
      <c r="G12" s="24">
        <v>13</v>
      </c>
      <c r="H12" s="24">
        <v>13</v>
      </c>
      <c r="I12" s="24">
        <v>13</v>
      </c>
      <c r="J12" s="24">
        <v>13</v>
      </c>
      <c r="K12" s="24">
        <v>13</v>
      </c>
      <c r="L12" s="24">
        <v>13</v>
      </c>
      <c r="M12" s="24">
        <v>13</v>
      </c>
      <c r="N12" s="24">
        <v>13</v>
      </c>
      <c r="O12" s="24">
        <v>13</v>
      </c>
      <c r="P12" s="24">
        <v>13</v>
      </c>
      <c r="Q12" s="24">
        <v>13</v>
      </c>
      <c r="R12" s="24">
        <v>13</v>
      </c>
      <c r="S12" s="24">
        <v>13</v>
      </c>
      <c r="T12" s="24">
        <v>13</v>
      </c>
      <c r="U12" s="24">
        <v>13</v>
      </c>
      <c r="V12" s="10"/>
      <c r="W12" s="10"/>
    </row>
    <row r="13" spans="1:23">
      <c r="A13" s="11" t="s">
        <v>18</v>
      </c>
      <c r="B13" s="24">
        <v>13</v>
      </c>
      <c r="C13" s="24">
        <v>13</v>
      </c>
      <c r="D13" s="24">
        <v>13</v>
      </c>
      <c r="E13" s="24">
        <v>13</v>
      </c>
      <c r="F13" s="24">
        <v>13</v>
      </c>
      <c r="G13" s="24">
        <v>13</v>
      </c>
      <c r="H13" s="24">
        <v>13</v>
      </c>
      <c r="I13" s="24">
        <v>13</v>
      </c>
      <c r="J13" s="24">
        <v>13</v>
      </c>
      <c r="K13" s="24">
        <v>13</v>
      </c>
      <c r="L13" s="24">
        <v>13</v>
      </c>
      <c r="M13" s="24">
        <v>13</v>
      </c>
      <c r="N13" s="24">
        <v>13</v>
      </c>
      <c r="O13" s="24">
        <v>13</v>
      </c>
      <c r="P13" s="24">
        <v>13</v>
      </c>
      <c r="Q13" s="24">
        <v>13</v>
      </c>
      <c r="R13" s="24">
        <v>13</v>
      </c>
      <c r="S13" s="24">
        <v>13</v>
      </c>
      <c r="T13" s="24">
        <v>13</v>
      </c>
      <c r="U13" s="24">
        <v>13</v>
      </c>
      <c r="V13" s="10"/>
      <c r="W13" s="10"/>
    </row>
    <row r="14" spans="1:23">
      <c r="A14" s="11" t="s">
        <v>19</v>
      </c>
      <c r="B14" s="24">
        <v>9</v>
      </c>
      <c r="C14" s="24">
        <v>9</v>
      </c>
      <c r="D14" s="24">
        <v>9</v>
      </c>
      <c r="E14" s="24">
        <v>9</v>
      </c>
      <c r="F14" s="24">
        <v>9</v>
      </c>
      <c r="G14" s="24">
        <v>9</v>
      </c>
      <c r="H14" s="24">
        <v>9</v>
      </c>
      <c r="I14" s="24">
        <v>9</v>
      </c>
      <c r="J14" s="24">
        <v>9</v>
      </c>
      <c r="K14" s="24">
        <v>9</v>
      </c>
      <c r="L14" s="24">
        <v>9</v>
      </c>
      <c r="M14" s="24">
        <v>9</v>
      </c>
      <c r="N14" s="24">
        <v>9</v>
      </c>
      <c r="O14" s="24">
        <v>9</v>
      </c>
      <c r="P14" s="24">
        <v>9</v>
      </c>
      <c r="Q14" s="24">
        <v>9</v>
      </c>
      <c r="R14" s="24">
        <v>9</v>
      </c>
      <c r="S14" s="24">
        <v>9</v>
      </c>
      <c r="T14" s="24">
        <v>9</v>
      </c>
      <c r="U14" s="24">
        <v>9</v>
      </c>
      <c r="V14" s="10"/>
      <c r="W14" s="10"/>
    </row>
    <row r="15" spans="1:23">
      <c r="A15" s="11" t="s">
        <v>20</v>
      </c>
      <c r="B15" s="24">
        <v>19</v>
      </c>
      <c r="C15" s="24">
        <v>19</v>
      </c>
      <c r="D15" s="24">
        <v>19</v>
      </c>
      <c r="E15" s="24">
        <v>19</v>
      </c>
      <c r="F15" s="24">
        <v>19</v>
      </c>
      <c r="G15" s="24">
        <v>19</v>
      </c>
      <c r="H15" s="24">
        <v>19</v>
      </c>
      <c r="I15" s="24">
        <v>19</v>
      </c>
      <c r="J15" s="24">
        <v>19</v>
      </c>
      <c r="K15" s="24">
        <v>19</v>
      </c>
      <c r="L15" s="24">
        <v>19</v>
      </c>
      <c r="M15" s="24">
        <v>19</v>
      </c>
      <c r="N15" s="24">
        <v>19</v>
      </c>
      <c r="O15" s="24">
        <v>19</v>
      </c>
      <c r="P15" s="24">
        <v>19</v>
      </c>
      <c r="Q15" s="24">
        <v>19</v>
      </c>
      <c r="R15" s="24">
        <v>19</v>
      </c>
      <c r="S15" s="24">
        <v>19</v>
      </c>
      <c r="T15" s="24">
        <v>19</v>
      </c>
      <c r="U15" s="24">
        <v>19</v>
      </c>
      <c r="V15" s="10"/>
      <c r="W15" s="10"/>
    </row>
    <row r="16" spans="1:23">
      <c r="A16" s="11" t="s">
        <v>21</v>
      </c>
      <c r="B16" s="24">
        <v>13</v>
      </c>
      <c r="C16" s="24">
        <v>13</v>
      </c>
      <c r="D16" s="24">
        <v>13</v>
      </c>
      <c r="E16" s="24">
        <v>13</v>
      </c>
      <c r="F16" s="24">
        <v>13</v>
      </c>
      <c r="G16" s="24">
        <v>13</v>
      </c>
      <c r="H16" s="24">
        <v>13</v>
      </c>
      <c r="I16" s="24">
        <v>13</v>
      </c>
      <c r="J16" s="24">
        <v>13</v>
      </c>
      <c r="K16" s="24">
        <v>13</v>
      </c>
      <c r="L16" s="24">
        <v>13</v>
      </c>
      <c r="M16" s="24">
        <v>13</v>
      </c>
      <c r="N16" s="24">
        <v>13</v>
      </c>
      <c r="O16" s="24">
        <v>13</v>
      </c>
      <c r="P16" s="24">
        <v>13</v>
      </c>
      <c r="Q16" s="24">
        <v>13</v>
      </c>
      <c r="R16" s="24">
        <v>13</v>
      </c>
      <c r="S16" s="24">
        <v>13</v>
      </c>
      <c r="T16" s="24">
        <v>13</v>
      </c>
      <c r="U16" s="24">
        <v>13</v>
      </c>
      <c r="V16" s="10"/>
      <c r="W16" s="10"/>
    </row>
    <row r="17" spans="1:23">
      <c r="A17" s="11" t="s">
        <v>22</v>
      </c>
      <c r="B17" s="24">
        <v>13</v>
      </c>
      <c r="C17" s="24">
        <v>13</v>
      </c>
      <c r="D17" s="24">
        <v>13</v>
      </c>
      <c r="E17" s="24">
        <v>13</v>
      </c>
      <c r="F17" s="24">
        <v>13</v>
      </c>
      <c r="G17" s="24">
        <v>13</v>
      </c>
      <c r="H17" s="24">
        <v>13</v>
      </c>
      <c r="I17" s="24">
        <v>13</v>
      </c>
      <c r="J17" s="24">
        <v>13</v>
      </c>
      <c r="K17" s="24">
        <v>13</v>
      </c>
      <c r="L17" s="24">
        <v>13</v>
      </c>
      <c r="M17" s="24">
        <v>13</v>
      </c>
      <c r="N17" s="24">
        <v>13</v>
      </c>
      <c r="O17" s="24">
        <v>13</v>
      </c>
      <c r="P17" s="24">
        <v>13</v>
      </c>
      <c r="Q17" s="24">
        <v>13</v>
      </c>
      <c r="R17" s="24">
        <v>13</v>
      </c>
      <c r="S17" s="24">
        <v>13</v>
      </c>
      <c r="T17" s="24">
        <v>13</v>
      </c>
      <c r="U17" s="24">
        <v>13</v>
      </c>
      <c r="V17" s="10"/>
      <c r="W17" s="10"/>
    </row>
    <row r="18" spans="1:23">
      <c r="A18" s="11" t="s">
        <v>23</v>
      </c>
      <c r="B18" s="24">
        <v>13</v>
      </c>
      <c r="C18" s="24">
        <v>13</v>
      </c>
      <c r="D18" s="24">
        <v>13</v>
      </c>
      <c r="E18" s="24">
        <v>13</v>
      </c>
      <c r="F18" s="24">
        <v>13</v>
      </c>
      <c r="G18" s="24">
        <v>13</v>
      </c>
      <c r="H18" s="24">
        <v>13</v>
      </c>
      <c r="I18" s="24">
        <v>13</v>
      </c>
      <c r="J18" s="24">
        <v>13</v>
      </c>
      <c r="K18" s="24">
        <v>13</v>
      </c>
      <c r="L18" s="24">
        <v>13</v>
      </c>
      <c r="M18" s="24">
        <v>13</v>
      </c>
      <c r="N18" s="24">
        <v>13</v>
      </c>
      <c r="O18" s="24">
        <v>13</v>
      </c>
      <c r="P18" s="24">
        <v>13</v>
      </c>
      <c r="Q18" s="24">
        <v>13</v>
      </c>
      <c r="R18" s="24">
        <v>13</v>
      </c>
      <c r="S18" s="24">
        <v>13</v>
      </c>
      <c r="T18" s="24">
        <v>13</v>
      </c>
      <c r="U18" s="24">
        <v>13</v>
      </c>
      <c r="V18" s="10"/>
      <c r="W18" s="10"/>
    </row>
    <row r="19" spans="1:23">
      <c r="A19" s="11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10"/>
      <c r="W19" s="10"/>
    </row>
    <row r="20" spans="1:23">
      <c r="A20" s="11" t="s">
        <v>24</v>
      </c>
      <c r="B20" s="24">
        <v>14</v>
      </c>
      <c r="C20" s="24">
        <v>14</v>
      </c>
      <c r="D20" s="24">
        <v>14</v>
      </c>
      <c r="E20" s="24">
        <v>14</v>
      </c>
      <c r="F20" s="24">
        <v>14</v>
      </c>
      <c r="G20" s="24">
        <v>14</v>
      </c>
      <c r="H20" s="24">
        <v>14</v>
      </c>
      <c r="I20" s="24">
        <v>14</v>
      </c>
      <c r="J20" s="24">
        <v>14</v>
      </c>
      <c r="K20" s="24">
        <v>14</v>
      </c>
      <c r="L20" s="24">
        <v>14</v>
      </c>
      <c r="M20" s="24">
        <v>14</v>
      </c>
      <c r="N20" s="24">
        <v>14</v>
      </c>
      <c r="O20" s="24">
        <v>14</v>
      </c>
      <c r="P20" s="24">
        <v>14</v>
      </c>
      <c r="Q20" s="24">
        <v>14</v>
      </c>
      <c r="R20" s="24">
        <v>14</v>
      </c>
      <c r="S20" s="24">
        <v>14</v>
      </c>
      <c r="T20" s="24">
        <v>14</v>
      </c>
      <c r="U20" s="24">
        <v>14</v>
      </c>
      <c r="V20" s="10"/>
      <c r="W20" s="10"/>
    </row>
    <row r="21" spans="1:23">
      <c r="A21" s="11" t="s">
        <v>25</v>
      </c>
      <c r="B21" s="24">
        <v>13</v>
      </c>
      <c r="C21" s="24">
        <v>13</v>
      </c>
      <c r="D21" s="24">
        <v>13</v>
      </c>
      <c r="E21" s="24">
        <v>13</v>
      </c>
      <c r="F21" s="24">
        <v>13</v>
      </c>
      <c r="G21" s="24">
        <v>13</v>
      </c>
      <c r="H21" s="24">
        <v>13</v>
      </c>
      <c r="I21" s="24">
        <v>13</v>
      </c>
      <c r="J21" s="24">
        <v>13</v>
      </c>
      <c r="K21" s="24">
        <v>13</v>
      </c>
      <c r="L21" s="24">
        <v>13</v>
      </c>
      <c r="M21" s="24">
        <v>13</v>
      </c>
      <c r="N21" s="24">
        <v>13</v>
      </c>
      <c r="O21" s="24">
        <v>13</v>
      </c>
      <c r="P21" s="24">
        <v>13</v>
      </c>
      <c r="Q21" s="24">
        <v>13</v>
      </c>
      <c r="R21" s="24">
        <v>13</v>
      </c>
      <c r="S21" s="24">
        <v>13</v>
      </c>
      <c r="T21" s="24">
        <v>13</v>
      </c>
      <c r="U21" s="24">
        <v>13</v>
      </c>
      <c r="V21" s="10"/>
      <c r="W21" s="10"/>
    </row>
    <row r="22" spans="1:23">
      <c r="A22" s="11" t="s">
        <v>26</v>
      </c>
      <c r="B22" s="24">
        <v>13</v>
      </c>
      <c r="C22" s="24">
        <v>13</v>
      </c>
      <c r="D22" s="24">
        <v>13</v>
      </c>
      <c r="E22" s="24">
        <v>13</v>
      </c>
      <c r="F22" s="24">
        <v>13</v>
      </c>
      <c r="G22" s="24">
        <v>13</v>
      </c>
      <c r="H22" s="24">
        <v>13</v>
      </c>
      <c r="I22" s="24">
        <v>13</v>
      </c>
      <c r="J22" s="24">
        <v>13</v>
      </c>
      <c r="K22" s="24">
        <v>13</v>
      </c>
      <c r="L22" s="24">
        <v>13</v>
      </c>
      <c r="M22" s="24">
        <v>13</v>
      </c>
      <c r="N22" s="24">
        <v>13</v>
      </c>
      <c r="O22" s="24">
        <v>13</v>
      </c>
      <c r="P22" s="24">
        <v>13</v>
      </c>
      <c r="Q22" s="24">
        <v>13</v>
      </c>
      <c r="R22" s="24">
        <v>13</v>
      </c>
      <c r="S22" s="24">
        <v>13</v>
      </c>
      <c r="T22" s="24">
        <v>13</v>
      </c>
      <c r="U22" s="24">
        <v>13</v>
      </c>
      <c r="V22" s="10"/>
      <c r="W22" s="10"/>
    </row>
    <row r="23" spans="1:23">
      <c r="A23" s="11" t="s">
        <v>27</v>
      </c>
      <c r="B23" s="24">
        <v>18</v>
      </c>
      <c r="C23" s="24">
        <v>18</v>
      </c>
      <c r="D23" s="24">
        <v>18</v>
      </c>
      <c r="E23" s="24">
        <v>18</v>
      </c>
      <c r="F23" s="24">
        <v>18</v>
      </c>
      <c r="G23" s="24">
        <v>18</v>
      </c>
      <c r="H23" s="24">
        <v>18</v>
      </c>
      <c r="I23" s="24">
        <v>18</v>
      </c>
      <c r="J23" s="24">
        <v>18</v>
      </c>
      <c r="K23" s="24">
        <v>18</v>
      </c>
      <c r="L23" s="24">
        <v>18</v>
      </c>
      <c r="M23" s="24">
        <v>18</v>
      </c>
      <c r="N23" s="24">
        <v>18</v>
      </c>
      <c r="O23" s="24">
        <v>18</v>
      </c>
      <c r="P23" s="24">
        <v>18</v>
      </c>
      <c r="Q23" s="24">
        <v>18</v>
      </c>
      <c r="R23" s="24">
        <v>18</v>
      </c>
      <c r="S23" s="24">
        <v>18</v>
      </c>
      <c r="T23" s="24">
        <v>18</v>
      </c>
      <c r="U23" s="24">
        <v>18</v>
      </c>
      <c r="V23" s="10"/>
      <c r="W23" s="10"/>
    </row>
    <row r="24" spans="1:23">
      <c r="A24" s="11" t="s">
        <v>28</v>
      </c>
      <c r="B24" s="24">
        <v>13</v>
      </c>
      <c r="C24" s="24">
        <v>13</v>
      </c>
      <c r="D24" s="24">
        <v>13</v>
      </c>
      <c r="E24" s="24">
        <v>13</v>
      </c>
      <c r="F24" s="24">
        <v>13</v>
      </c>
      <c r="G24" s="24">
        <v>13</v>
      </c>
      <c r="H24" s="24">
        <v>13</v>
      </c>
      <c r="I24" s="24">
        <v>13</v>
      </c>
      <c r="J24" s="24">
        <v>13</v>
      </c>
      <c r="K24" s="24">
        <v>13</v>
      </c>
      <c r="L24" s="24">
        <v>13</v>
      </c>
      <c r="M24" s="24">
        <v>13</v>
      </c>
      <c r="N24" s="24">
        <v>13</v>
      </c>
      <c r="O24" s="24">
        <v>13</v>
      </c>
      <c r="P24" s="24">
        <v>13</v>
      </c>
      <c r="Q24" s="24">
        <v>13</v>
      </c>
      <c r="R24" s="24">
        <v>13</v>
      </c>
      <c r="S24" s="24">
        <v>13</v>
      </c>
      <c r="T24" s="24">
        <v>13</v>
      </c>
      <c r="U24" s="24">
        <v>13</v>
      </c>
      <c r="V24" s="10"/>
      <c r="W24" s="10"/>
    </row>
    <row r="25" spans="1:23">
      <c r="A25" s="11" t="s">
        <v>29</v>
      </c>
      <c r="B25" s="24">
        <v>13</v>
      </c>
      <c r="C25" s="24">
        <v>13</v>
      </c>
      <c r="D25" s="24">
        <v>13</v>
      </c>
      <c r="E25" s="24">
        <v>13</v>
      </c>
      <c r="F25" s="24">
        <v>13</v>
      </c>
      <c r="G25" s="24">
        <v>13</v>
      </c>
      <c r="H25" s="24">
        <v>13</v>
      </c>
      <c r="I25" s="24">
        <v>13</v>
      </c>
      <c r="J25" s="24">
        <v>13</v>
      </c>
      <c r="K25" s="24">
        <v>13</v>
      </c>
      <c r="L25" s="24">
        <v>13</v>
      </c>
      <c r="M25" s="24">
        <v>13</v>
      </c>
      <c r="N25" s="24">
        <v>13</v>
      </c>
      <c r="O25" s="24">
        <v>13</v>
      </c>
      <c r="P25" s="24">
        <v>13</v>
      </c>
      <c r="Q25" s="24">
        <v>13</v>
      </c>
      <c r="R25" s="24">
        <v>13</v>
      </c>
      <c r="S25" s="24">
        <v>13</v>
      </c>
      <c r="T25" s="24">
        <v>13</v>
      </c>
      <c r="U25" s="24">
        <v>13</v>
      </c>
      <c r="V25" s="10"/>
      <c r="W25" s="10"/>
    </row>
    <row r="26" spans="1:23">
      <c r="A26" s="11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10"/>
      <c r="W26" s="10"/>
    </row>
    <row r="27" spans="1:23">
      <c r="A27" s="11" t="s">
        <v>30</v>
      </c>
      <c r="B27" s="24">
        <v>13</v>
      </c>
      <c r="C27" s="24">
        <v>13</v>
      </c>
      <c r="D27" s="24">
        <v>13</v>
      </c>
      <c r="E27" s="24">
        <v>13</v>
      </c>
      <c r="F27" s="24">
        <v>13</v>
      </c>
      <c r="G27" s="24">
        <v>13</v>
      </c>
      <c r="H27" s="24">
        <v>13</v>
      </c>
      <c r="I27" s="24">
        <v>13</v>
      </c>
      <c r="J27" s="24">
        <v>13</v>
      </c>
      <c r="K27" s="24">
        <v>13</v>
      </c>
      <c r="L27" s="24">
        <v>13</v>
      </c>
      <c r="M27" s="24">
        <v>13</v>
      </c>
      <c r="N27" s="24">
        <v>13</v>
      </c>
      <c r="O27" s="24">
        <v>13</v>
      </c>
      <c r="P27" s="24">
        <v>13</v>
      </c>
      <c r="Q27" s="24">
        <v>13</v>
      </c>
      <c r="R27" s="24">
        <v>13</v>
      </c>
      <c r="S27" s="24">
        <v>13</v>
      </c>
      <c r="T27" s="24">
        <v>13</v>
      </c>
      <c r="U27" s="24">
        <v>13</v>
      </c>
      <c r="V27" s="10"/>
      <c r="W27" s="10"/>
    </row>
    <row r="28" spans="1:23">
      <c r="A28" s="11" t="s">
        <v>31</v>
      </c>
      <c r="B28" s="24">
        <v>7</v>
      </c>
      <c r="C28" s="24">
        <v>7</v>
      </c>
      <c r="D28" s="24">
        <v>7</v>
      </c>
      <c r="E28" s="24">
        <v>7</v>
      </c>
      <c r="F28" s="24">
        <v>7</v>
      </c>
      <c r="G28" s="24">
        <v>7</v>
      </c>
      <c r="H28" s="24">
        <v>7</v>
      </c>
      <c r="I28" s="24">
        <v>7</v>
      </c>
      <c r="J28" s="24">
        <v>7</v>
      </c>
      <c r="K28" s="24">
        <v>7</v>
      </c>
      <c r="L28" s="24">
        <v>7</v>
      </c>
      <c r="M28" s="24">
        <v>7</v>
      </c>
      <c r="N28" s="24">
        <v>7</v>
      </c>
      <c r="O28" s="24">
        <v>7</v>
      </c>
      <c r="P28" s="24">
        <v>7</v>
      </c>
      <c r="Q28" s="24">
        <v>7</v>
      </c>
      <c r="R28" s="24">
        <v>7</v>
      </c>
      <c r="S28" s="24">
        <v>7</v>
      </c>
      <c r="T28" s="24">
        <v>7</v>
      </c>
      <c r="U28" s="24">
        <v>7</v>
      </c>
      <c r="V28" s="10"/>
      <c r="W28" s="10"/>
    </row>
    <row r="29" spans="1:23">
      <c r="A29" s="11" t="s">
        <v>32</v>
      </c>
      <c r="B29" s="24">
        <v>13</v>
      </c>
      <c r="C29" s="24">
        <v>13</v>
      </c>
      <c r="D29" s="24">
        <v>13</v>
      </c>
      <c r="E29" s="24">
        <v>13</v>
      </c>
      <c r="F29" s="24">
        <v>13</v>
      </c>
      <c r="G29" s="24">
        <v>13</v>
      </c>
      <c r="H29" s="24">
        <v>13</v>
      </c>
      <c r="I29" s="24">
        <v>13</v>
      </c>
      <c r="J29" s="24">
        <v>13</v>
      </c>
      <c r="K29" s="24">
        <v>13</v>
      </c>
      <c r="L29" s="24">
        <v>13</v>
      </c>
      <c r="M29" s="24">
        <v>13</v>
      </c>
      <c r="N29" s="24">
        <v>13</v>
      </c>
      <c r="O29" s="24">
        <v>13</v>
      </c>
      <c r="P29" s="24">
        <v>13</v>
      </c>
      <c r="Q29" s="24">
        <v>13</v>
      </c>
      <c r="R29" s="24">
        <v>13</v>
      </c>
      <c r="S29" s="24">
        <v>13</v>
      </c>
      <c r="T29" s="24">
        <v>13</v>
      </c>
      <c r="U29" s="24">
        <v>13</v>
      </c>
      <c r="V29" s="10"/>
      <c r="W29" s="10"/>
    </row>
    <row r="30" spans="1:23">
      <c r="A30" s="11" t="s">
        <v>33</v>
      </c>
      <c r="B30" s="24">
        <v>11</v>
      </c>
      <c r="C30" s="24">
        <v>11</v>
      </c>
      <c r="D30" s="24">
        <v>11</v>
      </c>
      <c r="E30" s="24">
        <v>11</v>
      </c>
      <c r="F30" s="24">
        <v>11</v>
      </c>
      <c r="G30" s="24">
        <v>11</v>
      </c>
      <c r="H30" s="24">
        <v>11</v>
      </c>
      <c r="I30" s="24">
        <v>11</v>
      </c>
      <c r="J30" s="24">
        <v>11</v>
      </c>
      <c r="K30" s="24">
        <v>11</v>
      </c>
      <c r="L30" s="24">
        <v>11</v>
      </c>
      <c r="M30" s="24">
        <v>11</v>
      </c>
      <c r="N30" s="24">
        <v>11</v>
      </c>
      <c r="O30" s="24">
        <v>11</v>
      </c>
      <c r="P30" s="24">
        <v>11</v>
      </c>
      <c r="Q30" s="24">
        <v>11</v>
      </c>
      <c r="R30" s="24">
        <v>11</v>
      </c>
      <c r="S30" s="24">
        <v>11</v>
      </c>
      <c r="T30" s="24">
        <v>11</v>
      </c>
      <c r="U30" s="24">
        <v>11</v>
      </c>
      <c r="V30" s="10"/>
      <c r="W30" s="10"/>
    </row>
    <row r="31" spans="1:23">
      <c r="A31" s="11" t="s">
        <v>34</v>
      </c>
      <c r="B31" s="24">
        <v>13</v>
      </c>
      <c r="C31" s="24">
        <v>13</v>
      </c>
      <c r="D31" s="24">
        <v>13</v>
      </c>
      <c r="E31" s="24">
        <v>13</v>
      </c>
      <c r="F31" s="24">
        <v>13</v>
      </c>
      <c r="G31" s="24">
        <v>13</v>
      </c>
      <c r="H31" s="24">
        <v>13</v>
      </c>
      <c r="I31" s="24">
        <v>13</v>
      </c>
      <c r="J31" s="24">
        <v>13</v>
      </c>
      <c r="K31" s="24">
        <v>13</v>
      </c>
      <c r="L31" s="24">
        <v>13</v>
      </c>
      <c r="M31" s="24">
        <v>13</v>
      </c>
      <c r="N31" s="24">
        <v>13</v>
      </c>
      <c r="O31" s="24">
        <v>13</v>
      </c>
      <c r="P31" s="24">
        <v>13</v>
      </c>
      <c r="Q31" s="24">
        <v>13</v>
      </c>
      <c r="R31" s="24">
        <v>13</v>
      </c>
      <c r="S31" s="24">
        <v>13</v>
      </c>
      <c r="T31" s="24">
        <v>13</v>
      </c>
      <c r="U31" s="24">
        <v>13</v>
      </c>
      <c r="V31" s="10"/>
      <c r="W31" s="10"/>
    </row>
    <row r="32" spans="1:23">
      <c r="A32" s="11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10"/>
      <c r="W32" s="10"/>
    </row>
    <row r="33" spans="1:23">
      <c r="A33" s="11" t="s">
        <v>35</v>
      </c>
      <c r="B33" s="24">
        <v>13</v>
      </c>
      <c r="C33" s="24">
        <v>13</v>
      </c>
      <c r="D33" s="24">
        <v>13</v>
      </c>
      <c r="E33" s="24">
        <v>13</v>
      </c>
      <c r="F33" s="24">
        <v>13</v>
      </c>
      <c r="G33" s="24">
        <v>13</v>
      </c>
      <c r="H33" s="24">
        <v>13</v>
      </c>
      <c r="I33" s="24">
        <v>13</v>
      </c>
      <c r="J33" s="24">
        <v>13</v>
      </c>
      <c r="K33" s="24">
        <v>13</v>
      </c>
      <c r="L33" s="24">
        <v>13</v>
      </c>
      <c r="M33" s="24">
        <v>13</v>
      </c>
      <c r="N33" s="24">
        <v>13</v>
      </c>
      <c r="O33" s="24">
        <v>13</v>
      </c>
      <c r="P33" s="24">
        <v>13</v>
      </c>
      <c r="Q33" s="24">
        <v>13</v>
      </c>
      <c r="R33" s="24">
        <v>13</v>
      </c>
      <c r="S33" s="24">
        <v>13</v>
      </c>
      <c r="T33" s="24">
        <v>13</v>
      </c>
      <c r="U33" s="24">
        <v>13</v>
      </c>
      <c r="V33" s="10"/>
      <c r="W33" s="10"/>
    </row>
    <row r="34" spans="1:23">
      <c r="A34" s="11" t="s">
        <v>36</v>
      </c>
      <c r="B34" s="24">
        <v>12</v>
      </c>
      <c r="C34" s="24">
        <v>12</v>
      </c>
      <c r="D34" s="24">
        <v>12</v>
      </c>
      <c r="E34" s="24">
        <v>12</v>
      </c>
      <c r="F34" s="24">
        <v>12</v>
      </c>
      <c r="G34" s="24">
        <v>12</v>
      </c>
      <c r="H34" s="24">
        <v>12</v>
      </c>
      <c r="I34" s="24">
        <v>12</v>
      </c>
      <c r="J34" s="24">
        <v>12</v>
      </c>
      <c r="K34" s="24">
        <v>12</v>
      </c>
      <c r="L34" s="24">
        <v>12</v>
      </c>
      <c r="M34" s="24">
        <v>12</v>
      </c>
      <c r="N34" s="24">
        <v>12</v>
      </c>
      <c r="O34" s="24">
        <v>12</v>
      </c>
      <c r="P34" s="24">
        <v>12</v>
      </c>
      <c r="Q34" s="24">
        <v>12</v>
      </c>
      <c r="R34" s="24">
        <v>12</v>
      </c>
      <c r="S34" s="24">
        <v>12</v>
      </c>
      <c r="T34" s="24">
        <v>12</v>
      </c>
      <c r="U34" s="24">
        <v>12</v>
      </c>
      <c r="V34" s="10"/>
      <c r="W34" s="10"/>
    </row>
    <row r="35" spans="1:23">
      <c r="A35" s="11" t="s">
        <v>37</v>
      </c>
      <c r="B35" s="24">
        <v>13</v>
      </c>
      <c r="C35" s="24">
        <v>13</v>
      </c>
      <c r="D35" s="24">
        <v>13</v>
      </c>
      <c r="E35" s="24">
        <v>13</v>
      </c>
      <c r="F35" s="24">
        <v>13</v>
      </c>
      <c r="G35" s="24">
        <v>13</v>
      </c>
      <c r="H35" s="24">
        <v>13</v>
      </c>
      <c r="I35" s="24">
        <v>13</v>
      </c>
      <c r="J35" s="24">
        <v>13</v>
      </c>
      <c r="K35" s="24">
        <v>13</v>
      </c>
      <c r="L35" s="24">
        <v>13</v>
      </c>
      <c r="M35" s="24">
        <v>13</v>
      </c>
      <c r="N35" s="24">
        <v>13</v>
      </c>
      <c r="O35" s="24">
        <v>13</v>
      </c>
      <c r="P35" s="24">
        <v>13</v>
      </c>
      <c r="Q35" s="24">
        <v>13</v>
      </c>
      <c r="R35" s="24">
        <v>13</v>
      </c>
      <c r="S35" s="24">
        <v>13</v>
      </c>
      <c r="T35" s="24">
        <v>13</v>
      </c>
      <c r="U35" s="24">
        <v>13</v>
      </c>
      <c r="V35" s="10"/>
      <c r="W35" s="10"/>
    </row>
    <row r="36" spans="1:23">
      <c r="A36" s="11" t="s">
        <v>38</v>
      </c>
      <c r="B36" s="24">
        <v>13</v>
      </c>
      <c r="C36" s="24">
        <v>13</v>
      </c>
      <c r="D36" s="24">
        <v>13</v>
      </c>
      <c r="E36" s="24">
        <v>13</v>
      </c>
      <c r="F36" s="24">
        <v>13</v>
      </c>
      <c r="G36" s="24">
        <v>13</v>
      </c>
      <c r="H36" s="24">
        <v>13</v>
      </c>
      <c r="I36" s="24">
        <v>13</v>
      </c>
      <c r="J36" s="24">
        <v>13</v>
      </c>
      <c r="K36" s="24">
        <v>13</v>
      </c>
      <c r="L36" s="24">
        <v>13</v>
      </c>
      <c r="M36" s="24">
        <v>13</v>
      </c>
      <c r="N36" s="24">
        <v>13</v>
      </c>
      <c r="O36" s="24">
        <v>13</v>
      </c>
      <c r="P36" s="24">
        <v>13</v>
      </c>
      <c r="Q36" s="24">
        <v>13</v>
      </c>
      <c r="R36" s="24">
        <v>13</v>
      </c>
      <c r="S36" s="24">
        <v>13</v>
      </c>
      <c r="T36" s="24">
        <v>13</v>
      </c>
      <c r="U36" s="24">
        <v>13</v>
      </c>
      <c r="V36" s="10"/>
      <c r="W36" s="10"/>
    </row>
    <row r="37" spans="1:23">
      <c r="A37" s="11" t="s">
        <v>39</v>
      </c>
      <c r="B37" s="24">
        <v>13</v>
      </c>
      <c r="C37" s="24">
        <v>13</v>
      </c>
      <c r="D37" s="24">
        <v>13</v>
      </c>
      <c r="E37" s="24">
        <v>13</v>
      </c>
      <c r="F37" s="24">
        <v>13</v>
      </c>
      <c r="G37" s="24">
        <v>13</v>
      </c>
      <c r="H37" s="24">
        <v>13</v>
      </c>
      <c r="I37" s="24">
        <v>13</v>
      </c>
      <c r="J37" s="24">
        <v>13</v>
      </c>
      <c r="K37" s="24">
        <v>13</v>
      </c>
      <c r="L37" s="24">
        <v>13</v>
      </c>
      <c r="M37" s="24">
        <v>13</v>
      </c>
      <c r="N37" s="24">
        <v>13</v>
      </c>
      <c r="O37" s="24">
        <v>13</v>
      </c>
      <c r="P37" s="24">
        <v>13</v>
      </c>
      <c r="Q37" s="24">
        <v>13</v>
      </c>
      <c r="R37" s="24">
        <v>13</v>
      </c>
      <c r="S37" s="24">
        <v>13</v>
      </c>
      <c r="T37" s="24">
        <v>13</v>
      </c>
      <c r="U37" s="24">
        <v>13</v>
      </c>
      <c r="V37" s="10"/>
      <c r="W37" s="10"/>
    </row>
    <row r="38" spans="1:23"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</row>
    <row r="39" spans="1:23"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</row>
    <row r="40" spans="1:23"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</row>
    <row r="41" spans="1:23"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</row>
    <row r="42" spans="1:23"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</row>
  </sheetData>
  <phoneticPr fontId="6" type="noConversion"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4A040-AF5D-794C-AC67-B71D845FBA2D}">
  <dimension ref="A1:U39"/>
  <sheetViews>
    <sheetView workbookViewId="0">
      <selection sqref="A1:A1048576"/>
    </sheetView>
  </sheetViews>
  <sheetFormatPr baseColWidth="10" defaultRowHeight="16"/>
  <cols>
    <col min="1" max="1" width="19" style="10" customWidth="1"/>
  </cols>
  <sheetData>
    <row r="1" spans="1:21" ht="17">
      <c r="A1" s="23" t="s">
        <v>43</v>
      </c>
      <c r="B1" s="20">
        <v>1997</v>
      </c>
      <c r="C1" s="20">
        <v>1998</v>
      </c>
      <c r="D1" s="20">
        <v>1999</v>
      </c>
      <c r="E1" s="20">
        <v>2000</v>
      </c>
      <c r="F1" s="20">
        <v>2001</v>
      </c>
      <c r="G1" s="20">
        <v>2002</v>
      </c>
      <c r="H1" s="20">
        <v>2003</v>
      </c>
      <c r="I1" s="20">
        <v>2004</v>
      </c>
      <c r="J1" s="20">
        <v>2005</v>
      </c>
      <c r="K1" s="20">
        <v>2006</v>
      </c>
      <c r="L1" s="20">
        <v>2007</v>
      </c>
      <c r="M1" s="20">
        <v>2008</v>
      </c>
      <c r="N1" s="20">
        <v>2009</v>
      </c>
      <c r="O1" s="20">
        <v>2010</v>
      </c>
      <c r="P1" s="20">
        <v>2011</v>
      </c>
      <c r="Q1" s="20">
        <v>2012</v>
      </c>
      <c r="R1" s="20">
        <v>2013</v>
      </c>
      <c r="S1" s="20">
        <v>2014</v>
      </c>
      <c r="T1" s="20">
        <v>2015</v>
      </c>
      <c r="U1" s="20">
        <v>2016</v>
      </c>
    </row>
    <row r="2" spans="1:21">
      <c r="A2" s="16" t="s">
        <v>9</v>
      </c>
      <c r="B2" s="24">
        <v>21</v>
      </c>
      <c r="C2" s="24">
        <v>21</v>
      </c>
      <c r="D2" s="24">
        <v>21</v>
      </c>
      <c r="E2" s="24">
        <v>21</v>
      </c>
      <c r="F2" s="24">
        <v>21</v>
      </c>
      <c r="G2" s="24">
        <v>21</v>
      </c>
      <c r="H2" s="24">
        <v>21</v>
      </c>
      <c r="I2" s="24">
        <v>21</v>
      </c>
      <c r="J2" s="24">
        <v>21</v>
      </c>
      <c r="K2" s="24">
        <v>21</v>
      </c>
      <c r="L2" s="24">
        <v>21</v>
      </c>
      <c r="M2" s="24">
        <v>21</v>
      </c>
      <c r="N2" s="24">
        <v>21</v>
      </c>
      <c r="O2" s="24">
        <v>21</v>
      </c>
      <c r="P2" s="24">
        <v>21</v>
      </c>
      <c r="Q2" s="24">
        <v>21</v>
      </c>
      <c r="R2" s="24">
        <v>21</v>
      </c>
      <c r="S2" s="24">
        <v>21</v>
      </c>
      <c r="T2" s="24">
        <v>21</v>
      </c>
      <c r="U2" s="24">
        <v>21</v>
      </c>
    </row>
    <row r="3" spans="1:21">
      <c r="A3" s="11" t="s">
        <v>10</v>
      </c>
      <c r="B3" s="24">
        <v>33</v>
      </c>
      <c r="C3" s="24">
        <v>33</v>
      </c>
      <c r="D3" s="24">
        <v>33</v>
      </c>
      <c r="E3" s="24">
        <v>33</v>
      </c>
      <c r="F3" s="24">
        <v>33</v>
      </c>
      <c r="G3" s="24">
        <v>33</v>
      </c>
      <c r="H3" s="24">
        <v>33</v>
      </c>
      <c r="I3" s="24">
        <v>33</v>
      </c>
      <c r="J3" s="24">
        <v>33</v>
      </c>
      <c r="K3" s="24">
        <v>33</v>
      </c>
      <c r="L3" s="24">
        <v>33</v>
      </c>
      <c r="M3" s="24">
        <v>33</v>
      </c>
      <c r="N3" s="24">
        <v>33</v>
      </c>
      <c r="O3" s="24">
        <v>33</v>
      </c>
      <c r="P3" s="24">
        <v>33</v>
      </c>
      <c r="Q3" s="24">
        <v>33</v>
      </c>
      <c r="R3" s="24">
        <v>33</v>
      </c>
      <c r="S3" s="24">
        <v>33</v>
      </c>
      <c r="T3" s="24">
        <v>33</v>
      </c>
      <c r="U3" s="24">
        <v>33</v>
      </c>
    </row>
    <row r="4" spans="1:21">
      <c r="A4" s="11" t="s">
        <v>11</v>
      </c>
      <c r="B4" s="24">
        <v>37</v>
      </c>
      <c r="C4" s="24">
        <v>37</v>
      </c>
      <c r="D4" s="24">
        <v>37</v>
      </c>
      <c r="E4" s="24">
        <v>37</v>
      </c>
      <c r="F4" s="24">
        <v>37</v>
      </c>
      <c r="G4" s="24">
        <v>37</v>
      </c>
      <c r="H4" s="24">
        <v>37</v>
      </c>
      <c r="I4" s="24">
        <v>37</v>
      </c>
      <c r="J4" s="24">
        <v>37</v>
      </c>
      <c r="K4" s="24">
        <v>37</v>
      </c>
      <c r="L4" s="24">
        <v>37</v>
      </c>
      <c r="M4" s="24">
        <v>37</v>
      </c>
      <c r="N4" s="24">
        <v>37</v>
      </c>
      <c r="O4" s="24">
        <v>37</v>
      </c>
      <c r="P4" s="24">
        <v>37</v>
      </c>
      <c r="Q4" s="24">
        <v>37</v>
      </c>
      <c r="R4" s="24">
        <v>37</v>
      </c>
      <c r="S4" s="24">
        <v>37</v>
      </c>
      <c r="T4" s="24">
        <v>37</v>
      </c>
      <c r="U4" s="24">
        <v>37</v>
      </c>
    </row>
    <row r="5" spans="1:21">
      <c r="A5" s="11" t="s">
        <v>12</v>
      </c>
      <c r="B5" s="24">
        <v>33</v>
      </c>
      <c r="C5" s="24">
        <v>33</v>
      </c>
      <c r="D5" s="24">
        <v>33</v>
      </c>
      <c r="E5" s="24">
        <v>33</v>
      </c>
      <c r="F5" s="24">
        <v>33</v>
      </c>
      <c r="G5" s="24">
        <v>33</v>
      </c>
      <c r="H5" s="24">
        <v>33</v>
      </c>
      <c r="I5" s="24">
        <v>33</v>
      </c>
      <c r="J5" s="24">
        <v>33</v>
      </c>
      <c r="K5" s="24">
        <v>33</v>
      </c>
      <c r="L5" s="24">
        <v>33</v>
      </c>
      <c r="M5" s="24">
        <v>33</v>
      </c>
      <c r="N5" s="24">
        <v>33</v>
      </c>
      <c r="O5" s="24">
        <v>33</v>
      </c>
      <c r="P5" s="24">
        <v>33</v>
      </c>
      <c r="Q5" s="24">
        <v>33</v>
      </c>
      <c r="R5" s="24">
        <v>33</v>
      </c>
      <c r="S5" s="24">
        <v>33</v>
      </c>
      <c r="T5" s="24">
        <v>33</v>
      </c>
      <c r="U5" s="24">
        <v>33</v>
      </c>
    </row>
    <row r="6" spans="1:21">
      <c r="A6" s="11" t="s">
        <v>13</v>
      </c>
      <c r="B6" s="24">
        <v>33</v>
      </c>
      <c r="C6" s="24">
        <v>33</v>
      </c>
      <c r="D6" s="24">
        <v>33</v>
      </c>
      <c r="E6" s="24">
        <v>33</v>
      </c>
      <c r="F6" s="24">
        <v>33</v>
      </c>
      <c r="G6" s="24">
        <v>33</v>
      </c>
      <c r="H6" s="24">
        <v>33</v>
      </c>
      <c r="I6" s="24">
        <v>33</v>
      </c>
      <c r="J6" s="24">
        <v>33</v>
      </c>
      <c r="K6" s="24">
        <v>33</v>
      </c>
      <c r="L6" s="24">
        <v>33</v>
      </c>
      <c r="M6" s="24">
        <v>33</v>
      </c>
      <c r="N6" s="24">
        <v>33</v>
      </c>
      <c r="O6" s="24">
        <v>33</v>
      </c>
      <c r="P6" s="24">
        <v>33</v>
      </c>
      <c r="Q6" s="24">
        <v>33</v>
      </c>
      <c r="R6" s="24">
        <v>33</v>
      </c>
      <c r="S6" s="24">
        <v>33</v>
      </c>
      <c r="T6" s="24">
        <v>33</v>
      </c>
      <c r="U6" s="24">
        <v>33</v>
      </c>
    </row>
    <row r="7" spans="1:21">
      <c r="A7" s="11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</row>
    <row r="8" spans="1:21">
      <c r="A8" s="11" t="s">
        <v>14</v>
      </c>
      <c r="B8" s="24">
        <v>33</v>
      </c>
      <c r="C8" s="24">
        <v>33</v>
      </c>
      <c r="D8" s="24">
        <v>33</v>
      </c>
      <c r="E8" s="24">
        <v>33</v>
      </c>
      <c r="F8" s="24">
        <v>33</v>
      </c>
      <c r="G8" s="24">
        <v>33</v>
      </c>
      <c r="H8" s="24">
        <v>33</v>
      </c>
      <c r="I8" s="24">
        <v>33</v>
      </c>
      <c r="J8" s="24">
        <v>33</v>
      </c>
      <c r="K8" s="24">
        <v>33</v>
      </c>
      <c r="L8" s="24">
        <v>33</v>
      </c>
      <c r="M8" s="24">
        <v>33</v>
      </c>
      <c r="N8" s="24">
        <v>33</v>
      </c>
      <c r="O8" s="24">
        <v>33</v>
      </c>
      <c r="P8" s="24">
        <v>33</v>
      </c>
      <c r="Q8" s="24">
        <v>33</v>
      </c>
      <c r="R8" s="24">
        <v>33</v>
      </c>
      <c r="S8" s="24">
        <v>33</v>
      </c>
      <c r="T8" s="24">
        <v>33</v>
      </c>
      <c r="U8" s="24">
        <v>33</v>
      </c>
    </row>
    <row r="9" spans="1:21">
      <c r="A9" s="11" t="s">
        <v>15</v>
      </c>
      <c r="B9" s="24">
        <v>33</v>
      </c>
      <c r="C9" s="24">
        <v>33</v>
      </c>
      <c r="D9" s="24">
        <v>33</v>
      </c>
      <c r="E9" s="24">
        <v>33</v>
      </c>
      <c r="F9" s="24">
        <v>33</v>
      </c>
      <c r="G9" s="24">
        <v>33</v>
      </c>
      <c r="H9" s="24">
        <v>33</v>
      </c>
      <c r="I9" s="24">
        <v>33</v>
      </c>
      <c r="J9" s="24">
        <v>33</v>
      </c>
      <c r="K9" s="24">
        <v>33</v>
      </c>
      <c r="L9" s="24">
        <v>33</v>
      </c>
      <c r="M9" s="24">
        <v>33</v>
      </c>
      <c r="N9" s="24">
        <v>33</v>
      </c>
      <c r="O9" s="24">
        <v>33</v>
      </c>
      <c r="P9" s="24">
        <v>33</v>
      </c>
      <c r="Q9" s="24">
        <v>33</v>
      </c>
      <c r="R9" s="24">
        <v>33</v>
      </c>
      <c r="S9" s="24">
        <v>33</v>
      </c>
      <c r="T9" s="24">
        <v>33</v>
      </c>
      <c r="U9" s="24">
        <v>33</v>
      </c>
    </row>
    <row r="10" spans="1:21">
      <c r="A10" s="11" t="s">
        <v>16</v>
      </c>
      <c r="B10" s="24">
        <v>37</v>
      </c>
      <c r="C10" s="24">
        <v>37</v>
      </c>
      <c r="D10" s="24">
        <v>37</v>
      </c>
      <c r="E10" s="24">
        <v>37</v>
      </c>
      <c r="F10" s="24">
        <v>37</v>
      </c>
      <c r="G10" s="24">
        <v>37</v>
      </c>
      <c r="H10" s="24">
        <v>37</v>
      </c>
      <c r="I10" s="24">
        <v>37</v>
      </c>
      <c r="J10" s="24">
        <v>37</v>
      </c>
      <c r="K10" s="24">
        <v>37</v>
      </c>
      <c r="L10" s="24">
        <v>37</v>
      </c>
      <c r="M10" s="24">
        <v>37</v>
      </c>
      <c r="N10" s="24">
        <v>37</v>
      </c>
      <c r="O10" s="24">
        <v>37</v>
      </c>
      <c r="P10" s="24">
        <v>37</v>
      </c>
      <c r="Q10" s="24">
        <v>37</v>
      </c>
      <c r="R10" s="24">
        <v>37</v>
      </c>
      <c r="S10" s="24">
        <v>37</v>
      </c>
      <c r="T10" s="24">
        <v>37</v>
      </c>
      <c r="U10" s="24">
        <v>37</v>
      </c>
    </row>
    <row r="11" spans="1:21">
      <c r="A11" s="11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</row>
    <row r="12" spans="1:21">
      <c r="A12" s="11" t="s">
        <v>17</v>
      </c>
      <c r="B12" s="24">
        <v>33</v>
      </c>
      <c r="C12" s="24">
        <v>33</v>
      </c>
      <c r="D12" s="24">
        <v>33</v>
      </c>
      <c r="E12" s="24">
        <v>33</v>
      </c>
      <c r="F12" s="24">
        <v>33</v>
      </c>
      <c r="G12" s="24">
        <v>33</v>
      </c>
      <c r="H12" s="24">
        <v>33</v>
      </c>
      <c r="I12" s="24">
        <v>33</v>
      </c>
      <c r="J12" s="24">
        <v>33</v>
      </c>
      <c r="K12" s="24">
        <v>33</v>
      </c>
      <c r="L12" s="24">
        <v>33</v>
      </c>
      <c r="M12" s="24">
        <v>33</v>
      </c>
      <c r="N12" s="24">
        <v>33</v>
      </c>
      <c r="O12" s="24">
        <v>33</v>
      </c>
      <c r="P12" s="24">
        <v>33</v>
      </c>
      <c r="Q12" s="24">
        <v>33</v>
      </c>
      <c r="R12" s="24">
        <v>33</v>
      </c>
      <c r="S12" s="24">
        <v>33</v>
      </c>
      <c r="T12" s="24">
        <v>33</v>
      </c>
      <c r="U12" s="24">
        <v>33</v>
      </c>
    </row>
    <row r="13" spans="1:21">
      <c r="A13" s="11" t="s">
        <v>18</v>
      </c>
      <c r="B13" s="24">
        <v>33</v>
      </c>
      <c r="C13" s="24">
        <v>33</v>
      </c>
      <c r="D13" s="24">
        <v>33</v>
      </c>
      <c r="E13" s="24">
        <v>33</v>
      </c>
      <c r="F13" s="24">
        <v>33</v>
      </c>
      <c r="G13" s="24">
        <v>33</v>
      </c>
      <c r="H13" s="24">
        <v>33</v>
      </c>
      <c r="I13" s="24">
        <v>33</v>
      </c>
      <c r="J13" s="24">
        <v>33</v>
      </c>
      <c r="K13" s="24">
        <v>33</v>
      </c>
      <c r="L13" s="24">
        <v>33</v>
      </c>
      <c r="M13" s="24">
        <v>33</v>
      </c>
      <c r="N13" s="24">
        <v>33</v>
      </c>
      <c r="O13" s="24">
        <v>33</v>
      </c>
      <c r="P13" s="24">
        <v>33</v>
      </c>
      <c r="Q13" s="24">
        <v>33</v>
      </c>
      <c r="R13" s="24">
        <v>33</v>
      </c>
      <c r="S13" s="24">
        <v>33</v>
      </c>
      <c r="T13" s="24">
        <v>33</v>
      </c>
      <c r="U13" s="24">
        <v>33</v>
      </c>
    </row>
    <row r="14" spans="1:21">
      <c r="A14" s="11" t="s">
        <v>19</v>
      </c>
      <c r="B14" s="24">
        <v>31</v>
      </c>
      <c r="C14" s="24">
        <v>31</v>
      </c>
      <c r="D14" s="24">
        <v>31</v>
      </c>
      <c r="E14" s="24">
        <v>31</v>
      </c>
      <c r="F14" s="24">
        <v>31</v>
      </c>
      <c r="G14" s="24">
        <v>31</v>
      </c>
      <c r="H14" s="24">
        <v>31</v>
      </c>
      <c r="I14" s="24">
        <v>31</v>
      </c>
      <c r="J14" s="24">
        <v>31</v>
      </c>
      <c r="K14" s="24">
        <v>31</v>
      </c>
      <c r="L14" s="24">
        <v>31</v>
      </c>
      <c r="M14" s="24">
        <v>31</v>
      </c>
      <c r="N14" s="24">
        <v>31</v>
      </c>
      <c r="O14" s="24">
        <v>31</v>
      </c>
      <c r="P14" s="24">
        <v>31</v>
      </c>
      <c r="Q14" s="24">
        <v>31</v>
      </c>
      <c r="R14" s="24">
        <v>31</v>
      </c>
      <c r="S14" s="24">
        <v>31</v>
      </c>
      <c r="T14" s="24">
        <v>31</v>
      </c>
      <c r="U14" s="24">
        <v>31</v>
      </c>
    </row>
    <row r="15" spans="1:21">
      <c r="A15" s="11" t="s">
        <v>20</v>
      </c>
      <c r="B15" s="24">
        <v>39</v>
      </c>
      <c r="C15" s="24">
        <v>39</v>
      </c>
      <c r="D15" s="24">
        <v>39</v>
      </c>
      <c r="E15" s="24">
        <v>39</v>
      </c>
      <c r="F15" s="24">
        <v>39</v>
      </c>
      <c r="G15" s="24">
        <v>39</v>
      </c>
      <c r="H15" s="24">
        <v>39</v>
      </c>
      <c r="I15" s="24">
        <v>39</v>
      </c>
      <c r="J15" s="24">
        <v>39</v>
      </c>
      <c r="K15" s="24">
        <v>39</v>
      </c>
      <c r="L15" s="24">
        <v>39</v>
      </c>
      <c r="M15" s="24">
        <v>39</v>
      </c>
      <c r="N15" s="24">
        <v>39</v>
      </c>
      <c r="O15" s="24">
        <v>39</v>
      </c>
      <c r="P15" s="24">
        <v>39</v>
      </c>
      <c r="Q15" s="24">
        <v>39</v>
      </c>
      <c r="R15" s="24">
        <v>39</v>
      </c>
      <c r="S15" s="24">
        <v>39</v>
      </c>
      <c r="T15" s="24">
        <v>39</v>
      </c>
      <c r="U15" s="24">
        <v>39</v>
      </c>
    </row>
    <row r="16" spans="1:21">
      <c r="A16" s="11" t="s">
        <v>21</v>
      </c>
      <c r="B16" s="24">
        <v>33</v>
      </c>
      <c r="C16" s="24">
        <v>33</v>
      </c>
      <c r="D16" s="24">
        <v>33</v>
      </c>
      <c r="E16" s="24">
        <v>33</v>
      </c>
      <c r="F16" s="24">
        <v>33</v>
      </c>
      <c r="G16" s="24">
        <v>33</v>
      </c>
      <c r="H16" s="24">
        <v>33</v>
      </c>
      <c r="I16" s="24">
        <v>33</v>
      </c>
      <c r="J16" s="24">
        <v>33</v>
      </c>
      <c r="K16" s="24">
        <v>33</v>
      </c>
      <c r="L16" s="24">
        <v>33</v>
      </c>
      <c r="M16" s="24">
        <v>33</v>
      </c>
      <c r="N16" s="24">
        <v>33</v>
      </c>
      <c r="O16" s="24">
        <v>33</v>
      </c>
      <c r="P16" s="24">
        <v>33</v>
      </c>
      <c r="Q16" s="24">
        <v>33</v>
      </c>
      <c r="R16" s="24">
        <v>33</v>
      </c>
      <c r="S16" s="24">
        <v>33</v>
      </c>
      <c r="T16" s="24">
        <v>33</v>
      </c>
      <c r="U16" s="24">
        <v>33</v>
      </c>
    </row>
    <row r="17" spans="1:21">
      <c r="A17" s="11" t="s">
        <v>22</v>
      </c>
      <c r="B17" s="24">
        <v>33</v>
      </c>
      <c r="C17" s="24">
        <v>33</v>
      </c>
      <c r="D17" s="24">
        <v>33</v>
      </c>
      <c r="E17" s="24">
        <v>33</v>
      </c>
      <c r="F17" s="24">
        <v>33</v>
      </c>
      <c r="G17" s="24">
        <v>33</v>
      </c>
      <c r="H17" s="24">
        <v>33</v>
      </c>
      <c r="I17" s="24">
        <v>33</v>
      </c>
      <c r="J17" s="24">
        <v>33</v>
      </c>
      <c r="K17" s="24">
        <v>33</v>
      </c>
      <c r="L17" s="24">
        <v>33</v>
      </c>
      <c r="M17" s="24">
        <v>33</v>
      </c>
      <c r="N17" s="24">
        <v>33</v>
      </c>
      <c r="O17" s="24">
        <v>33</v>
      </c>
      <c r="P17" s="24">
        <v>33</v>
      </c>
      <c r="Q17" s="24">
        <v>33</v>
      </c>
      <c r="R17" s="24">
        <v>33</v>
      </c>
      <c r="S17" s="24">
        <v>33</v>
      </c>
      <c r="T17" s="24">
        <v>33</v>
      </c>
      <c r="U17" s="24">
        <v>33</v>
      </c>
    </row>
    <row r="18" spans="1:21">
      <c r="A18" s="11" t="s">
        <v>23</v>
      </c>
      <c r="B18" s="24">
        <v>33</v>
      </c>
      <c r="C18" s="24">
        <v>33</v>
      </c>
      <c r="D18" s="24">
        <v>33</v>
      </c>
      <c r="E18" s="24">
        <v>33</v>
      </c>
      <c r="F18" s="24">
        <v>33</v>
      </c>
      <c r="G18" s="24">
        <v>33</v>
      </c>
      <c r="H18" s="24">
        <v>33</v>
      </c>
      <c r="I18" s="24">
        <v>33</v>
      </c>
      <c r="J18" s="24">
        <v>33</v>
      </c>
      <c r="K18" s="24">
        <v>33</v>
      </c>
      <c r="L18" s="24">
        <v>33</v>
      </c>
      <c r="M18" s="24">
        <v>33</v>
      </c>
      <c r="N18" s="24">
        <v>33</v>
      </c>
      <c r="O18" s="24">
        <v>33</v>
      </c>
      <c r="P18" s="24">
        <v>33</v>
      </c>
      <c r="Q18" s="24">
        <v>33</v>
      </c>
      <c r="R18" s="24">
        <v>33</v>
      </c>
      <c r="S18" s="24">
        <v>33</v>
      </c>
      <c r="T18" s="24">
        <v>33</v>
      </c>
      <c r="U18" s="24">
        <v>33</v>
      </c>
    </row>
    <row r="19" spans="1:21">
      <c r="A19" s="11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</row>
    <row r="20" spans="1:21">
      <c r="A20" s="11" t="s">
        <v>24</v>
      </c>
      <c r="B20" s="24">
        <v>37</v>
      </c>
      <c r="C20" s="24">
        <v>37</v>
      </c>
      <c r="D20" s="24">
        <v>37</v>
      </c>
      <c r="E20" s="24">
        <v>37</v>
      </c>
      <c r="F20" s="24">
        <v>37</v>
      </c>
      <c r="G20" s="24">
        <v>37</v>
      </c>
      <c r="H20" s="24">
        <v>37</v>
      </c>
      <c r="I20" s="24">
        <v>37</v>
      </c>
      <c r="J20" s="24">
        <v>37</v>
      </c>
      <c r="K20" s="24">
        <v>37</v>
      </c>
      <c r="L20" s="24">
        <v>37</v>
      </c>
      <c r="M20" s="24">
        <v>37</v>
      </c>
      <c r="N20" s="24">
        <v>37</v>
      </c>
      <c r="O20" s="24">
        <v>37</v>
      </c>
      <c r="P20" s="24">
        <v>37</v>
      </c>
      <c r="Q20" s="24">
        <v>37</v>
      </c>
      <c r="R20" s="24">
        <v>37</v>
      </c>
      <c r="S20" s="24">
        <v>37</v>
      </c>
      <c r="T20" s="24">
        <v>37</v>
      </c>
      <c r="U20" s="24">
        <v>37</v>
      </c>
    </row>
    <row r="21" spans="1:21">
      <c r="A21" s="11" t="s">
        <v>25</v>
      </c>
      <c r="B21" s="24">
        <v>33</v>
      </c>
      <c r="C21" s="24">
        <v>33</v>
      </c>
      <c r="D21" s="24">
        <v>33</v>
      </c>
      <c r="E21" s="24">
        <v>33</v>
      </c>
      <c r="F21" s="24">
        <v>33</v>
      </c>
      <c r="G21" s="24">
        <v>33</v>
      </c>
      <c r="H21" s="24">
        <v>33</v>
      </c>
      <c r="I21" s="24">
        <v>33</v>
      </c>
      <c r="J21" s="24">
        <v>33</v>
      </c>
      <c r="K21" s="24">
        <v>33</v>
      </c>
      <c r="L21" s="24">
        <v>33</v>
      </c>
      <c r="M21" s="24">
        <v>33</v>
      </c>
      <c r="N21" s="24">
        <v>33</v>
      </c>
      <c r="O21" s="24">
        <v>33</v>
      </c>
      <c r="P21" s="24">
        <v>33</v>
      </c>
      <c r="Q21" s="24">
        <v>33</v>
      </c>
      <c r="R21" s="24">
        <v>33</v>
      </c>
      <c r="S21" s="24">
        <v>33</v>
      </c>
      <c r="T21" s="24">
        <v>33</v>
      </c>
      <c r="U21" s="24">
        <v>33</v>
      </c>
    </row>
    <row r="22" spans="1:21">
      <c r="A22" s="11" t="s">
        <v>26</v>
      </c>
      <c r="B22" s="24">
        <v>33</v>
      </c>
      <c r="C22" s="24">
        <v>33</v>
      </c>
      <c r="D22" s="24">
        <v>33</v>
      </c>
      <c r="E22" s="24">
        <v>33</v>
      </c>
      <c r="F22" s="24">
        <v>33</v>
      </c>
      <c r="G22" s="24">
        <v>33</v>
      </c>
      <c r="H22" s="24">
        <v>33</v>
      </c>
      <c r="I22" s="24">
        <v>33</v>
      </c>
      <c r="J22" s="24">
        <v>33</v>
      </c>
      <c r="K22" s="24">
        <v>33</v>
      </c>
      <c r="L22" s="24">
        <v>33</v>
      </c>
      <c r="M22" s="24">
        <v>33</v>
      </c>
      <c r="N22" s="24">
        <v>33</v>
      </c>
      <c r="O22" s="24">
        <v>33</v>
      </c>
      <c r="P22" s="24">
        <v>33</v>
      </c>
      <c r="Q22" s="24">
        <v>33</v>
      </c>
      <c r="R22" s="24">
        <v>33</v>
      </c>
      <c r="S22" s="24">
        <v>33</v>
      </c>
      <c r="T22" s="24">
        <v>33</v>
      </c>
      <c r="U22" s="24">
        <v>33</v>
      </c>
    </row>
    <row r="23" spans="1:21">
      <c r="A23" s="11" t="s">
        <v>27</v>
      </c>
      <c r="B23" s="24">
        <v>37</v>
      </c>
      <c r="C23" s="24">
        <v>37</v>
      </c>
      <c r="D23" s="24">
        <v>37</v>
      </c>
      <c r="E23" s="24">
        <v>37</v>
      </c>
      <c r="F23" s="24">
        <v>37</v>
      </c>
      <c r="G23" s="24">
        <v>37</v>
      </c>
      <c r="H23" s="24">
        <v>37</v>
      </c>
      <c r="I23" s="24">
        <v>37</v>
      </c>
      <c r="J23" s="24">
        <v>37</v>
      </c>
      <c r="K23" s="24">
        <v>37</v>
      </c>
      <c r="L23" s="24">
        <v>37</v>
      </c>
      <c r="M23" s="24">
        <v>37</v>
      </c>
      <c r="N23" s="24">
        <v>37</v>
      </c>
      <c r="O23" s="24">
        <v>37</v>
      </c>
      <c r="P23" s="24">
        <v>37</v>
      </c>
      <c r="Q23" s="24">
        <v>37</v>
      </c>
      <c r="R23" s="24">
        <v>37</v>
      </c>
      <c r="S23" s="24">
        <v>37</v>
      </c>
      <c r="T23" s="24">
        <v>37</v>
      </c>
      <c r="U23" s="24">
        <v>37</v>
      </c>
    </row>
    <row r="24" spans="1:21">
      <c r="A24" s="11" t="s">
        <v>28</v>
      </c>
      <c r="B24" s="24">
        <v>33</v>
      </c>
      <c r="C24" s="24">
        <v>33</v>
      </c>
      <c r="D24" s="24">
        <v>33</v>
      </c>
      <c r="E24" s="24">
        <v>33</v>
      </c>
      <c r="F24" s="24">
        <v>33</v>
      </c>
      <c r="G24" s="24">
        <v>33</v>
      </c>
      <c r="H24" s="24">
        <v>33</v>
      </c>
      <c r="I24" s="24">
        <v>33</v>
      </c>
      <c r="J24" s="24">
        <v>33</v>
      </c>
      <c r="K24" s="24">
        <v>33</v>
      </c>
      <c r="L24" s="24">
        <v>33</v>
      </c>
      <c r="M24" s="24">
        <v>33</v>
      </c>
      <c r="N24" s="24">
        <v>33</v>
      </c>
      <c r="O24" s="24">
        <v>33</v>
      </c>
      <c r="P24" s="24">
        <v>33</v>
      </c>
      <c r="Q24" s="24">
        <v>33</v>
      </c>
      <c r="R24" s="24">
        <v>33</v>
      </c>
      <c r="S24" s="24">
        <v>33</v>
      </c>
      <c r="T24" s="24">
        <v>33</v>
      </c>
      <c r="U24" s="24">
        <v>33</v>
      </c>
    </row>
    <row r="25" spans="1:21">
      <c r="A25" s="11" t="s">
        <v>29</v>
      </c>
      <c r="B25" s="24">
        <v>33</v>
      </c>
      <c r="C25" s="24">
        <v>33</v>
      </c>
      <c r="D25" s="24">
        <v>33</v>
      </c>
      <c r="E25" s="24">
        <v>33</v>
      </c>
      <c r="F25" s="24">
        <v>33</v>
      </c>
      <c r="G25" s="24">
        <v>33</v>
      </c>
      <c r="H25" s="24">
        <v>33</v>
      </c>
      <c r="I25" s="24">
        <v>33</v>
      </c>
      <c r="J25" s="24">
        <v>33</v>
      </c>
      <c r="K25" s="24">
        <v>33</v>
      </c>
      <c r="L25" s="24">
        <v>33</v>
      </c>
      <c r="M25" s="24">
        <v>33</v>
      </c>
      <c r="N25" s="24">
        <v>33</v>
      </c>
      <c r="O25" s="24">
        <v>33</v>
      </c>
      <c r="P25" s="24">
        <v>33</v>
      </c>
      <c r="Q25" s="24">
        <v>33</v>
      </c>
      <c r="R25" s="24">
        <v>33</v>
      </c>
      <c r="S25" s="24">
        <v>33</v>
      </c>
      <c r="T25" s="24">
        <v>33</v>
      </c>
      <c r="U25" s="24">
        <v>33</v>
      </c>
    </row>
    <row r="26" spans="1:21">
      <c r="A26" s="11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</row>
    <row r="27" spans="1:21">
      <c r="A27" s="11" t="s">
        <v>30</v>
      </c>
      <c r="B27" s="24">
        <v>33</v>
      </c>
      <c r="C27" s="24">
        <v>33</v>
      </c>
      <c r="D27" s="24">
        <v>33</v>
      </c>
      <c r="E27" s="24">
        <v>33</v>
      </c>
      <c r="F27" s="24">
        <v>33</v>
      </c>
      <c r="G27" s="24">
        <v>33</v>
      </c>
      <c r="H27" s="24">
        <v>33</v>
      </c>
      <c r="I27" s="24">
        <v>33</v>
      </c>
      <c r="J27" s="24">
        <v>33</v>
      </c>
      <c r="K27" s="24">
        <v>33</v>
      </c>
      <c r="L27" s="24">
        <v>33</v>
      </c>
      <c r="M27" s="24">
        <v>33</v>
      </c>
      <c r="N27" s="24">
        <v>33</v>
      </c>
      <c r="O27" s="24">
        <v>33</v>
      </c>
      <c r="P27" s="24">
        <v>33</v>
      </c>
      <c r="Q27" s="24">
        <v>33</v>
      </c>
      <c r="R27" s="24">
        <v>33</v>
      </c>
      <c r="S27" s="24">
        <v>33</v>
      </c>
      <c r="T27" s="24">
        <v>33</v>
      </c>
      <c r="U27" s="24">
        <v>33</v>
      </c>
    </row>
    <row r="28" spans="1:21">
      <c r="A28" s="11" t="s">
        <v>31</v>
      </c>
      <c r="B28" s="24">
        <v>21</v>
      </c>
      <c r="C28" s="24">
        <v>21</v>
      </c>
      <c r="D28" s="24">
        <v>21</v>
      </c>
      <c r="E28" s="24">
        <v>21</v>
      </c>
      <c r="F28" s="24">
        <v>21</v>
      </c>
      <c r="G28" s="24">
        <v>21</v>
      </c>
      <c r="H28" s="24">
        <v>21</v>
      </c>
      <c r="I28" s="24">
        <v>21</v>
      </c>
      <c r="J28" s="24">
        <v>21</v>
      </c>
      <c r="K28" s="24">
        <v>21</v>
      </c>
      <c r="L28" s="24">
        <v>21</v>
      </c>
      <c r="M28" s="24">
        <v>21</v>
      </c>
      <c r="N28" s="24">
        <v>21</v>
      </c>
      <c r="O28" s="24">
        <v>21</v>
      </c>
      <c r="P28" s="24">
        <v>21</v>
      </c>
      <c r="Q28" s="24">
        <v>21</v>
      </c>
      <c r="R28" s="24">
        <v>21</v>
      </c>
      <c r="S28" s="24">
        <v>21</v>
      </c>
      <c r="T28" s="24">
        <v>21</v>
      </c>
      <c r="U28" s="24">
        <v>21</v>
      </c>
    </row>
    <row r="29" spans="1:21">
      <c r="A29" s="11" t="s">
        <v>32</v>
      </c>
      <c r="B29" s="24">
        <v>33</v>
      </c>
      <c r="C29" s="24">
        <v>33</v>
      </c>
      <c r="D29" s="24">
        <v>33</v>
      </c>
      <c r="E29" s="24">
        <v>33</v>
      </c>
      <c r="F29" s="24">
        <v>33</v>
      </c>
      <c r="G29" s="24">
        <v>33</v>
      </c>
      <c r="H29" s="24">
        <v>33</v>
      </c>
      <c r="I29" s="24">
        <v>33</v>
      </c>
      <c r="J29" s="24">
        <v>33</v>
      </c>
      <c r="K29" s="24">
        <v>33</v>
      </c>
      <c r="L29" s="24">
        <v>33</v>
      </c>
      <c r="M29" s="24">
        <v>33</v>
      </c>
      <c r="N29" s="24">
        <v>33</v>
      </c>
      <c r="O29" s="24">
        <v>33</v>
      </c>
      <c r="P29" s="24">
        <v>33</v>
      </c>
      <c r="Q29" s="24">
        <v>33</v>
      </c>
      <c r="R29" s="24">
        <v>33</v>
      </c>
      <c r="S29" s="24">
        <v>33</v>
      </c>
      <c r="T29" s="24">
        <v>33</v>
      </c>
      <c r="U29" s="24">
        <v>33</v>
      </c>
    </row>
    <row r="30" spans="1:21">
      <c r="A30" s="11" t="s">
        <v>33</v>
      </c>
      <c r="B30" s="24">
        <v>25</v>
      </c>
      <c r="C30" s="24">
        <v>25</v>
      </c>
      <c r="D30" s="24">
        <v>25</v>
      </c>
      <c r="E30" s="24">
        <v>25</v>
      </c>
      <c r="F30" s="24">
        <v>25</v>
      </c>
      <c r="G30" s="24">
        <v>25</v>
      </c>
      <c r="H30" s="24">
        <v>25</v>
      </c>
      <c r="I30" s="24">
        <v>25</v>
      </c>
      <c r="J30" s="24">
        <v>25</v>
      </c>
      <c r="K30" s="24">
        <v>25</v>
      </c>
      <c r="L30" s="24">
        <v>25</v>
      </c>
      <c r="M30" s="24">
        <v>25</v>
      </c>
      <c r="N30" s="24">
        <v>25</v>
      </c>
      <c r="O30" s="24">
        <v>25</v>
      </c>
      <c r="P30" s="24">
        <v>25</v>
      </c>
      <c r="Q30" s="24">
        <v>25</v>
      </c>
      <c r="R30" s="24">
        <v>25</v>
      </c>
      <c r="S30" s="24">
        <v>25</v>
      </c>
      <c r="T30" s="24">
        <v>25</v>
      </c>
      <c r="U30" s="24">
        <v>25</v>
      </c>
    </row>
    <row r="31" spans="1:21">
      <c r="A31" s="11" t="s">
        <v>34</v>
      </c>
      <c r="B31" s="24">
        <v>33</v>
      </c>
      <c r="C31" s="24">
        <v>33</v>
      </c>
      <c r="D31" s="24">
        <v>33</v>
      </c>
      <c r="E31" s="24">
        <v>33</v>
      </c>
      <c r="F31" s="24">
        <v>33</v>
      </c>
      <c r="G31" s="24">
        <v>33</v>
      </c>
      <c r="H31" s="24">
        <v>33</v>
      </c>
      <c r="I31" s="24">
        <v>33</v>
      </c>
      <c r="J31" s="24">
        <v>33</v>
      </c>
      <c r="K31" s="24">
        <v>33</v>
      </c>
      <c r="L31" s="24">
        <v>33</v>
      </c>
      <c r="M31" s="24">
        <v>33</v>
      </c>
      <c r="N31" s="24">
        <v>33</v>
      </c>
      <c r="O31" s="24">
        <v>33</v>
      </c>
      <c r="P31" s="24">
        <v>33</v>
      </c>
      <c r="Q31" s="24">
        <v>33</v>
      </c>
      <c r="R31" s="24">
        <v>33</v>
      </c>
      <c r="S31" s="24">
        <v>33</v>
      </c>
      <c r="T31" s="24">
        <v>33</v>
      </c>
      <c r="U31" s="24">
        <v>33</v>
      </c>
    </row>
    <row r="32" spans="1:21">
      <c r="A32" s="11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</row>
    <row r="33" spans="1:21">
      <c r="A33" s="11" t="s">
        <v>35</v>
      </c>
      <c r="B33" s="24">
        <v>33</v>
      </c>
      <c r="C33" s="24">
        <v>33</v>
      </c>
      <c r="D33" s="24">
        <v>33</v>
      </c>
      <c r="E33" s="24">
        <v>33</v>
      </c>
      <c r="F33" s="24">
        <v>33</v>
      </c>
      <c r="G33" s="24">
        <v>33</v>
      </c>
      <c r="H33" s="24">
        <v>33</v>
      </c>
      <c r="I33" s="24">
        <v>33</v>
      </c>
      <c r="J33" s="24">
        <v>33</v>
      </c>
      <c r="K33" s="24">
        <v>33</v>
      </c>
      <c r="L33" s="24">
        <v>33</v>
      </c>
      <c r="M33" s="24">
        <v>33</v>
      </c>
      <c r="N33" s="24">
        <v>33</v>
      </c>
      <c r="O33" s="24">
        <v>33</v>
      </c>
      <c r="P33" s="24">
        <v>33</v>
      </c>
      <c r="Q33" s="24">
        <v>33</v>
      </c>
      <c r="R33" s="24">
        <v>33</v>
      </c>
      <c r="S33" s="24">
        <v>33</v>
      </c>
      <c r="T33" s="24">
        <v>33</v>
      </c>
      <c r="U33" s="24">
        <v>33</v>
      </c>
    </row>
    <row r="34" spans="1:21">
      <c r="A34" s="11" t="s">
        <v>36</v>
      </c>
      <c r="B34" s="24">
        <v>30</v>
      </c>
      <c r="C34" s="24">
        <v>30</v>
      </c>
      <c r="D34" s="24">
        <v>30</v>
      </c>
      <c r="E34" s="24">
        <v>30</v>
      </c>
      <c r="F34" s="24">
        <v>30</v>
      </c>
      <c r="G34" s="24">
        <v>30</v>
      </c>
      <c r="H34" s="24">
        <v>30</v>
      </c>
      <c r="I34" s="24">
        <v>30</v>
      </c>
      <c r="J34" s="24">
        <v>30</v>
      </c>
      <c r="K34" s="24">
        <v>30</v>
      </c>
      <c r="L34" s="24">
        <v>30</v>
      </c>
      <c r="M34" s="24">
        <v>30</v>
      </c>
      <c r="N34" s="24">
        <v>30</v>
      </c>
      <c r="O34" s="24">
        <v>30</v>
      </c>
      <c r="P34" s="24">
        <v>30</v>
      </c>
      <c r="Q34" s="24">
        <v>30</v>
      </c>
      <c r="R34" s="24">
        <v>30</v>
      </c>
      <c r="S34" s="24">
        <v>30</v>
      </c>
      <c r="T34" s="24">
        <v>30</v>
      </c>
      <c r="U34" s="24">
        <v>30</v>
      </c>
    </row>
    <row r="35" spans="1:21">
      <c r="A35" s="11" t="s">
        <v>37</v>
      </c>
      <c r="B35" s="24">
        <v>33</v>
      </c>
      <c r="C35" s="24">
        <v>33</v>
      </c>
      <c r="D35" s="24">
        <v>33</v>
      </c>
      <c r="E35" s="24">
        <v>33</v>
      </c>
      <c r="F35" s="24">
        <v>33</v>
      </c>
      <c r="G35" s="24">
        <v>33</v>
      </c>
      <c r="H35" s="24">
        <v>33</v>
      </c>
      <c r="I35" s="24">
        <v>33</v>
      </c>
      <c r="J35" s="24">
        <v>33</v>
      </c>
      <c r="K35" s="24">
        <v>33</v>
      </c>
      <c r="L35" s="24">
        <v>33</v>
      </c>
      <c r="M35" s="24">
        <v>33</v>
      </c>
      <c r="N35" s="24">
        <v>33</v>
      </c>
      <c r="O35" s="24">
        <v>33</v>
      </c>
      <c r="P35" s="24">
        <v>33</v>
      </c>
      <c r="Q35" s="24">
        <v>33</v>
      </c>
      <c r="R35" s="24">
        <v>33</v>
      </c>
      <c r="S35" s="24">
        <v>33</v>
      </c>
      <c r="T35" s="24">
        <v>33</v>
      </c>
      <c r="U35" s="24">
        <v>33</v>
      </c>
    </row>
    <row r="36" spans="1:21">
      <c r="A36" s="11" t="s">
        <v>38</v>
      </c>
      <c r="B36" s="24">
        <v>33</v>
      </c>
      <c r="C36" s="24">
        <v>33</v>
      </c>
      <c r="D36" s="24">
        <v>33</v>
      </c>
      <c r="E36" s="24">
        <v>33</v>
      </c>
      <c r="F36" s="24">
        <v>33</v>
      </c>
      <c r="G36" s="24">
        <v>33</v>
      </c>
      <c r="H36" s="24">
        <v>33</v>
      </c>
      <c r="I36" s="24">
        <v>33</v>
      </c>
      <c r="J36" s="24">
        <v>33</v>
      </c>
      <c r="K36" s="24">
        <v>33</v>
      </c>
      <c r="L36" s="24">
        <v>33</v>
      </c>
      <c r="M36" s="24">
        <v>33</v>
      </c>
      <c r="N36" s="24">
        <v>33</v>
      </c>
      <c r="O36" s="24">
        <v>33</v>
      </c>
      <c r="P36" s="24">
        <v>33</v>
      </c>
      <c r="Q36" s="24">
        <v>33</v>
      </c>
      <c r="R36" s="24">
        <v>33</v>
      </c>
      <c r="S36" s="24">
        <v>33</v>
      </c>
      <c r="T36" s="24">
        <v>33</v>
      </c>
      <c r="U36" s="24">
        <v>33</v>
      </c>
    </row>
    <row r="37" spans="1:21">
      <c r="A37" s="11" t="s">
        <v>39</v>
      </c>
      <c r="B37" s="24">
        <v>33</v>
      </c>
      <c r="C37" s="24">
        <v>33</v>
      </c>
      <c r="D37" s="24">
        <v>33</v>
      </c>
      <c r="E37" s="24">
        <v>33</v>
      </c>
      <c r="F37" s="24">
        <v>33</v>
      </c>
      <c r="G37" s="24">
        <v>33</v>
      </c>
      <c r="H37" s="24">
        <v>33</v>
      </c>
      <c r="I37" s="24">
        <v>33</v>
      </c>
      <c r="J37" s="24">
        <v>33</v>
      </c>
      <c r="K37" s="24">
        <v>33</v>
      </c>
      <c r="L37" s="24">
        <v>33</v>
      </c>
      <c r="M37" s="24">
        <v>33</v>
      </c>
      <c r="N37" s="24">
        <v>33</v>
      </c>
      <c r="O37" s="24">
        <v>33</v>
      </c>
      <c r="P37" s="24">
        <v>33</v>
      </c>
      <c r="Q37" s="24">
        <v>33</v>
      </c>
      <c r="R37" s="24">
        <v>33</v>
      </c>
      <c r="S37" s="24">
        <v>33</v>
      </c>
      <c r="T37" s="24">
        <v>33</v>
      </c>
      <c r="U37" s="24">
        <v>33</v>
      </c>
    </row>
    <row r="38" spans="1:21"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</row>
    <row r="39" spans="1:21"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</row>
  </sheetData>
  <phoneticPr fontId="6" type="noConversion"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72370-0DAF-D54F-B3F8-1401FC8101B9}">
  <dimension ref="A1:U37"/>
  <sheetViews>
    <sheetView workbookViewId="0">
      <selection activeCell="B1" sqref="B1:C1048576"/>
    </sheetView>
  </sheetViews>
  <sheetFormatPr baseColWidth="10" defaultRowHeight="16"/>
  <cols>
    <col min="1" max="1" width="19" style="10" customWidth="1"/>
    <col min="2" max="16384" width="10.83203125" style="10"/>
  </cols>
  <sheetData>
    <row r="1" spans="1:21" ht="17">
      <c r="A1" s="23" t="s">
        <v>43</v>
      </c>
      <c r="B1" s="20">
        <v>1997</v>
      </c>
      <c r="C1" s="20">
        <v>1998</v>
      </c>
      <c r="D1" s="20">
        <v>1999</v>
      </c>
      <c r="E1" s="20">
        <v>2000</v>
      </c>
      <c r="F1" s="20">
        <v>2001</v>
      </c>
      <c r="G1" s="20">
        <v>2002</v>
      </c>
      <c r="H1" s="20">
        <v>2003</v>
      </c>
      <c r="I1" s="20">
        <v>2004</v>
      </c>
      <c r="J1" s="20">
        <v>2005</v>
      </c>
      <c r="K1" s="20">
        <v>2006</v>
      </c>
      <c r="L1" s="20">
        <v>2007</v>
      </c>
      <c r="M1" s="20">
        <v>2008</v>
      </c>
      <c r="N1" s="20">
        <v>2009</v>
      </c>
      <c r="O1" s="20">
        <v>2010</v>
      </c>
      <c r="P1" s="20">
        <v>2011</v>
      </c>
      <c r="Q1" s="20">
        <v>2012</v>
      </c>
      <c r="R1" s="20">
        <v>2013</v>
      </c>
      <c r="S1" s="20">
        <v>2014</v>
      </c>
      <c r="T1" s="20">
        <v>2015</v>
      </c>
      <c r="U1" s="20">
        <v>2016</v>
      </c>
    </row>
    <row r="2" spans="1:21">
      <c r="A2" s="16" t="s">
        <v>9</v>
      </c>
      <c r="B2" s="24">
        <v>2</v>
      </c>
      <c r="C2" s="24">
        <v>2</v>
      </c>
      <c r="D2" s="24">
        <v>2</v>
      </c>
      <c r="E2" s="24">
        <v>2</v>
      </c>
      <c r="F2" s="24">
        <v>2</v>
      </c>
      <c r="G2" s="24">
        <v>2</v>
      </c>
      <c r="H2" s="24">
        <v>2</v>
      </c>
      <c r="I2" s="24">
        <v>2</v>
      </c>
      <c r="J2" s="24">
        <v>2</v>
      </c>
      <c r="K2" s="24">
        <v>2</v>
      </c>
      <c r="L2" s="24">
        <v>2</v>
      </c>
      <c r="M2" s="24">
        <v>2</v>
      </c>
      <c r="N2" s="24">
        <v>2</v>
      </c>
      <c r="O2" s="24">
        <v>2</v>
      </c>
      <c r="P2" s="24">
        <v>2</v>
      </c>
      <c r="Q2" s="24">
        <v>2</v>
      </c>
      <c r="R2" s="24">
        <v>2</v>
      </c>
      <c r="S2" s="24">
        <v>2</v>
      </c>
      <c r="T2" s="24">
        <v>2</v>
      </c>
      <c r="U2" s="24">
        <v>2</v>
      </c>
    </row>
    <row r="3" spans="1:21">
      <c r="A3" s="11" t="s">
        <v>10</v>
      </c>
      <c r="B3" s="24">
        <v>2</v>
      </c>
      <c r="C3" s="24">
        <v>2</v>
      </c>
      <c r="D3" s="24">
        <v>2</v>
      </c>
      <c r="E3" s="24">
        <v>2</v>
      </c>
      <c r="F3" s="24">
        <v>2</v>
      </c>
      <c r="G3" s="24">
        <v>2</v>
      </c>
      <c r="H3" s="24">
        <v>2</v>
      </c>
      <c r="I3" s="24">
        <v>2</v>
      </c>
      <c r="J3" s="24">
        <v>2</v>
      </c>
      <c r="K3" s="24">
        <v>2</v>
      </c>
      <c r="L3" s="24">
        <v>2</v>
      </c>
      <c r="M3" s="24">
        <v>2</v>
      </c>
      <c r="N3" s="24">
        <v>2</v>
      </c>
      <c r="O3" s="24">
        <v>2</v>
      </c>
      <c r="P3" s="24">
        <v>2</v>
      </c>
      <c r="Q3" s="24">
        <v>2</v>
      </c>
      <c r="R3" s="24">
        <v>2</v>
      </c>
      <c r="S3" s="24">
        <v>2</v>
      </c>
      <c r="T3" s="24">
        <v>2</v>
      </c>
      <c r="U3" s="24">
        <v>2</v>
      </c>
    </row>
    <row r="4" spans="1:21">
      <c r="A4" s="11" t="s">
        <v>11</v>
      </c>
      <c r="B4" s="24">
        <v>2</v>
      </c>
      <c r="C4" s="24">
        <v>2</v>
      </c>
      <c r="D4" s="24">
        <v>2</v>
      </c>
      <c r="E4" s="24">
        <v>2</v>
      </c>
      <c r="F4" s="24">
        <v>2</v>
      </c>
      <c r="G4" s="24">
        <v>2</v>
      </c>
      <c r="H4" s="24">
        <v>2</v>
      </c>
      <c r="I4" s="24">
        <v>2</v>
      </c>
      <c r="J4" s="24">
        <v>2</v>
      </c>
      <c r="K4" s="24">
        <v>2</v>
      </c>
      <c r="L4" s="24">
        <v>2</v>
      </c>
      <c r="M4" s="24">
        <v>2</v>
      </c>
      <c r="N4" s="24">
        <v>2</v>
      </c>
      <c r="O4" s="24">
        <v>2</v>
      </c>
      <c r="P4" s="24">
        <v>2</v>
      </c>
      <c r="Q4" s="24">
        <v>2</v>
      </c>
      <c r="R4" s="24">
        <v>2</v>
      </c>
      <c r="S4" s="24">
        <v>2</v>
      </c>
      <c r="T4" s="24">
        <v>2</v>
      </c>
      <c r="U4" s="24">
        <v>2</v>
      </c>
    </row>
    <row r="5" spans="1:21">
      <c r="A5" s="11" t="s">
        <v>12</v>
      </c>
      <c r="B5" s="24">
        <v>2</v>
      </c>
      <c r="C5" s="24">
        <v>2</v>
      </c>
      <c r="D5" s="24">
        <v>2</v>
      </c>
      <c r="E5" s="24">
        <v>2</v>
      </c>
      <c r="F5" s="24">
        <v>2</v>
      </c>
      <c r="G5" s="24">
        <v>2</v>
      </c>
      <c r="H5" s="24">
        <v>2</v>
      </c>
      <c r="I5" s="24">
        <v>2</v>
      </c>
      <c r="J5" s="24">
        <v>2</v>
      </c>
      <c r="K5" s="24">
        <v>2</v>
      </c>
      <c r="L5" s="24">
        <v>2</v>
      </c>
      <c r="M5" s="24">
        <v>2</v>
      </c>
      <c r="N5" s="24">
        <v>2</v>
      </c>
      <c r="O5" s="24">
        <v>2</v>
      </c>
      <c r="P5" s="24">
        <v>2</v>
      </c>
      <c r="Q5" s="24">
        <v>2</v>
      </c>
      <c r="R5" s="24">
        <v>2</v>
      </c>
      <c r="S5" s="24">
        <v>2</v>
      </c>
      <c r="T5" s="24">
        <v>2</v>
      </c>
      <c r="U5" s="24">
        <v>2</v>
      </c>
    </row>
    <row r="6" spans="1:21">
      <c r="A6" s="11" t="s">
        <v>13</v>
      </c>
      <c r="B6" s="24">
        <v>2</v>
      </c>
      <c r="C6" s="24">
        <v>2</v>
      </c>
      <c r="D6" s="24">
        <v>2</v>
      </c>
      <c r="E6" s="24">
        <v>2</v>
      </c>
      <c r="F6" s="24">
        <v>2</v>
      </c>
      <c r="G6" s="24">
        <v>2</v>
      </c>
      <c r="H6" s="24">
        <v>2</v>
      </c>
      <c r="I6" s="24">
        <v>2</v>
      </c>
      <c r="J6" s="24">
        <v>2</v>
      </c>
      <c r="K6" s="24">
        <v>2</v>
      </c>
      <c r="L6" s="24">
        <v>2</v>
      </c>
      <c r="M6" s="24">
        <v>2</v>
      </c>
      <c r="N6" s="24">
        <v>2</v>
      </c>
      <c r="O6" s="24">
        <v>2</v>
      </c>
      <c r="P6" s="24">
        <v>2</v>
      </c>
      <c r="Q6" s="24">
        <v>2</v>
      </c>
      <c r="R6" s="24">
        <v>2</v>
      </c>
      <c r="S6" s="24">
        <v>2</v>
      </c>
      <c r="T6" s="24">
        <v>2</v>
      </c>
      <c r="U6" s="24">
        <v>2</v>
      </c>
    </row>
    <row r="7" spans="1:21">
      <c r="A7" s="11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</row>
    <row r="8" spans="1:21">
      <c r="A8" s="11" t="s">
        <v>14</v>
      </c>
      <c r="B8" s="24">
        <v>2</v>
      </c>
      <c r="C8" s="24">
        <v>2</v>
      </c>
      <c r="D8" s="24">
        <v>2</v>
      </c>
      <c r="E8" s="24">
        <v>2</v>
      </c>
      <c r="F8" s="24">
        <v>2</v>
      </c>
      <c r="G8" s="24">
        <v>2</v>
      </c>
      <c r="H8" s="24">
        <v>2</v>
      </c>
      <c r="I8" s="24">
        <v>2</v>
      </c>
      <c r="J8" s="24">
        <v>2</v>
      </c>
      <c r="K8" s="24">
        <v>2</v>
      </c>
      <c r="L8" s="24">
        <v>2</v>
      </c>
      <c r="M8" s="24">
        <v>2</v>
      </c>
      <c r="N8" s="24">
        <v>2</v>
      </c>
      <c r="O8" s="24">
        <v>2</v>
      </c>
      <c r="P8" s="24">
        <v>2</v>
      </c>
      <c r="Q8" s="24">
        <v>2</v>
      </c>
      <c r="R8" s="24">
        <v>2</v>
      </c>
      <c r="S8" s="24">
        <v>2</v>
      </c>
      <c r="T8" s="24">
        <v>2</v>
      </c>
      <c r="U8" s="24">
        <v>2</v>
      </c>
    </row>
    <row r="9" spans="1:21">
      <c r="A9" s="11" t="s">
        <v>15</v>
      </c>
      <c r="B9" s="24">
        <v>2</v>
      </c>
      <c r="C9" s="24">
        <v>2</v>
      </c>
      <c r="D9" s="24">
        <v>2</v>
      </c>
      <c r="E9" s="24">
        <v>2</v>
      </c>
      <c r="F9" s="24">
        <v>2</v>
      </c>
      <c r="G9" s="24">
        <v>2</v>
      </c>
      <c r="H9" s="24">
        <v>2</v>
      </c>
      <c r="I9" s="24">
        <v>2</v>
      </c>
      <c r="J9" s="24">
        <v>2</v>
      </c>
      <c r="K9" s="24">
        <v>2</v>
      </c>
      <c r="L9" s="24">
        <v>2</v>
      </c>
      <c r="M9" s="24">
        <v>2</v>
      </c>
      <c r="N9" s="24">
        <v>2</v>
      </c>
      <c r="O9" s="24">
        <v>2</v>
      </c>
      <c r="P9" s="24">
        <v>2</v>
      </c>
      <c r="Q9" s="24">
        <v>2</v>
      </c>
      <c r="R9" s="24">
        <v>2</v>
      </c>
      <c r="S9" s="24">
        <v>2</v>
      </c>
      <c r="T9" s="24">
        <v>2</v>
      </c>
      <c r="U9" s="24">
        <v>2</v>
      </c>
    </row>
    <row r="10" spans="1:21">
      <c r="A10" s="11" t="s">
        <v>16</v>
      </c>
      <c r="B10" s="24">
        <v>2</v>
      </c>
      <c r="C10" s="24">
        <v>2</v>
      </c>
      <c r="D10" s="24">
        <v>2</v>
      </c>
      <c r="E10" s="24">
        <v>2</v>
      </c>
      <c r="F10" s="24">
        <v>2</v>
      </c>
      <c r="G10" s="24">
        <v>2</v>
      </c>
      <c r="H10" s="24">
        <v>2</v>
      </c>
      <c r="I10" s="24">
        <v>2</v>
      </c>
      <c r="J10" s="24">
        <v>2</v>
      </c>
      <c r="K10" s="24">
        <v>2</v>
      </c>
      <c r="L10" s="24">
        <v>2</v>
      </c>
      <c r="M10" s="24">
        <v>2</v>
      </c>
      <c r="N10" s="24">
        <v>2</v>
      </c>
      <c r="O10" s="24">
        <v>2</v>
      </c>
      <c r="P10" s="24">
        <v>2</v>
      </c>
      <c r="Q10" s="24">
        <v>2</v>
      </c>
      <c r="R10" s="24">
        <v>2</v>
      </c>
      <c r="S10" s="24">
        <v>2</v>
      </c>
      <c r="T10" s="24">
        <v>2</v>
      </c>
      <c r="U10" s="24">
        <v>2</v>
      </c>
    </row>
    <row r="11" spans="1:21">
      <c r="A11" s="11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</row>
    <row r="12" spans="1:21">
      <c r="A12" s="11" t="s">
        <v>17</v>
      </c>
      <c r="B12" s="24">
        <v>2</v>
      </c>
      <c r="C12" s="24">
        <v>2</v>
      </c>
      <c r="D12" s="24">
        <v>2</v>
      </c>
      <c r="E12" s="24">
        <v>2</v>
      </c>
      <c r="F12" s="24">
        <v>2</v>
      </c>
      <c r="G12" s="24">
        <v>2</v>
      </c>
      <c r="H12" s="24">
        <v>2</v>
      </c>
      <c r="I12" s="24">
        <v>2</v>
      </c>
      <c r="J12" s="24">
        <v>2</v>
      </c>
      <c r="K12" s="24">
        <v>2</v>
      </c>
      <c r="L12" s="24">
        <v>2</v>
      </c>
      <c r="M12" s="24">
        <v>2</v>
      </c>
      <c r="N12" s="24">
        <v>2</v>
      </c>
      <c r="O12" s="24">
        <v>2</v>
      </c>
      <c r="P12" s="24">
        <v>2</v>
      </c>
      <c r="Q12" s="24">
        <v>2</v>
      </c>
      <c r="R12" s="24">
        <v>2</v>
      </c>
      <c r="S12" s="24">
        <v>2</v>
      </c>
      <c r="T12" s="24">
        <v>2</v>
      </c>
      <c r="U12" s="24">
        <v>2</v>
      </c>
    </row>
    <row r="13" spans="1:21">
      <c r="A13" s="11" t="s">
        <v>18</v>
      </c>
      <c r="B13" s="24">
        <v>2</v>
      </c>
      <c r="C13" s="24">
        <v>2</v>
      </c>
      <c r="D13" s="24">
        <v>2</v>
      </c>
      <c r="E13" s="24">
        <v>2</v>
      </c>
      <c r="F13" s="24">
        <v>2</v>
      </c>
      <c r="G13" s="24">
        <v>2</v>
      </c>
      <c r="H13" s="24">
        <v>2</v>
      </c>
      <c r="I13" s="24">
        <v>2</v>
      </c>
      <c r="J13" s="24">
        <v>2</v>
      </c>
      <c r="K13" s="24">
        <v>2</v>
      </c>
      <c r="L13" s="24">
        <v>2</v>
      </c>
      <c r="M13" s="24">
        <v>2</v>
      </c>
      <c r="N13" s="24">
        <v>2</v>
      </c>
      <c r="O13" s="24">
        <v>2</v>
      </c>
      <c r="P13" s="24">
        <v>2</v>
      </c>
      <c r="Q13" s="24">
        <v>2</v>
      </c>
      <c r="R13" s="24">
        <v>2</v>
      </c>
      <c r="S13" s="24">
        <v>2</v>
      </c>
      <c r="T13" s="24">
        <v>2</v>
      </c>
      <c r="U13" s="24">
        <v>2</v>
      </c>
    </row>
    <row r="14" spans="1:21">
      <c r="A14" s="11" t="s">
        <v>19</v>
      </c>
      <c r="B14" s="24">
        <v>1</v>
      </c>
      <c r="C14" s="24">
        <v>1</v>
      </c>
      <c r="D14" s="24">
        <v>1</v>
      </c>
      <c r="E14" s="24">
        <v>1</v>
      </c>
      <c r="F14" s="24">
        <v>1</v>
      </c>
      <c r="G14" s="24">
        <v>1</v>
      </c>
      <c r="H14" s="24">
        <v>1</v>
      </c>
      <c r="I14" s="24">
        <v>1</v>
      </c>
      <c r="J14" s="24">
        <v>1</v>
      </c>
      <c r="K14" s="24">
        <v>1</v>
      </c>
      <c r="L14" s="24">
        <v>1</v>
      </c>
      <c r="M14" s="24">
        <v>1</v>
      </c>
      <c r="N14" s="24">
        <v>1</v>
      </c>
      <c r="O14" s="24">
        <v>1</v>
      </c>
      <c r="P14" s="24">
        <v>1</v>
      </c>
      <c r="Q14" s="24">
        <v>1</v>
      </c>
      <c r="R14" s="24">
        <v>1</v>
      </c>
      <c r="S14" s="24">
        <v>1</v>
      </c>
      <c r="T14" s="24">
        <v>1</v>
      </c>
      <c r="U14" s="24">
        <v>1</v>
      </c>
    </row>
    <row r="15" spans="1:21">
      <c r="A15" s="11" t="s">
        <v>20</v>
      </c>
      <c r="B15" s="24">
        <v>1</v>
      </c>
      <c r="C15" s="24">
        <v>1</v>
      </c>
      <c r="D15" s="24">
        <v>1</v>
      </c>
      <c r="E15" s="24">
        <v>1</v>
      </c>
      <c r="F15" s="24">
        <v>1</v>
      </c>
      <c r="G15" s="24">
        <v>1</v>
      </c>
      <c r="H15" s="24">
        <v>1</v>
      </c>
      <c r="I15" s="24">
        <v>1</v>
      </c>
      <c r="J15" s="24">
        <v>1</v>
      </c>
      <c r="K15" s="24">
        <v>1</v>
      </c>
      <c r="L15" s="24">
        <v>1</v>
      </c>
      <c r="M15" s="24">
        <v>1</v>
      </c>
      <c r="N15" s="24">
        <v>1</v>
      </c>
      <c r="O15" s="24">
        <v>1</v>
      </c>
      <c r="P15" s="24">
        <v>1</v>
      </c>
      <c r="Q15" s="24">
        <v>1</v>
      </c>
      <c r="R15" s="24">
        <v>1</v>
      </c>
      <c r="S15" s="24">
        <v>1</v>
      </c>
      <c r="T15" s="24">
        <v>1</v>
      </c>
      <c r="U15" s="24">
        <v>1</v>
      </c>
    </row>
    <row r="16" spans="1:21">
      <c r="A16" s="11" t="s">
        <v>21</v>
      </c>
      <c r="B16" s="24">
        <v>2</v>
      </c>
      <c r="C16" s="24">
        <v>2</v>
      </c>
      <c r="D16" s="24">
        <v>2</v>
      </c>
      <c r="E16" s="24">
        <v>2</v>
      </c>
      <c r="F16" s="24">
        <v>2</v>
      </c>
      <c r="G16" s="24">
        <v>2</v>
      </c>
      <c r="H16" s="24">
        <v>2</v>
      </c>
      <c r="I16" s="24">
        <v>2</v>
      </c>
      <c r="J16" s="24">
        <v>2</v>
      </c>
      <c r="K16" s="24">
        <v>2</v>
      </c>
      <c r="L16" s="24">
        <v>2</v>
      </c>
      <c r="M16" s="24">
        <v>2</v>
      </c>
      <c r="N16" s="24">
        <v>2</v>
      </c>
      <c r="O16" s="24">
        <v>2</v>
      </c>
      <c r="P16" s="24">
        <v>2</v>
      </c>
      <c r="Q16" s="24">
        <v>2</v>
      </c>
      <c r="R16" s="24">
        <v>2</v>
      </c>
      <c r="S16" s="24">
        <v>2</v>
      </c>
      <c r="T16" s="24">
        <v>2</v>
      </c>
      <c r="U16" s="24">
        <v>2</v>
      </c>
    </row>
    <row r="17" spans="1:21">
      <c r="A17" s="11" t="s">
        <v>22</v>
      </c>
      <c r="B17" s="24">
        <v>2</v>
      </c>
      <c r="C17" s="24">
        <v>2</v>
      </c>
      <c r="D17" s="24">
        <v>2</v>
      </c>
      <c r="E17" s="24">
        <v>2</v>
      </c>
      <c r="F17" s="24">
        <v>2</v>
      </c>
      <c r="G17" s="24">
        <v>2</v>
      </c>
      <c r="H17" s="24">
        <v>2</v>
      </c>
      <c r="I17" s="24">
        <v>2</v>
      </c>
      <c r="J17" s="24">
        <v>2</v>
      </c>
      <c r="K17" s="24">
        <v>2</v>
      </c>
      <c r="L17" s="24">
        <v>2</v>
      </c>
      <c r="M17" s="24">
        <v>2</v>
      </c>
      <c r="N17" s="24">
        <v>2</v>
      </c>
      <c r="O17" s="24">
        <v>2</v>
      </c>
      <c r="P17" s="24">
        <v>2</v>
      </c>
      <c r="Q17" s="24">
        <v>2</v>
      </c>
      <c r="R17" s="24">
        <v>2</v>
      </c>
      <c r="S17" s="24">
        <v>2</v>
      </c>
      <c r="T17" s="24">
        <v>2</v>
      </c>
      <c r="U17" s="24">
        <v>2</v>
      </c>
    </row>
    <row r="18" spans="1:21">
      <c r="A18" s="11" t="s">
        <v>23</v>
      </c>
      <c r="B18" s="24">
        <v>2</v>
      </c>
      <c r="C18" s="24">
        <v>2</v>
      </c>
      <c r="D18" s="24">
        <v>2</v>
      </c>
      <c r="E18" s="24">
        <v>2</v>
      </c>
      <c r="F18" s="24">
        <v>2</v>
      </c>
      <c r="G18" s="24">
        <v>2</v>
      </c>
      <c r="H18" s="24">
        <v>2</v>
      </c>
      <c r="I18" s="24">
        <v>2</v>
      </c>
      <c r="J18" s="24">
        <v>2</v>
      </c>
      <c r="K18" s="24">
        <v>2</v>
      </c>
      <c r="L18" s="24">
        <v>2</v>
      </c>
      <c r="M18" s="24">
        <v>2</v>
      </c>
      <c r="N18" s="24">
        <v>2</v>
      </c>
      <c r="O18" s="24">
        <v>2</v>
      </c>
      <c r="P18" s="24">
        <v>2</v>
      </c>
      <c r="Q18" s="24">
        <v>2</v>
      </c>
      <c r="R18" s="24">
        <v>2</v>
      </c>
      <c r="S18" s="24">
        <v>2</v>
      </c>
      <c r="T18" s="24">
        <v>2</v>
      </c>
      <c r="U18" s="24">
        <v>2</v>
      </c>
    </row>
    <row r="19" spans="1:21">
      <c r="A19" s="11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</row>
    <row r="20" spans="1:21">
      <c r="A20" s="11" t="s">
        <v>24</v>
      </c>
      <c r="B20" s="24">
        <v>1</v>
      </c>
      <c r="C20" s="24">
        <v>1</v>
      </c>
      <c r="D20" s="24">
        <v>1</v>
      </c>
      <c r="E20" s="24">
        <v>1</v>
      </c>
      <c r="F20" s="24">
        <v>1</v>
      </c>
      <c r="G20" s="24">
        <v>1</v>
      </c>
      <c r="H20" s="24">
        <v>1</v>
      </c>
      <c r="I20" s="24">
        <v>1</v>
      </c>
      <c r="J20" s="24">
        <v>1</v>
      </c>
      <c r="K20" s="24">
        <v>1</v>
      </c>
      <c r="L20" s="24">
        <v>1</v>
      </c>
      <c r="M20" s="24">
        <v>1</v>
      </c>
      <c r="N20" s="24">
        <v>1</v>
      </c>
      <c r="O20" s="24">
        <v>1</v>
      </c>
      <c r="P20" s="24">
        <v>1</v>
      </c>
      <c r="Q20" s="24">
        <v>1</v>
      </c>
      <c r="R20" s="24">
        <v>1</v>
      </c>
      <c r="S20" s="24">
        <v>1</v>
      </c>
      <c r="T20" s="24">
        <v>1</v>
      </c>
      <c r="U20" s="24">
        <v>1</v>
      </c>
    </row>
    <row r="21" spans="1:21">
      <c r="A21" s="11" t="s">
        <v>25</v>
      </c>
      <c r="B21" s="24">
        <v>2</v>
      </c>
      <c r="C21" s="24">
        <v>2</v>
      </c>
      <c r="D21" s="24">
        <v>2</v>
      </c>
      <c r="E21" s="24">
        <v>2</v>
      </c>
      <c r="F21" s="24">
        <v>2</v>
      </c>
      <c r="G21" s="24">
        <v>2</v>
      </c>
      <c r="H21" s="24">
        <v>2</v>
      </c>
      <c r="I21" s="24">
        <v>2</v>
      </c>
      <c r="J21" s="24">
        <v>2</v>
      </c>
      <c r="K21" s="24">
        <v>2</v>
      </c>
      <c r="L21" s="24">
        <v>2</v>
      </c>
      <c r="M21" s="24">
        <v>2</v>
      </c>
      <c r="N21" s="24">
        <v>2</v>
      </c>
      <c r="O21" s="24">
        <v>2</v>
      </c>
      <c r="P21" s="24">
        <v>2</v>
      </c>
      <c r="Q21" s="24">
        <v>2</v>
      </c>
      <c r="R21" s="24">
        <v>2</v>
      </c>
      <c r="S21" s="24">
        <v>2</v>
      </c>
      <c r="T21" s="24">
        <v>2</v>
      </c>
      <c r="U21" s="24">
        <v>2</v>
      </c>
    </row>
    <row r="22" spans="1:21">
      <c r="A22" s="11" t="s">
        <v>26</v>
      </c>
      <c r="B22" s="24">
        <v>2</v>
      </c>
      <c r="C22" s="24">
        <v>2</v>
      </c>
      <c r="D22" s="24">
        <v>2</v>
      </c>
      <c r="E22" s="24">
        <v>2</v>
      </c>
      <c r="F22" s="24">
        <v>2</v>
      </c>
      <c r="G22" s="24">
        <v>2</v>
      </c>
      <c r="H22" s="24">
        <v>2</v>
      </c>
      <c r="I22" s="24">
        <v>2</v>
      </c>
      <c r="J22" s="24">
        <v>2</v>
      </c>
      <c r="K22" s="24">
        <v>2</v>
      </c>
      <c r="L22" s="24">
        <v>2</v>
      </c>
      <c r="M22" s="24">
        <v>2</v>
      </c>
      <c r="N22" s="24">
        <v>2</v>
      </c>
      <c r="O22" s="24">
        <v>2</v>
      </c>
      <c r="P22" s="24">
        <v>2</v>
      </c>
      <c r="Q22" s="24">
        <v>2</v>
      </c>
      <c r="R22" s="24">
        <v>2</v>
      </c>
      <c r="S22" s="24">
        <v>2</v>
      </c>
      <c r="T22" s="24">
        <v>2</v>
      </c>
      <c r="U22" s="24">
        <v>2</v>
      </c>
    </row>
    <row r="23" spans="1:21">
      <c r="A23" s="11" t="s">
        <v>27</v>
      </c>
      <c r="B23" s="24">
        <v>1</v>
      </c>
      <c r="C23" s="24">
        <v>1</v>
      </c>
      <c r="D23" s="24">
        <v>1</v>
      </c>
      <c r="E23" s="24">
        <v>1</v>
      </c>
      <c r="F23" s="24">
        <v>1</v>
      </c>
      <c r="G23" s="24">
        <v>1</v>
      </c>
      <c r="H23" s="24">
        <v>1</v>
      </c>
      <c r="I23" s="24">
        <v>1</v>
      </c>
      <c r="J23" s="24">
        <v>1</v>
      </c>
      <c r="K23" s="24">
        <v>1</v>
      </c>
      <c r="L23" s="24">
        <v>1</v>
      </c>
      <c r="M23" s="24">
        <v>1</v>
      </c>
      <c r="N23" s="24">
        <v>1</v>
      </c>
      <c r="O23" s="24">
        <v>1</v>
      </c>
      <c r="P23" s="24">
        <v>1</v>
      </c>
      <c r="Q23" s="24">
        <v>1</v>
      </c>
      <c r="R23" s="24">
        <v>1</v>
      </c>
      <c r="S23" s="24">
        <v>1</v>
      </c>
      <c r="T23" s="24">
        <v>1</v>
      </c>
      <c r="U23" s="24">
        <v>1</v>
      </c>
    </row>
    <row r="24" spans="1:21">
      <c r="A24" s="11" t="s">
        <v>28</v>
      </c>
      <c r="B24" s="24">
        <v>2</v>
      </c>
      <c r="C24" s="24">
        <v>2</v>
      </c>
      <c r="D24" s="24">
        <v>2</v>
      </c>
      <c r="E24" s="24">
        <v>2</v>
      </c>
      <c r="F24" s="24">
        <v>2</v>
      </c>
      <c r="G24" s="24">
        <v>2</v>
      </c>
      <c r="H24" s="24">
        <v>2</v>
      </c>
      <c r="I24" s="24">
        <v>2</v>
      </c>
      <c r="J24" s="24">
        <v>2</v>
      </c>
      <c r="K24" s="24">
        <v>2</v>
      </c>
      <c r="L24" s="24">
        <v>2</v>
      </c>
      <c r="M24" s="24">
        <v>2</v>
      </c>
      <c r="N24" s="24">
        <v>2</v>
      </c>
      <c r="O24" s="24">
        <v>2</v>
      </c>
      <c r="P24" s="24">
        <v>2</v>
      </c>
      <c r="Q24" s="24">
        <v>2</v>
      </c>
      <c r="R24" s="24">
        <v>2</v>
      </c>
      <c r="S24" s="24">
        <v>2</v>
      </c>
      <c r="T24" s="24">
        <v>2</v>
      </c>
      <c r="U24" s="24">
        <v>2</v>
      </c>
    </row>
    <row r="25" spans="1:21">
      <c r="A25" s="11" t="s">
        <v>29</v>
      </c>
      <c r="B25" s="24">
        <v>2</v>
      </c>
      <c r="C25" s="24">
        <v>2</v>
      </c>
      <c r="D25" s="24">
        <v>2</v>
      </c>
      <c r="E25" s="24">
        <v>2</v>
      </c>
      <c r="F25" s="24">
        <v>2</v>
      </c>
      <c r="G25" s="24">
        <v>2</v>
      </c>
      <c r="H25" s="24">
        <v>2</v>
      </c>
      <c r="I25" s="24">
        <v>2</v>
      </c>
      <c r="J25" s="24">
        <v>2</v>
      </c>
      <c r="K25" s="24">
        <v>2</v>
      </c>
      <c r="L25" s="24">
        <v>2</v>
      </c>
      <c r="M25" s="24">
        <v>2</v>
      </c>
      <c r="N25" s="24">
        <v>2</v>
      </c>
      <c r="O25" s="24">
        <v>2</v>
      </c>
      <c r="P25" s="24">
        <v>2</v>
      </c>
      <c r="Q25" s="24">
        <v>2</v>
      </c>
      <c r="R25" s="24">
        <v>2</v>
      </c>
      <c r="S25" s="24">
        <v>2</v>
      </c>
      <c r="T25" s="24">
        <v>2</v>
      </c>
      <c r="U25" s="24">
        <v>2</v>
      </c>
    </row>
    <row r="26" spans="1:21">
      <c r="A26" s="11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</row>
    <row r="27" spans="1:21">
      <c r="A27" s="11" t="s">
        <v>30</v>
      </c>
      <c r="B27" s="24">
        <v>2</v>
      </c>
      <c r="C27" s="24">
        <v>2</v>
      </c>
      <c r="D27" s="24">
        <v>2</v>
      </c>
      <c r="E27" s="24">
        <v>2</v>
      </c>
      <c r="F27" s="24">
        <v>2</v>
      </c>
      <c r="G27" s="24">
        <v>2</v>
      </c>
      <c r="H27" s="24">
        <v>2</v>
      </c>
      <c r="I27" s="24">
        <v>2</v>
      </c>
      <c r="J27" s="24">
        <v>2</v>
      </c>
      <c r="K27" s="24">
        <v>2</v>
      </c>
      <c r="L27" s="24">
        <v>2</v>
      </c>
      <c r="M27" s="24">
        <v>2</v>
      </c>
      <c r="N27" s="24">
        <v>2</v>
      </c>
      <c r="O27" s="24">
        <v>2</v>
      </c>
      <c r="P27" s="24">
        <v>2</v>
      </c>
      <c r="Q27" s="24">
        <v>2</v>
      </c>
      <c r="R27" s="24">
        <v>2</v>
      </c>
      <c r="S27" s="24">
        <v>2</v>
      </c>
      <c r="T27" s="24">
        <v>2</v>
      </c>
      <c r="U27" s="24">
        <v>2</v>
      </c>
    </row>
    <row r="28" spans="1:21">
      <c r="A28" s="11" t="s">
        <v>31</v>
      </c>
      <c r="B28" s="24">
        <v>1</v>
      </c>
      <c r="C28" s="24">
        <v>1</v>
      </c>
      <c r="D28" s="24">
        <v>1</v>
      </c>
      <c r="E28" s="24">
        <v>1</v>
      </c>
      <c r="F28" s="24">
        <v>1</v>
      </c>
      <c r="G28" s="24">
        <v>1</v>
      </c>
      <c r="H28" s="24">
        <v>1</v>
      </c>
      <c r="I28" s="24">
        <v>1</v>
      </c>
      <c r="J28" s="24">
        <v>1</v>
      </c>
      <c r="K28" s="24">
        <v>1</v>
      </c>
      <c r="L28" s="24">
        <v>1</v>
      </c>
      <c r="M28" s="24">
        <v>1</v>
      </c>
      <c r="N28" s="24">
        <v>1</v>
      </c>
      <c r="O28" s="24">
        <v>1</v>
      </c>
      <c r="P28" s="24">
        <v>1</v>
      </c>
      <c r="Q28" s="24">
        <v>1</v>
      </c>
      <c r="R28" s="24">
        <v>1</v>
      </c>
      <c r="S28" s="24">
        <v>1</v>
      </c>
      <c r="T28" s="24">
        <v>1</v>
      </c>
      <c r="U28" s="24">
        <v>1</v>
      </c>
    </row>
    <row r="29" spans="1:21">
      <c r="A29" s="11" t="s">
        <v>32</v>
      </c>
      <c r="B29" s="24">
        <v>2</v>
      </c>
      <c r="C29" s="24">
        <v>2</v>
      </c>
      <c r="D29" s="24">
        <v>2</v>
      </c>
      <c r="E29" s="24">
        <v>2</v>
      </c>
      <c r="F29" s="24">
        <v>2</v>
      </c>
      <c r="G29" s="24">
        <v>2</v>
      </c>
      <c r="H29" s="24">
        <v>2</v>
      </c>
      <c r="I29" s="24">
        <v>2</v>
      </c>
      <c r="J29" s="24">
        <v>2</v>
      </c>
      <c r="K29" s="24">
        <v>2</v>
      </c>
      <c r="L29" s="24">
        <v>2</v>
      </c>
      <c r="M29" s="24">
        <v>2</v>
      </c>
      <c r="N29" s="24">
        <v>2</v>
      </c>
      <c r="O29" s="24">
        <v>2</v>
      </c>
      <c r="P29" s="24">
        <v>2</v>
      </c>
      <c r="Q29" s="24">
        <v>2</v>
      </c>
      <c r="R29" s="24">
        <v>2</v>
      </c>
      <c r="S29" s="24">
        <v>2</v>
      </c>
      <c r="T29" s="24">
        <v>2</v>
      </c>
      <c r="U29" s="24">
        <v>2</v>
      </c>
    </row>
    <row r="30" spans="1:21">
      <c r="A30" s="11" t="s">
        <v>33</v>
      </c>
      <c r="B30" s="24">
        <v>4</v>
      </c>
      <c r="C30" s="24">
        <v>4</v>
      </c>
      <c r="D30" s="24">
        <v>4</v>
      </c>
      <c r="E30" s="24">
        <v>4</v>
      </c>
      <c r="F30" s="24">
        <v>4</v>
      </c>
      <c r="G30" s="24">
        <v>4</v>
      </c>
      <c r="H30" s="24">
        <v>4</v>
      </c>
      <c r="I30" s="24">
        <v>4</v>
      </c>
      <c r="J30" s="24">
        <v>4</v>
      </c>
      <c r="K30" s="24">
        <v>4</v>
      </c>
      <c r="L30" s="24">
        <v>4</v>
      </c>
      <c r="M30" s="24">
        <v>4</v>
      </c>
      <c r="N30" s="24">
        <v>4</v>
      </c>
      <c r="O30" s="24">
        <v>4</v>
      </c>
      <c r="P30" s="24">
        <v>4</v>
      </c>
      <c r="Q30" s="24">
        <v>4</v>
      </c>
      <c r="R30" s="24">
        <v>4</v>
      </c>
      <c r="S30" s="24">
        <v>4</v>
      </c>
      <c r="T30" s="24">
        <v>4</v>
      </c>
      <c r="U30" s="24">
        <v>4</v>
      </c>
    </row>
    <row r="31" spans="1:21">
      <c r="A31" s="11" t="s">
        <v>34</v>
      </c>
      <c r="B31" s="24">
        <v>2</v>
      </c>
      <c r="C31" s="24">
        <v>2</v>
      </c>
      <c r="D31" s="24">
        <v>2</v>
      </c>
      <c r="E31" s="24">
        <v>2</v>
      </c>
      <c r="F31" s="24">
        <v>2</v>
      </c>
      <c r="G31" s="24">
        <v>2</v>
      </c>
      <c r="H31" s="24">
        <v>2</v>
      </c>
      <c r="I31" s="24">
        <v>2</v>
      </c>
      <c r="J31" s="24">
        <v>2</v>
      </c>
      <c r="K31" s="24">
        <v>2</v>
      </c>
      <c r="L31" s="24">
        <v>2</v>
      </c>
      <c r="M31" s="24">
        <v>2</v>
      </c>
      <c r="N31" s="24">
        <v>2</v>
      </c>
      <c r="O31" s="24">
        <v>2</v>
      </c>
      <c r="P31" s="24">
        <v>2</v>
      </c>
      <c r="Q31" s="24">
        <v>2</v>
      </c>
      <c r="R31" s="24">
        <v>2</v>
      </c>
      <c r="S31" s="24">
        <v>2</v>
      </c>
      <c r="T31" s="24">
        <v>2</v>
      </c>
      <c r="U31" s="24">
        <v>2</v>
      </c>
    </row>
    <row r="32" spans="1:21">
      <c r="A32" s="11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</row>
    <row r="33" spans="1:21">
      <c r="A33" s="11" t="s">
        <v>35</v>
      </c>
      <c r="B33" s="24">
        <v>2</v>
      </c>
      <c r="C33" s="24">
        <v>2</v>
      </c>
      <c r="D33" s="24">
        <v>2</v>
      </c>
      <c r="E33" s="24">
        <v>2</v>
      </c>
      <c r="F33" s="24">
        <v>2</v>
      </c>
      <c r="G33" s="24">
        <v>2</v>
      </c>
      <c r="H33" s="24">
        <v>2</v>
      </c>
      <c r="I33" s="24">
        <v>2</v>
      </c>
      <c r="J33" s="24">
        <v>2</v>
      </c>
      <c r="K33" s="24">
        <v>2</v>
      </c>
      <c r="L33" s="24">
        <v>2</v>
      </c>
      <c r="M33" s="24">
        <v>2</v>
      </c>
      <c r="N33" s="24">
        <v>2</v>
      </c>
      <c r="O33" s="24">
        <v>2</v>
      </c>
      <c r="P33" s="24">
        <v>2</v>
      </c>
      <c r="Q33" s="24">
        <v>2</v>
      </c>
      <c r="R33" s="24">
        <v>2</v>
      </c>
      <c r="S33" s="24">
        <v>2</v>
      </c>
      <c r="T33" s="24">
        <v>2</v>
      </c>
      <c r="U33" s="24">
        <v>2</v>
      </c>
    </row>
    <row r="34" spans="1:21">
      <c r="A34" s="11" t="s">
        <v>36</v>
      </c>
      <c r="B34" s="24">
        <v>3</v>
      </c>
      <c r="C34" s="24">
        <v>3</v>
      </c>
      <c r="D34" s="24">
        <v>3</v>
      </c>
      <c r="E34" s="24">
        <v>3</v>
      </c>
      <c r="F34" s="24">
        <v>3</v>
      </c>
      <c r="G34" s="24">
        <v>3</v>
      </c>
      <c r="H34" s="24">
        <v>3</v>
      </c>
      <c r="I34" s="24">
        <v>3</v>
      </c>
      <c r="J34" s="24">
        <v>3</v>
      </c>
      <c r="K34" s="24">
        <v>3</v>
      </c>
      <c r="L34" s="24">
        <v>3</v>
      </c>
      <c r="M34" s="24">
        <v>3</v>
      </c>
      <c r="N34" s="24">
        <v>3</v>
      </c>
      <c r="O34" s="24">
        <v>3</v>
      </c>
      <c r="P34" s="24">
        <v>3</v>
      </c>
      <c r="Q34" s="24">
        <v>3</v>
      </c>
      <c r="R34" s="24">
        <v>3</v>
      </c>
      <c r="S34" s="24">
        <v>3</v>
      </c>
      <c r="T34" s="24">
        <v>3</v>
      </c>
      <c r="U34" s="24">
        <v>3</v>
      </c>
    </row>
    <row r="35" spans="1:21">
      <c r="A35" s="11" t="s">
        <v>37</v>
      </c>
      <c r="B35" s="24">
        <v>2</v>
      </c>
      <c r="C35" s="24">
        <v>2</v>
      </c>
      <c r="D35" s="24">
        <v>2</v>
      </c>
      <c r="E35" s="24">
        <v>2</v>
      </c>
      <c r="F35" s="24">
        <v>2</v>
      </c>
      <c r="G35" s="24">
        <v>2</v>
      </c>
      <c r="H35" s="24">
        <v>2</v>
      </c>
      <c r="I35" s="24">
        <v>2</v>
      </c>
      <c r="J35" s="24">
        <v>2</v>
      </c>
      <c r="K35" s="24">
        <v>2</v>
      </c>
      <c r="L35" s="24">
        <v>2</v>
      </c>
      <c r="M35" s="24">
        <v>2</v>
      </c>
      <c r="N35" s="24">
        <v>2</v>
      </c>
      <c r="O35" s="24">
        <v>2</v>
      </c>
      <c r="P35" s="24">
        <v>2</v>
      </c>
      <c r="Q35" s="24">
        <v>2</v>
      </c>
      <c r="R35" s="24">
        <v>2</v>
      </c>
      <c r="S35" s="24">
        <v>2</v>
      </c>
      <c r="T35" s="24">
        <v>2</v>
      </c>
      <c r="U35" s="24">
        <v>2</v>
      </c>
    </row>
    <row r="36" spans="1:21">
      <c r="A36" s="11" t="s">
        <v>38</v>
      </c>
      <c r="B36" s="24">
        <v>2</v>
      </c>
      <c r="C36" s="24">
        <v>2</v>
      </c>
      <c r="D36" s="24">
        <v>2</v>
      </c>
      <c r="E36" s="24">
        <v>2</v>
      </c>
      <c r="F36" s="24">
        <v>2</v>
      </c>
      <c r="G36" s="24">
        <v>2</v>
      </c>
      <c r="H36" s="24">
        <v>2</v>
      </c>
      <c r="I36" s="24">
        <v>2</v>
      </c>
      <c r="J36" s="24">
        <v>2</v>
      </c>
      <c r="K36" s="24">
        <v>2</v>
      </c>
      <c r="L36" s="24">
        <v>2</v>
      </c>
      <c r="M36" s="24">
        <v>2</v>
      </c>
      <c r="N36" s="24">
        <v>2</v>
      </c>
      <c r="O36" s="24">
        <v>2</v>
      </c>
      <c r="P36" s="24">
        <v>2</v>
      </c>
      <c r="Q36" s="24">
        <v>2</v>
      </c>
      <c r="R36" s="24">
        <v>2</v>
      </c>
      <c r="S36" s="24">
        <v>2</v>
      </c>
      <c r="T36" s="24">
        <v>2</v>
      </c>
      <c r="U36" s="24">
        <v>2</v>
      </c>
    </row>
    <row r="37" spans="1:21">
      <c r="A37" s="11" t="s">
        <v>39</v>
      </c>
      <c r="B37" s="24">
        <v>2</v>
      </c>
      <c r="C37" s="24">
        <v>2</v>
      </c>
      <c r="D37" s="24">
        <v>2</v>
      </c>
      <c r="E37" s="24">
        <v>2</v>
      </c>
      <c r="F37" s="24">
        <v>2</v>
      </c>
      <c r="G37" s="24">
        <v>2</v>
      </c>
      <c r="H37" s="24">
        <v>2</v>
      </c>
      <c r="I37" s="24">
        <v>2</v>
      </c>
      <c r="J37" s="24">
        <v>2</v>
      </c>
      <c r="K37" s="24">
        <v>2</v>
      </c>
      <c r="L37" s="24">
        <v>2</v>
      </c>
      <c r="M37" s="24">
        <v>2</v>
      </c>
      <c r="N37" s="24">
        <v>2</v>
      </c>
      <c r="O37" s="24">
        <v>2</v>
      </c>
      <c r="P37" s="24">
        <v>2</v>
      </c>
      <c r="Q37" s="24">
        <v>2</v>
      </c>
      <c r="R37" s="24">
        <v>2</v>
      </c>
      <c r="S37" s="24">
        <v>2</v>
      </c>
      <c r="T37" s="24">
        <v>2</v>
      </c>
      <c r="U37" s="24">
        <v>2</v>
      </c>
    </row>
  </sheetData>
  <phoneticPr fontId="6" type="noConversion"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54CCE-B812-CE4B-844D-F622E6CD6AA5}">
  <dimension ref="A1:V40"/>
  <sheetViews>
    <sheetView workbookViewId="0">
      <selection activeCell="E14" sqref="E14"/>
    </sheetView>
  </sheetViews>
  <sheetFormatPr baseColWidth="10" defaultRowHeight="16"/>
  <cols>
    <col min="1" max="1" width="19" customWidth="1"/>
  </cols>
  <sheetData>
    <row r="1" spans="1:22" ht="17">
      <c r="A1" s="23" t="s">
        <v>43</v>
      </c>
      <c r="B1" s="20">
        <v>1997</v>
      </c>
      <c r="C1" s="20">
        <v>1998</v>
      </c>
      <c r="D1" s="20">
        <v>1999</v>
      </c>
      <c r="E1" s="20">
        <v>2000</v>
      </c>
      <c r="F1" s="20">
        <v>2001</v>
      </c>
      <c r="G1" s="20">
        <v>2002</v>
      </c>
      <c r="H1" s="20">
        <v>2003</v>
      </c>
      <c r="I1" s="20">
        <v>2004</v>
      </c>
      <c r="J1" s="20">
        <v>2005</v>
      </c>
      <c r="K1" s="20">
        <v>2006</v>
      </c>
      <c r="L1" s="20">
        <v>2007</v>
      </c>
      <c r="M1" s="20">
        <v>2008</v>
      </c>
      <c r="N1" s="20">
        <v>2009</v>
      </c>
      <c r="O1" s="20">
        <v>2010</v>
      </c>
      <c r="P1" s="20">
        <v>2011</v>
      </c>
      <c r="Q1" s="20">
        <v>2012</v>
      </c>
      <c r="R1" s="20">
        <v>2013</v>
      </c>
      <c r="S1" s="20">
        <v>2014</v>
      </c>
      <c r="T1" s="20">
        <v>2015</v>
      </c>
      <c r="U1" s="20">
        <v>2016</v>
      </c>
    </row>
    <row r="2" spans="1:22">
      <c r="A2" s="16" t="s">
        <v>9</v>
      </c>
      <c r="B2" s="24">
        <v>2</v>
      </c>
      <c r="C2" s="24">
        <v>2</v>
      </c>
      <c r="D2" s="24">
        <v>2</v>
      </c>
      <c r="E2" s="24">
        <v>2</v>
      </c>
      <c r="F2" s="24">
        <v>2</v>
      </c>
      <c r="G2" s="24">
        <v>2</v>
      </c>
      <c r="H2" s="24">
        <v>2</v>
      </c>
      <c r="I2" s="24">
        <v>2</v>
      </c>
      <c r="J2" s="24">
        <v>2</v>
      </c>
      <c r="K2" s="24">
        <v>2</v>
      </c>
      <c r="L2" s="24">
        <v>2</v>
      </c>
      <c r="M2" s="24">
        <v>2</v>
      </c>
      <c r="N2" s="24">
        <v>2</v>
      </c>
      <c r="O2" s="24">
        <v>2</v>
      </c>
      <c r="P2" s="24">
        <v>2</v>
      </c>
      <c r="Q2" s="24">
        <v>2</v>
      </c>
      <c r="R2" s="24">
        <v>2</v>
      </c>
      <c r="S2" s="24">
        <v>2</v>
      </c>
      <c r="T2" s="24">
        <v>2</v>
      </c>
      <c r="U2" s="24">
        <v>2</v>
      </c>
      <c r="V2" s="10"/>
    </row>
    <row r="3" spans="1:22">
      <c r="A3" s="11" t="s">
        <v>10</v>
      </c>
      <c r="B3" s="24">
        <v>2</v>
      </c>
      <c r="C3" s="24">
        <v>2</v>
      </c>
      <c r="D3" s="24">
        <v>2</v>
      </c>
      <c r="E3" s="24">
        <v>2</v>
      </c>
      <c r="F3" s="24">
        <v>2</v>
      </c>
      <c r="G3" s="24">
        <v>2</v>
      </c>
      <c r="H3" s="24">
        <v>2</v>
      </c>
      <c r="I3" s="24">
        <v>2</v>
      </c>
      <c r="J3" s="24">
        <v>2</v>
      </c>
      <c r="K3" s="24">
        <v>2</v>
      </c>
      <c r="L3" s="24">
        <v>2</v>
      </c>
      <c r="M3" s="24">
        <v>2</v>
      </c>
      <c r="N3" s="24">
        <v>2</v>
      </c>
      <c r="O3" s="24">
        <v>2</v>
      </c>
      <c r="P3" s="24">
        <v>2</v>
      </c>
      <c r="Q3" s="24">
        <v>2</v>
      </c>
      <c r="R3" s="24">
        <v>2</v>
      </c>
      <c r="S3" s="24">
        <v>2</v>
      </c>
      <c r="T3" s="24">
        <v>2</v>
      </c>
      <c r="U3" s="24">
        <v>2</v>
      </c>
      <c r="V3" s="10"/>
    </row>
    <row r="4" spans="1:22">
      <c r="A4" s="11" t="s">
        <v>11</v>
      </c>
      <c r="B4" s="24">
        <v>2</v>
      </c>
      <c r="C4" s="24">
        <v>2</v>
      </c>
      <c r="D4" s="24">
        <v>2</v>
      </c>
      <c r="E4" s="24">
        <v>2</v>
      </c>
      <c r="F4" s="24">
        <v>2</v>
      </c>
      <c r="G4" s="24">
        <v>2</v>
      </c>
      <c r="H4" s="24">
        <v>2</v>
      </c>
      <c r="I4" s="24">
        <v>2</v>
      </c>
      <c r="J4" s="24">
        <v>2</v>
      </c>
      <c r="K4" s="24">
        <v>2</v>
      </c>
      <c r="L4" s="24">
        <v>2</v>
      </c>
      <c r="M4" s="24">
        <v>2</v>
      </c>
      <c r="N4" s="24">
        <v>2</v>
      </c>
      <c r="O4" s="24">
        <v>2</v>
      </c>
      <c r="P4" s="24">
        <v>2</v>
      </c>
      <c r="Q4" s="24">
        <v>2</v>
      </c>
      <c r="R4" s="24">
        <v>2</v>
      </c>
      <c r="S4" s="24">
        <v>2</v>
      </c>
      <c r="T4" s="24">
        <v>2</v>
      </c>
      <c r="U4" s="24">
        <v>2</v>
      </c>
      <c r="V4" s="10"/>
    </row>
    <row r="5" spans="1:22">
      <c r="A5" s="11" t="s">
        <v>12</v>
      </c>
      <c r="B5" s="24">
        <v>2</v>
      </c>
      <c r="C5" s="24">
        <v>2</v>
      </c>
      <c r="D5" s="24">
        <v>2</v>
      </c>
      <c r="E5" s="24">
        <v>2</v>
      </c>
      <c r="F5" s="24">
        <v>2</v>
      </c>
      <c r="G5" s="24">
        <v>2</v>
      </c>
      <c r="H5" s="24">
        <v>2</v>
      </c>
      <c r="I5" s="24">
        <v>2</v>
      </c>
      <c r="J5" s="24">
        <v>2</v>
      </c>
      <c r="K5" s="24">
        <v>2</v>
      </c>
      <c r="L5" s="24">
        <v>2</v>
      </c>
      <c r="M5" s="24">
        <v>2</v>
      </c>
      <c r="N5" s="24">
        <v>2</v>
      </c>
      <c r="O5" s="24">
        <v>2</v>
      </c>
      <c r="P5" s="24">
        <v>2</v>
      </c>
      <c r="Q5" s="24">
        <v>2</v>
      </c>
      <c r="R5" s="24">
        <v>2</v>
      </c>
      <c r="S5" s="24">
        <v>2</v>
      </c>
      <c r="T5" s="24">
        <v>2</v>
      </c>
      <c r="U5" s="24">
        <v>2</v>
      </c>
      <c r="V5" s="10"/>
    </row>
    <row r="6" spans="1:22">
      <c r="A6" s="11" t="s">
        <v>13</v>
      </c>
      <c r="B6" s="24">
        <v>2</v>
      </c>
      <c r="C6" s="24">
        <v>2</v>
      </c>
      <c r="D6" s="24">
        <v>2</v>
      </c>
      <c r="E6" s="24">
        <v>2</v>
      </c>
      <c r="F6" s="24">
        <v>2</v>
      </c>
      <c r="G6" s="24">
        <v>2</v>
      </c>
      <c r="H6" s="24">
        <v>2</v>
      </c>
      <c r="I6" s="24">
        <v>2</v>
      </c>
      <c r="J6" s="24">
        <v>2</v>
      </c>
      <c r="K6" s="24">
        <v>2</v>
      </c>
      <c r="L6" s="24">
        <v>2</v>
      </c>
      <c r="M6" s="24">
        <v>2</v>
      </c>
      <c r="N6" s="24">
        <v>2</v>
      </c>
      <c r="O6" s="24">
        <v>2</v>
      </c>
      <c r="P6" s="24">
        <v>2</v>
      </c>
      <c r="Q6" s="24">
        <v>2</v>
      </c>
      <c r="R6" s="24">
        <v>2</v>
      </c>
      <c r="S6" s="24">
        <v>2</v>
      </c>
      <c r="T6" s="24">
        <v>2</v>
      </c>
      <c r="U6" s="24">
        <v>2</v>
      </c>
      <c r="V6" s="10"/>
    </row>
    <row r="7" spans="1:22">
      <c r="A7" s="11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10"/>
    </row>
    <row r="8" spans="1:22">
      <c r="A8" s="11" t="s">
        <v>14</v>
      </c>
      <c r="B8" s="24">
        <v>2</v>
      </c>
      <c r="C8" s="24">
        <v>2</v>
      </c>
      <c r="D8" s="24">
        <v>2</v>
      </c>
      <c r="E8" s="24">
        <v>2</v>
      </c>
      <c r="F8" s="24">
        <v>2</v>
      </c>
      <c r="G8" s="24">
        <v>2</v>
      </c>
      <c r="H8" s="24">
        <v>2</v>
      </c>
      <c r="I8" s="24">
        <v>2</v>
      </c>
      <c r="J8" s="24">
        <v>2</v>
      </c>
      <c r="K8" s="24">
        <v>2</v>
      </c>
      <c r="L8" s="24">
        <v>2</v>
      </c>
      <c r="M8" s="24">
        <v>2</v>
      </c>
      <c r="N8" s="24">
        <v>2</v>
      </c>
      <c r="O8" s="24">
        <v>2</v>
      </c>
      <c r="P8" s="24">
        <v>2</v>
      </c>
      <c r="Q8" s="24">
        <v>2</v>
      </c>
      <c r="R8" s="24">
        <v>2</v>
      </c>
      <c r="S8" s="24">
        <v>2</v>
      </c>
      <c r="T8" s="24">
        <v>2</v>
      </c>
      <c r="U8" s="24">
        <v>2</v>
      </c>
      <c r="V8" s="10"/>
    </row>
    <row r="9" spans="1:22">
      <c r="A9" s="11" t="s">
        <v>15</v>
      </c>
      <c r="B9" s="24">
        <v>2</v>
      </c>
      <c r="C9" s="24">
        <v>2</v>
      </c>
      <c r="D9" s="24">
        <v>2</v>
      </c>
      <c r="E9" s="24">
        <v>2</v>
      </c>
      <c r="F9" s="24">
        <v>2</v>
      </c>
      <c r="G9" s="24">
        <v>2</v>
      </c>
      <c r="H9" s="24">
        <v>2</v>
      </c>
      <c r="I9" s="24">
        <v>2</v>
      </c>
      <c r="J9" s="24">
        <v>2</v>
      </c>
      <c r="K9" s="24">
        <v>2</v>
      </c>
      <c r="L9" s="24">
        <v>2</v>
      </c>
      <c r="M9" s="24">
        <v>2</v>
      </c>
      <c r="N9" s="24">
        <v>2</v>
      </c>
      <c r="O9" s="24">
        <v>2</v>
      </c>
      <c r="P9" s="24">
        <v>2</v>
      </c>
      <c r="Q9" s="24">
        <v>2</v>
      </c>
      <c r="R9" s="24">
        <v>2</v>
      </c>
      <c r="S9" s="24">
        <v>2</v>
      </c>
      <c r="T9" s="24">
        <v>2</v>
      </c>
      <c r="U9" s="24">
        <v>2</v>
      </c>
      <c r="V9" s="10"/>
    </row>
    <row r="10" spans="1:22">
      <c r="A10" s="11" t="s">
        <v>16</v>
      </c>
      <c r="B10" s="24">
        <v>2</v>
      </c>
      <c r="C10" s="24">
        <v>2</v>
      </c>
      <c r="D10" s="24">
        <v>2</v>
      </c>
      <c r="E10" s="24">
        <v>2</v>
      </c>
      <c r="F10" s="24">
        <v>2</v>
      </c>
      <c r="G10" s="24">
        <v>2</v>
      </c>
      <c r="H10" s="24">
        <v>2</v>
      </c>
      <c r="I10" s="24">
        <v>2</v>
      </c>
      <c r="J10" s="24">
        <v>2</v>
      </c>
      <c r="K10" s="24">
        <v>2</v>
      </c>
      <c r="L10" s="24">
        <v>2</v>
      </c>
      <c r="M10" s="24">
        <v>2</v>
      </c>
      <c r="N10" s="24">
        <v>2</v>
      </c>
      <c r="O10" s="24">
        <v>2</v>
      </c>
      <c r="P10" s="24">
        <v>2</v>
      </c>
      <c r="Q10" s="24">
        <v>2</v>
      </c>
      <c r="R10" s="24">
        <v>2</v>
      </c>
      <c r="S10" s="24">
        <v>2</v>
      </c>
      <c r="T10" s="24">
        <v>2</v>
      </c>
      <c r="U10" s="24">
        <v>2</v>
      </c>
      <c r="V10" s="10"/>
    </row>
    <row r="11" spans="1:22">
      <c r="A11" s="11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10"/>
    </row>
    <row r="12" spans="1:22">
      <c r="A12" s="11" t="s">
        <v>17</v>
      </c>
      <c r="B12" s="24">
        <v>2</v>
      </c>
      <c r="C12" s="24">
        <v>2</v>
      </c>
      <c r="D12" s="24">
        <v>2</v>
      </c>
      <c r="E12" s="24">
        <v>2</v>
      </c>
      <c r="F12" s="24">
        <v>2</v>
      </c>
      <c r="G12" s="24">
        <v>2</v>
      </c>
      <c r="H12" s="24">
        <v>2</v>
      </c>
      <c r="I12" s="24">
        <v>2</v>
      </c>
      <c r="J12" s="24">
        <v>2</v>
      </c>
      <c r="K12" s="24">
        <v>2</v>
      </c>
      <c r="L12" s="24">
        <v>2</v>
      </c>
      <c r="M12" s="24">
        <v>2</v>
      </c>
      <c r="N12" s="24">
        <v>2</v>
      </c>
      <c r="O12" s="24">
        <v>2</v>
      </c>
      <c r="P12" s="24">
        <v>2</v>
      </c>
      <c r="Q12" s="24">
        <v>2</v>
      </c>
      <c r="R12" s="24">
        <v>2</v>
      </c>
      <c r="S12" s="24">
        <v>2</v>
      </c>
      <c r="T12" s="24">
        <v>2</v>
      </c>
      <c r="U12" s="24">
        <v>2</v>
      </c>
      <c r="V12" s="10"/>
    </row>
    <row r="13" spans="1:22">
      <c r="A13" s="11" t="s">
        <v>18</v>
      </c>
      <c r="B13" s="24">
        <v>2</v>
      </c>
      <c r="C13" s="24">
        <v>2</v>
      </c>
      <c r="D13" s="24">
        <v>2</v>
      </c>
      <c r="E13" s="24">
        <v>2</v>
      </c>
      <c r="F13" s="24">
        <v>2</v>
      </c>
      <c r="G13" s="24">
        <v>2</v>
      </c>
      <c r="H13" s="24">
        <v>2</v>
      </c>
      <c r="I13" s="24">
        <v>2</v>
      </c>
      <c r="J13" s="24">
        <v>2</v>
      </c>
      <c r="K13" s="24">
        <v>2</v>
      </c>
      <c r="L13" s="24">
        <v>2</v>
      </c>
      <c r="M13" s="24">
        <v>2</v>
      </c>
      <c r="N13" s="24">
        <v>2</v>
      </c>
      <c r="O13" s="24">
        <v>2</v>
      </c>
      <c r="P13" s="24">
        <v>2</v>
      </c>
      <c r="Q13" s="24">
        <v>2</v>
      </c>
      <c r="R13" s="24">
        <v>2</v>
      </c>
      <c r="S13" s="24">
        <v>2</v>
      </c>
      <c r="T13" s="24">
        <v>2</v>
      </c>
      <c r="U13" s="24">
        <v>2</v>
      </c>
      <c r="V13" s="10"/>
    </row>
    <row r="14" spans="1:22">
      <c r="A14" s="11" t="s">
        <v>19</v>
      </c>
      <c r="B14" s="24">
        <v>1</v>
      </c>
      <c r="C14" s="24">
        <v>1</v>
      </c>
      <c r="D14" s="24">
        <v>1</v>
      </c>
      <c r="E14" s="24">
        <v>1</v>
      </c>
      <c r="F14" s="24">
        <v>1</v>
      </c>
      <c r="G14" s="24">
        <v>1</v>
      </c>
      <c r="H14" s="24">
        <v>1</v>
      </c>
      <c r="I14" s="24">
        <v>1</v>
      </c>
      <c r="J14" s="24">
        <v>1</v>
      </c>
      <c r="K14" s="24">
        <v>1</v>
      </c>
      <c r="L14" s="24">
        <v>1</v>
      </c>
      <c r="M14" s="24">
        <v>1</v>
      </c>
      <c r="N14" s="24">
        <v>1</v>
      </c>
      <c r="O14" s="24">
        <v>1</v>
      </c>
      <c r="P14" s="24">
        <v>1</v>
      </c>
      <c r="Q14" s="24">
        <v>1</v>
      </c>
      <c r="R14" s="24">
        <v>1</v>
      </c>
      <c r="S14" s="24">
        <v>1</v>
      </c>
      <c r="T14" s="24">
        <v>1</v>
      </c>
      <c r="U14" s="24">
        <v>1</v>
      </c>
      <c r="V14" s="10"/>
    </row>
    <row r="15" spans="1:22">
      <c r="A15" s="11" t="s">
        <v>20</v>
      </c>
      <c r="B15" s="24">
        <v>1</v>
      </c>
      <c r="C15" s="24">
        <v>1</v>
      </c>
      <c r="D15" s="24">
        <v>1</v>
      </c>
      <c r="E15" s="24">
        <v>1</v>
      </c>
      <c r="F15" s="24">
        <v>1</v>
      </c>
      <c r="G15" s="24">
        <v>1</v>
      </c>
      <c r="H15" s="24">
        <v>1</v>
      </c>
      <c r="I15" s="24">
        <v>1</v>
      </c>
      <c r="J15" s="24">
        <v>1</v>
      </c>
      <c r="K15" s="24">
        <v>1</v>
      </c>
      <c r="L15" s="24">
        <v>1</v>
      </c>
      <c r="M15" s="24">
        <v>1</v>
      </c>
      <c r="N15" s="24">
        <v>1</v>
      </c>
      <c r="O15" s="24">
        <v>1</v>
      </c>
      <c r="P15" s="24">
        <v>1</v>
      </c>
      <c r="Q15" s="24">
        <v>1</v>
      </c>
      <c r="R15" s="24">
        <v>1</v>
      </c>
      <c r="S15" s="24">
        <v>1</v>
      </c>
      <c r="T15" s="24">
        <v>1</v>
      </c>
      <c r="U15" s="24">
        <v>1</v>
      </c>
      <c r="V15" s="10"/>
    </row>
    <row r="16" spans="1:22">
      <c r="A16" s="11" t="s">
        <v>21</v>
      </c>
      <c r="B16" s="24">
        <v>2</v>
      </c>
      <c r="C16" s="24">
        <v>2</v>
      </c>
      <c r="D16" s="24">
        <v>2</v>
      </c>
      <c r="E16" s="24">
        <v>2</v>
      </c>
      <c r="F16" s="24">
        <v>2</v>
      </c>
      <c r="G16" s="24">
        <v>2</v>
      </c>
      <c r="H16" s="24">
        <v>2</v>
      </c>
      <c r="I16" s="24">
        <v>2</v>
      </c>
      <c r="J16" s="24">
        <v>2</v>
      </c>
      <c r="K16" s="24">
        <v>2</v>
      </c>
      <c r="L16" s="24">
        <v>2</v>
      </c>
      <c r="M16" s="24">
        <v>2</v>
      </c>
      <c r="N16" s="24">
        <v>2</v>
      </c>
      <c r="O16" s="24">
        <v>2</v>
      </c>
      <c r="P16" s="24">
        <v>2</v>
      </c>
      <c r="Q16" s="24">
        <v>2</v>
      </c>
      <c r="R16" s="24">
        <v>2</v>
      </c>
      <c r="S16" s="24">
        <v>2</v>
      </c>
      <c r="T16" s="24">
        <v>2</v>
      </c>
      <c r="U16" s="24">
        <v>2</v>
      </c>
      <c r="V16" s="10"/>
    </row>
    <row r="17" spans="1:22">
      <c r="A17" s="11" t="s">
        <v>22</v>
      </c>
      <c r="B17" s="24">
        <v>2</v>
      </c>
      <c r="C17" s="24">
        <v>2</v>
      </c>
      <c r="D17" s="24">
        <v>2</v>
      </c>
      <c r="E17" s="24">
        <v>2</v>
      </c>
      <c r="F17" s="24">
        <v>2</v>
      </c>
      <c r="G17" s="24">
        <v>2</v>
      </c>
      <c r="H17" s="24">
        <v>2</v>
      </c>
      <c r="I17" s="24">
        <v>2</v>
      </c>
      <c r="J17" s="24">
        <v>2</v>
      </c>
      <c r="K17" s="24">
        <v>2</v>
      </c>
      <c r="L17" s="24">
        <v>2</v>
      </c>
      <c r="M17" s="24">
        <v>2</v>
      </c>
      <c r="N17" s="24">
        <v>2</v>
      </c>
      <c r="O17" s="24">
        <v>2</v>
      </c>
      <c r="P17" s="24">
        <v>2</v>
      </c>
      <c r="Q17" s="24">
        <v>2</v>
      </c>
      <c r="R17" s="24">
        <v>2</v>
      </c>
      <c r="S17" s="24">
        <v>2</v>
      </c>
      <c r="T17" s="24">
        <v>2</v>
      </c>
      <c r="U17" s="24">
        <v>2</v>
      </c>
      <c r="V17" s="10"/>
    </row>
    <row r="18" spans="1:22">
      <c r="A18" s="11" t="s">
        <v>23</v>
      </c>
      <c r="B18" s="24">
        <v>2</v>
      </c>
      <c r="C18" s="24">
        <v>2</v>
      </c>
      <c r="D18" s="24">
        <v>2</v>
      </c>
      <c r="E18" s="24">
        <v>2</v>
      </c>
      <c r="F18" s="24">
        <v>2</v>
      </c>
      <c r="G18" s="24">
        <v>2</v>
      </c>
      <c r="H18" s="24">
        <v>2</v>
      </c>
      <c r="I18" s="24">
        <v>2</v>
      </c>
      <c r="J18" s="24">
        <v>2</v>
      </c>
      <c r="K18" s="24">
        <v>2</v>
      </c>
      <c r="L18" s="24">
        <v>2</v>
      </c>
      <c r="M18" s="24">
        <v>2</v>
      </c>
      <c r="N18" s="24">
        <v>2</v>
      </c>
      <c r="O18" s="24">
        <v>2</v>
      </c>
      <c r="P18" s="24">
        <v>2</v>
      </c>
      <c r="Q18" s="24">
        <v>2</v>
      </c>
      <c r="R18" s="24">
        <v>2</v>
      </c>
      <c r="S18" s="24">
        <v>2</v>
      </c>
      <c r="T18" s="24">
        <v>2</v>
      </c>
      <c r="U18" s="24">
        <v>2</v>
      </c>
      <c r="V18" s="10"/>
    </row>
    <row r="19" spans="1:22">
      <c r="A19" s="11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10"/>
    </row>
    <row r="20" spans="1:22">
      <c r="A20" s="11" t="s">
        <v>24</v>
      </c>
      <c r="B20" s="24">
        <v>1</v>
      </c>
      <c r="C20" s="24">
        <v>1</v>
      </c>
      <c r="D20" s="24">
        <v>1</v>
      </c>
      <c r="E20" s="24">
        <v>1</v>
      </c>
      <c r="F20" s="24">
        <v>1</v>
      </c>
      <c r="G20" s="24">
        <v>1</v>
      </c>
      <c r="H20" s="24">
        <v>1</v>
      </c>
      <c r="I20" s="24">
        <v>1</v>
      </c>
      <c r="J20" s="24">
        <v>1</v>
      </c>
      <c r="K20" s="24">
        <v>1</v>
      </c>
      <c r="L20" s="24">
        <v>1</v>
      </c>
      <c r="M20" s="24">
        <v>1</v>
      </c>
      <c r="N20" s="24">
        <v>1</v>
      </c>
      <c r="O20" s="24">
        <v>1</v>
      </c>
      <c r="P20" s="24">
        <v>1</v>
      </c>
      <c r="Q20" s="24">
        <v>1</v>
      </c>
      <c r="R20" s="24">
        <v>1</v>
      </c>
      <c r="S20" s="24">
        <v>1</v>
      </c>
      <c r="T20" s="24">
        <v>1</v>
      </c>
      <c r="U20" s="24">
        <v>1</v>
      </c>
      <c r="V20" s="10"/>
    </row>
    <row r="21" spans="1:22">
      <c r="A21" s="11" t="s">
        <v>25</v>
      </c>
      <c r="B21" s="24">
        <v>2</v>
      </c>
      <c r="C21" s="24">
        <v>2</v>
      </c>
      <c r="D21" s="24">
        <v>2</v>
      </c>
      <c r="E21" s="24">
        <v>2</v>
      </c>
      <c r="F21" s="24">
        <v>2</v>
      </c>
      <c r="G21" s="24">
        <v>2</v>
      </c>
      <c r="H21" s="24">
        <v>2</v>
      </c>
      <c r="I21" s="24">
        <v>2</v>
      </c>
      <c r="J21" s="24">
        <v>2</v>
      </c>
      <c r="K21" s="24">
        <v>2</v>
      </c>
      <c r="L21" s="24">
        <v>2</v>
      </c>
      <c r="M21" s="24">
        <v>2</v>
      </c>
      <c r="N21" s="24">
        <v>2</v>
      </c>
      <c r="O21" s="24">
        <v>2</v>
      </c>
      <c r="P21" s="24">
        <v>2</v>
      </c>
      <c r="Q21" s="24">
        <v>2</v>
      </c>
      <c r="R21" s="24">
        <v>2</v>
      </c>
      <c r="S21" s="24">
        <v>2</v>
      </c>
      <c r="T21" s="24">
        <v>2</v>
      </c>
      <c r="U21" s="24">
        <v>2</v>
      </c>
      <c r="V21" s="10"/>
    </row>
    <row r="22" spans="1:22">
      <c r="A22" s="11" t="s">
        <v>26</v>
      </c>
      <c r="B22" s="24">
        <v>2</v>
      </c>
      <c r="C22" s="24">
        <v>2</v>
      </c>
      <c r="D22" s="24">
        <v>2</v>
      </c>
      <c r="E22" s="24">
        <v>2</v>
      </c>
      <c r="F22" s="24">
        <v>2</v>
      </c>
      <c r="G22" s="24">
        <v>2</v>
      </c>
      <c r="H22" s="24">
        <v>2</v>
      </c>
      <c r="I22" s="24">
        <v>2</v>
      </c>
      <c r="J22" s="24">
        <v>2</v>
      </c>
      <c r="K22" s="24">
        <v>2</v>
      </c>
      <c r="L22" s="24">
        <v>2</v>
      </c>
      <c r="M22" s="24">
        <v>2</v>
      </c>
      <c r="N22" s="24">
        <v>2</v>
      </c>
      <c r="O22" s="24">
        <v>2</v>
      </c>
      <c r="P22" s="24">
        <v>2</v>
      </c>
      <c r="Q22" s="24">
        <v>2</v>
      </c>
      <c r="R22" s="24">
        <v>2</v>
      </c>
      <c r="S22" s="24">
        <v>2</v>
      </c>
      <c r="T22" s="24">
        <v>2</v>
      </c>
      <c r="U22" s="24">
        <v>2</v>
      </c>
      <c r="V22" s="10"/>
    </row>
    <row r="23" spans="1:22">
      <c r="A23" s="11" t="s">
        <v>27</v>
      </c>
      <c r="B23" s="24">
        <v>1</v>
      </c>
      <c r="C23" s="24">
        <v>1</v>
      </c>
      <c r="D23" s="24">
        <v>1</v>
      </c>
      <c r="E23" s="24">
        <v>1</v>
      </c>
      <c r="F23" s="24">
        <v>1</v>
      </c>
      <c r="G23" s="24">
        <v>1</v>
      </c>
      <c r="H23" s="24">
        <v>1</v>
      </c>
      <c r="I23" s="24">
        <v>1</v>
      </c>
      <c r="J23" s="24">
        <v>1</v>
      </c>
      <c r="K23" s="24">
        <v>1</v>
      </c>
      <c r="L23" s="24">
        <v>1</v>
      </c>
      <c r="M23" s="24">
        <v>1</v>
      </c>
      <c r="N23" s="24">
        <v>1</v>
      </c>
      <c r="O23" s="24">
        <v>1</v>
      </c>
      <c r="P23" s="24">
        <v>1</v>
      </c>
      <c r="Q23" s="24">
        <v>1</v>
      </c>
      <c r="R23" s="24">
        <v>1</v>
      </c>
      <c r="S23" s="24">
        <v>1</v>
      </c>
      <c r="T23" s="24">
        <v>1</v>
      </c>
      <c r="U23" s="24">
        <v>1</v>
      </c>
      <c r="V23" s="10"/>
    </row>
    <row r="24" spans="1:22">
      <c r="A24" s="11" t="s">
        <v>28</v>
      </c>
      <c r="B24" s="24">
        <v>2</v>
      </c>
      <c r="C24" s="24">
        <v>2</v>
      </c>
      <c r="D24" s="24">
        <v>2</v>
      </c>
      <c r="E24" s="24">
        <v>2</v>
      </c>
      <c r="F24" s="24">
        <v>2</v>
      </c>
      <c r="G24" s="24">
        <v>2</v>
      </c>
      <c r="H24" s="24">
        <v>2</v>
      </c>
      <c r="I24" s="24">
        <v>2</v>
      </c>
      <c r="J24" s="24">
        <v>2</v>
      </c>
      <c r="K24" s="24">
        <v>2</v>
      </c>
      <c r="L24" s="24">
        <v>2</v>
      </c>
      <c r="M24" s="24">
        <v>2</v>
      </c>
      <c r="N24" s="24">
        <v>2</v>
      </c>
      <c r="O24" s="24">
        <v>2</v>
      </c>
      <c r="P24" s="24">
        <v>2</v>
      </c>
      <c r="Q24" s="24">
        <v>2</v>
      </c>
      <c r="R24" s="24">
        <v>2</v>
      </c>
      <c r="S24" s="24">
        <v>2</v>
      </c>
      <c r="T24" s="24">
        <v>2</v>
      </c>
      <c r="U24" s="24">
        <v>2</v>
      </c>
      <c r="V24" s="10"/>
    </row>
    <row r="25" spans="1:22">
      <c r="A25" s="11" t="s">
        <v>29</v>
      </c>
      <c r="B25" s="24">
        <v>2</v>
      </c>
      <c r="C25" s="24">
        <v>2</v>
      </c>
      <c r="D25" s="24">
        <v>2</v>
      </c>
      <c r="E25" s="24">
        <v>2</v>
      </c>
      <c r="F25" s="24">
        <v>2</v>
      </c>
      <c r="G25" s="24">
        <v>2</v>
      </c>
      <c r="H25" s="24">
        <v>2</v>
      </c>
      <c r="I25" s="24">
        <v>2</v>
      </c>
      <c r="J25" s="24">
        <v>2</v>
      </c>
      <c r="K25" s="24">
        <v>2</v>
      </c>
      <c r="L25" s="24">
        <v>2</v>
      </c>
      <c r="M25" s="24">
        <v>2</v>
      </c>
      <c r="N25" s="24">
        <v>2</v>
      </c>
      <c r="O25" s="24">
        <v>2</v>
      </c>
      <c r="P25" s="24">
        <v>2</v>
      </c>
      <c r="Q25" s="24">
        <v>2</v>
      </c>
      <c r="R25" s="24">
        <v>2</v>
      </c>
      <c r="S25" s="24">
        <v>2</v>
      </c>
      <c r="T25" s="24">
        <v>2</v>
      </c>
      <c r="U25" s="24">
        <v>2</v>
      </c>
      <c r="V25" s="10"/>
    </row>
    <row r="26" spans="1:22">
      <c r="A26" s="11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10"/>
    </row>
    <row r="27" spans="1:22">
      <c r="A27" s="11" t="s">
        <v>30</v>
      </c>
      <c r="B27" s="24">
        <v>2</v>
      </c>
      <c r="C27" s="24">
        <v>2</v>
      </c>
      <c r="D27" s="24">
        <v>2</v>
      </c>
      <c r="E27" s="24">
        <v>2</v>
      </c>
      <c r="F27" s="24">
        <v>2</v>
      </c>
      <c r="G27" s="24">
        <v>2</v>
      </c>
      <c r="H27" s="24">
        <v>2</v>
      </c>
      <c r="I27" s="24">
        <v>2</v>
      </c>
      <c r="J27" s="24">
        <v>2</v>
      </c>
      <c r="K27" s="24">
        <v>2</v>
      </c>
      <c r="L27" s="24">
        <v>2</v>
      </c>
      <c r="M27" s="24">
        <v>2</v>
      </c>
      <c r="N27" s="24">
        <v>2</v>
      </c>
      <c r="O27" s="24">
        <v>2</v>
      </c>
      <c r="P27" s="24">
        <v>2</v>
      </c>
      <c r="Q27" s="24">
        <v>2</v>
      </c>
      <c r="R27" s="24">
        <v>2</v>
      </c>
      <c r="S27" s="24">
        <v>2</v>
      </c>
      <c r="T27" s="24">
        <v>2</v>
      </c>
      <c r="U27" s="24">
        <v>2</v>
      </c>
      <c r="V27" s="10"/>
    </row>
    <row r="28" spans="1:22">
      <c r="A28" s="11" t="s">
        <v>31</v>
      </c>
      <c r="B28" s="24">
        <v>2</v>
      </c>
      <c r="C28" s="24">
        <v>2</v>
      </c>
      <c r="D28" s="24">
        <v>2</v>
      </c>
      <c r="E28" s="24">
        <v>2</v>
      </c>
      <c r="F28" s="24">
        <v>2</v>
      </c>
      <c r="G28" s="24">
        <v>2</v>
      </c>
      <c r="H28" s="24">
        <v>2</v>
      </c>
      <c r="I28" s="24">
        <v>2</v>
      </c>
      <c r="J28" s="24">
        <v>2</v>
      </c>
      <c r="K28" s="24">
        <v>2</v>
      </c>
      <c r="L28" s="24">
        <v>2</v>
      </c>
      <c r="M28" s="24">
        <v>2</v>
      </c>
      <c r="N28" s="24">
        <v>2</v>
      </c>
      <c r="O28" s="24">
        <v>2</v>
      </c>
      <c r="P28" s="24">
        <v>2</v>
      </c>
      <c r="Q28" s="24">
        <v>2</v>
      </c>
      <c r="R28" s="24">
        <v>2</v>
      </c>
      <c r="S28" s="24">
        <v>2</v>
      </c>
      <c r="T28" s="24">
        <v>2</v>
      </c>
      <c r="U28" s="24">
        <v>2</v>
      </c>
      <c r="V28" s="10"/>
    </row>
    <row r="29" spans="1:22">
      <c r="A29" s="11" t="s">
        <v>32</v>
      </c>
      <c r="B29" s="24">
        <v>2</v>
      </c>
      <c r="C29" s="24">
        <v>2</v>
      </c>
      <c r="D29" s="24">
        <v>2</v>
      </c>
      <c r="E29" s="24">
        <v>2</v>
      </c>
      <c r="F29" s="24">
        <v>2</v>
      </c>
      <c r="G29" s="24">
        <v>2</v>
      </c>
      <c r="H29" s="24">
        <v>2</v>
      </c>
      <c r="I29" s="24">
        <v>2</v>
      </c>
      <c r="J29" s="24">
        <v>2</v>
      </c>
      <c r="K29" s="24">
        <v>2</v>
      </c>
      <c r="L29" s="24">
        <v>2</v>
      </c>
      <c r="M29" s="24">
        <v>2</v>
      </c>
      <c r="N29" s="24">
        <v>2</v>
      </c>
      <c r="O29" s="24">
        <v>2</v>
      </c>
      <c r="P29" s="24">
        <v>2</v>
      </c>
      <c r="Q29" s="24">
        <v>2</v>
      </c>
      <c r="R29" s="24">
        <v>2</v>
      </c>
      <c r="S29" s="24">
        <v>2</v>
      </c>
      <c r="T29" s="24">
        <v>2</v>
      </c>
      <c r="U29" s="24">
        <v>2</v>
      </c>
      <c r="V29" s="10"/>
    </row>
    <row r="30" spans="1:22">
      <c r="A30" s="11" t="s">
        <v>33</v>
      </c>
      <c r="B30" s="24">
        <v>3</v>
      </c>
      <c r="C30" s="24">
        <v>3</v>
      </c>
      <c r="D30" s="24">
        <v>3</v>
      </c>
      <c r="E30" s="24">
        <v>3</v>
      </c>
      <c r="F30" s="24">
        <v>3</v>
      </c>
      <c r="G30" s="24">
        <v>3</v>
      </c>
      <c r="H30" s="24">
        <v>3</v>
      </c>
      <c r="I30" s="24">
        <v>3</v>
      </c>
      <c r="J30" s="24">
        <v>3</v>
      </c>
      <c r="K30" s="24">
        <v>3</v>
      </c>
      <c r="L30" s="24">
        <v>3</v>
      </c>
      <c r="M30" s="24">
        <v>3</v>
      </c>
      <c r="N30" s="24">
        <v>3</v>
      </c>
      <c r="O30" s="24">
        <v>3</v>
      </c>
      <c r="P30" s="24">
        <v>3</v>
      </c>
      <c r="Q30" s="24">
        <v>3</v>
      </c>
      <c r="R30" s="24">
        <v>3</v>
      </c>
      <c r="S30" s="24">
        <v>3</v>
      </c>
      <c r="T30" s="24">
        <v>3</v>
      </c>
      <c r="U30" s="24">
        <v>3</v>
      </c>
      <c r="V30" s="10"/>
    </row>
    <row r="31" spans="1:22">
      <c r="A31" s="11" t="s">
        <v>34</v>
      </c>
      <c r="B31" s="24">
        <v>2</v>
      </c>
      <c r="C31" s="24">
        <v>2</v>
      </c>
      <c r="D31" s="24">
        <v>2</v>
      </c>
      <c r="E31" s="24">
        <v>2</v>
      </c>
      <c r="F31" s="24">
        <v>2</v>
      </c>
      <c r="G31" s="24">
        <v>2</v>
      </c>
      <c r="H31" s="24">
        <v>2</v>
      </c>
      <c r="I31" s="24">
        <v>2</v>
      </c>
      <c r="J31" s="24">
        <v>2</v>
      </c>
      <c r="K31" s="24">
        <v>2</v>
      </c>
      <c r="L31" s="24">
        <v>2</v>
      </c>
      <c r="M31" s="24">
        <v>2</v>
      </c>
      <c r="N31" s="24">
        <v>2</v>
      </c>
      <c r="O31" s="24">
        <v>2</v>
      </c>
      <c r="P31" s="24">
        <v>2</v>
      </c>
      <c r="Q31" s="24">
        <v>2</v>
      </c>
      <c r="R31" s="24">
        <v>2</v>
      </c>
      <c r="S31" s="24">
        <v>2</v>
      </c>
      <c r="T31" s="24">
        <v>2</v>
      </c>
      <c r="U31" s="24">
        <v>2</v>
      </c>
      <c r="V31" s="10"/>
    </row>
    <row r="32" spans="1:22">
      <c r="A32" s="11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10"/>
    </row>
    <row r="33" spans="1:22">
      <c r="A33" s="11" t="s">
        <v>35</v>
      </c>
      <c r="B33" s="24">
        <v>2</v>
      </c>
      <c r="C33" s="24">
        <v>2</v>
      </c>
      <c r="D33" s="24">
        <v>2</v>
      </c>
      <c r="E33" s="24">
        <v>2</v>
      </c>
      <c r="F33" s="24">
        <v>2</v>
      </c>
      <c r="G33" s="24">
        <v>2</v>
      </c>
      <c r="H33" s="24">
        <v>2</v>
      </c>
      <c r="I33" s="24">
        <v>2</v>
      </c>
      <c r="J33" s="24">
        <v>2</v>
      </c>
      <c r="K33" s="24">
        <v>2</v>
      </c>
      <c r="L33" s="24">
        <v>2</v>
      </c>
      <c r="M33" s="24">
        <v>2</v>
      </c>
      <c r="N33" s="24">
        <v>2</v>
      </c>
      <c r="O33" s="24">
        <v>2</v>
      </c>
      <c r="P33" s="24">
        <v>2</v>
      </c>
      <c r="Q33" s="24">
        <v>2</v>
      </c>
      <c r="R33" s="24">
        <v>2</v>
      </c>
      <c r="S33" s="24">
        <v>2</v>
      </c>
      <c r="T33" s="24">
        <v>2</v>
      </c>
      <c r="U33" s="24">
        <v>2</v>
      </c>
      <c r="V33" s="10"/>
    </row>
    <row r="34" spans="1:22">
      <c r="A34" s="11" t="s">
        <v>36</v>
      </c>
      <c r="B34" s="24">
        <v>1</v>
      </c>
      <c r="C34" s="24">
        <v>1</v>
      </c>
      <c r="D34" s="24">
        <v>1</v>
      </c>
      <c r="E34" s="24">
        <v>1</v>
      </c>
      <c r="F34" s="24">
        <v>1</v>
      </c>
      <c r="G34" s="24">
        <v>1</v>
      </c>
      <c r="H34" s="24">
        <v>1</v>
      </c>
      <c r="I34" s="24">
        <v>1</v>
      </c>
      <c r="J34" s="24">
        <v>1</v>
      </c>
      <c r="K34" s="24">
        <v>1</v>
      </c>
      <c r="L34" s="24">
        <v>1</v>
      </c>
      <c r="M34" s="24">
        <v>1</v>
      </c>
      <c r="N34" s="24">
        <v>1</v>
      </c>
      <c r="O34" s="24">
        <v>1</v>
      </c>
      <c r="P34" s="24">
        <v>1</v>
      </c>
      <c r="Q34" s="24">
        <v>1</v>
      </c>
      <c r="R34" s="24">
        <v>1</v>
      </c>
      <c r="S34" s="24">
        <v>1</v>
      </c>
      <c r="T34" s="24">
        <v>1</v>
      </c>
      <c r="U34" s="24">
        <v>1</v>
      </c>
      <c r="V34" s="10"/>
    </row>
    <row r="35" spans="1:22">
      <c r="A35" s="11" t="s">
        <v>37</v>
      </c>
      <c r="B35" s="24">
        <v>2</v>
      </c>
      <c r="C35" s="24">
        <v>2</v>
      </c>
      <c r="D35" s="24">
        <v>2</v>
      </c>
      <c r="E35" s="24">
        <v>2</v>
      </c>
      <c r="F35" s="24">
        <v>2</v>
      </c>
      <c r="G35" s="24">
        <v>2</v>
      </c>
      <c r="H35" s="24">
        <v>2</v>
      </c>
      <c r="I35" s="24">
        <v>2</v>
      </c>
      <c r="J35" s="24">
        <v>2</v>
      </c>
      <c r="K35" s="24">
        <v>2</v>
      </c>
      <c r="L35" s="24">
        <v>2</v>
      </c>
      <c r="M35" s="24">
        <v>2</v>
      </c>
      <c r="N35" s="24">
        <v>2</v>
      </c>
      <c r="O35" s="24">
        <v>2</v>
      </c>
      <c r="P35" s="24">
        <v>2</v>
      </c>
      <c r="Q35" s="24">
        <v>2</v>
      </c>
      <c r="R35" s="24">
        <v>2</v>
      </c>
      <c r="S35" s="24">
        <v>2</v>
      </c>
      <c r="T35" s="24">
        <v>2</v>
      </c>
      <c r="U35" s="24">
        <v>2</v>
      </c>
      <c r="V35" s="10"/>
    </row>
    <row r="36" spans="1:22">
      <c r="A36" s="11" t="s">
        <v>38</v>
      </c>
      <c r="B36" s="24">
        <v>2</v>
      </c>
      <c r="C36" s="24">
        <v>2</v>
      </c>
      <c r="D36" s="24">
        <v>2</v>
      </c>
      <c r="E36" s="24">
        <v>2</v>
      </c>
      <c r="F36" s="24">
        <v>2</v>
      </c>
      <c r="G36" s="24">
        <v>2</v>
      </c>
      <c r="H36" s="24">
        <v>2</v>
      </c>
      <c r="I36" s="24">
        <v>2</v>
      </c>
      <c r="J36" s="24">
        <v>2</v>
      </c>
      <c r="K36" s="24">
        <v>2</v>
      </c>
      <c r="L36" s="24">
        <v>2</v>
      </c>
      <c r="M36" s="24">
        <v>2</v>
      </c>
      <c r="N36" s="24">
        <v>2</v>
      </c>
      <c r="O36" s="24">
        <v>2</v>
      </c>
      <c r="P36" s="24">
        <v>2</v>
      </c>
      <c r="Q36" s="24">
        <v>2</v>
      </c>
      <c r="R36" s="24">
        <v>2</v>
      </c>
      <c r="S36" s="24">
        <v>2</v>
      </c>
      <c r="T36" s="24">
        <v>2</v>
      </c>
      <c r="U36" s="24">
        <v>2</v>
      </c>
      <c r="V36" s="10"/>
    </row>
    <row r="37" spans="1:22">
      <c r="A37" s="11" t="s">
        <v>39</v>
      </c>
      <c r="B37" s="24">
        <v>2</v>
      </c>
      <c r="C37" s="24">
        <v>2</v>
      </c>
      <c r="D37" s="24">
        <v>2</v>
      </c>
      <c r="E37" s="24">
        <v>2</v>
      </c>
      <c r="F37" s="24">
        <v>2</v>
      </c>
      <c r="G37" s="24">
        <v>2</v>
      </c>
      <c r="H37" s="24">
        <v>2</v>
      </c>
      <c r="I37" s="24">
        <v>2</v>
      </c>
      <c r="J37" s="24">
        <v>2</v>
      </c>
      <c r="K37" s="24">
        <v>2</v>
      </c>
      <c r="L37" s="24">
        <v>2</v>
      </c>
      <c r="M37" s="24">
        <v>2</v>
      </c>
      <c r="N37" s="24">
        <v>2</v>
      </c>
      <c r="O37" s="24">
        <v>2</v>
      </c>
      <c r="P37" s="24">
        <v>2</v>
      </c>
      <c r="Q37" s="24">
        <v>2</v>
      </c>
      <c r="R37" s="24">
        <v>2</v>
      </c>
      <c r="S37" s="24">
        <v>2</v>
      </c>
      <c r="T37" s="24">
        <v>2</v>
      </c>
      <c r="U37" s="24">
        <v>2</v>
      </c>
      <c r="V37" s="10"/>
    </row>
    <row r="38" spans="1:22"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</row>
    <row r="39" spans="1:22"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</row>
    <row r="40" spans="1:22"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</row>
  </sheetData>
  <phoneticPr fontId="6" type="noConversion"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06E7E-221B-7A45-BF42-048F920DB96E}">
  <dimension ref="A1:U38"/>
  <sheetViews>
    <sheetView workbookViewId="0">
      <selection activeCell="D10" sqref="D10"/>
    </sheetView>
  </sheetViews>
  <sheetFormatPr baseColWidth="10" defaultRowHeight="16"/>
  <cols>
    <col min="1" max="1" width="19" customWidth="1"/>
  </cols>
  <sheetData>
    <row r="1" spans="1:21" ht="17">
      <c r="A1" s="23" t="s">
        <v>43</v>
      </c>
      <c r="B1" s="20">
        <v>1997</v>
      </c>
      <c r="C1" s="20">
        <v>1998</v>
      </c>
      <c r="D1" s="20">
        <v>1999</v>
      </c>
      <c r="E1" s="20">
        <v>2000</v>
      </c>
      <c r="F1" s="20">
        <v>2001</v>
      </c>
      <c r="G1" s="20">
        <v>2002</v>
      </c>
      <c r="H1" s="20">
        <v>2003</v>
      </c>
      <c r="I1" s="20">
        <v>2004</v>
      </c>
      <c r="J1" s="20">
        <v>2005</v>
      </c>
      <c r="K1" s="20">
        <v>2006</v>
      </c>
      <c r="L1" s="20">
        <v>2007</v>
      </c>
      <c r="M1" s="20">
        <v>2008</v>
      </c>
      <c r="N1" s="20">
        <v>2009</v>
      </c>
      <c r="O1" s="20">
        <v>2010</v>
      </c>
      <c r="P1" s="20">
        <v>2011</v>
      </c>
      <c r="Q1" s="20">
        <v>2012</v>
      </c>
      <c r="R1" s="20">
        <v>2013</v>
      </c>
      <c r="S1" s="20">
        <v>2014</v>
      </c>
      <c r="T1" s="20">
        <v>2015</v>
      </c>
      <c r="U1" s="20">
        <v>2016</v>
      </c>
    </row>
    <row r="2" spans="1:21">
      <c r="A2" s="16" t="s">
        <v>9</v>
      </c>
      <c r="B2" s="24">
        <v>1</v>
      </c>
      <c r="C2" s="24">
        <v>1</v>
      </c>
      <c r="D2" s="24">
        <v>1</v>
      </c>
      <c r="E2" s="24">
        <v>1</v>
      </c>
      <c r="F2" s="24">
        <v>1</v>
      </c>
      <c r="G2" s="24">
        <v>1</v>
      </c>
      <c r="H2" s="24">
        <v>1</v>
      </c>
      <c r="I2" s="24">
        <v>1</v>
      </c>
      <c r="J2" s="24">
        <v>1</v>
      </c>
      <c r="K2" s="24">
        <v>1</v>
      </c>
      <c r="L2" s="24">
        <v>1</v>
      </c>
      <c r="M2" s="24">
        <v>1</v>
      </c>
      <c r="N2" s="24">
        <v>1</v>
      </c>
      <c r="O2" s="24">
        <v>1</v>
      </c>
      <c r="P2" s="24">
        <v>1</v>
      </c>
      <c r="Q2" s="24">
        <v>1</v>
      </c>
      <c r="R2" s="24">
        <v>1</v>
      </c>
      <c r="S2" s="24">
        <v>1</v>
      </c>
      <c r="T2" s="24">
        <v>1</v>
      </c>
      <c r="U2" s="24">
        <v>1</v>
      </c>
    </row>
    <row r="3" spans="1:21">
      <c r="A3" s="11" t="s">
        <v>10</v>
      </c>
      <c r="B3" s="24">
        <v>1</v>
      </c>
      <c r="C3" s="24">
        <v>1</v>
      </c>
      <c r="D3" s="24">
        <v>1</v>
      </c>
      <c r="E3" s="24">
        <v>1</v>
      </c>
      <c r="F3" s="24">
        <v>1</v>
      </c>
      <c r="G3" s="24">
        <v>1</v>
      </c>
      <c r="H3" s="24">
        <v>1</v>
      </c>
      <c r="I3" s="24">
        <v>1</v>
      </c>
      <c r="J3" s="24">
        <v>1</v>
      </c>
      <c r="K3" s="24">
        <v>1</v>
      </c>
      <c r="L3" s="24">
        <v>1</v>
      </c>
      <c r="M3" s="24">
        <v>1</v>
      </c>
      <c r="N3" s="24">
        <v>1</v>
      </c>
      <c r="O3" s="24">
        <v>1</v>
      </c>
      <c r="P3" s="24">
        <v>1</v>
      </c>
      <c r="Q3" s="24">
        <v>1</v>
      </c>
      <c r="R3" s="24">
        <v>1</v>
      </c>
      <c r="S3" s="24">
        <v>1</v>
      </c>
      <c r="T3" s="24">
        <v>1</v>
      </c>
      <c r="U3" s="24">
        <v>1</v>
      </c>
    </row>
    <row r="4" spans="1:21">
      <c r="A4" s="11" t="s">
        <v>11</v>
      </c>
      <c r="B4" s="24">
        <v>1</v>
      </c>
      <c r="C4" s="24">
        <v>1</v>
      </c>
      <c r="D4" s="24">
        <v>1</v>
      </c>
      <c r="E4" s="24">
        <v>1</v>
      </c>
      <c r="F4" s="24">
        <v>1</v>
      </c>
      <c r="G4" s="24">
        <v>1</v>
      </c>
      <c r="H4" s="24">
        <v>1</v>
      </c>
      <c r="I4" s="24">
        <v>1</v>
      </c>
      <c r="J4" s="24">
        <v>1</v>
      </c>
      <c r="K4" s="24">
        <v>1</v>
      </c>
      <c r="L4" s="24">
        <v>1</v>
      </c>
      <c r="M4" s="24">
        <v>1</v>
      </c>
      <c r="N4" s="24">
        <v>1</v>
      </c>
      <c r="O4" s="24">
        <v>1</v>
      </c>
      <c r="P4" s="24">
        <v>1</v>
      </c>
      <c r="Q4" s="24">
        <v>1</v>
      </c>
      <c r="R4" s="24">
        <v>1</v>
      </c>
      <c r="S4" s="24">
        <v>1</v>
      </c>
      <c r="T4" s="24">
        <v>1</v>
      </c>
      <c r="U4" s="24">
        <v>1</v>
      </c>
    </row>
    <row r="5" spans="1:21">
      <c r="A5" s="11" t="s">
        <v>12</v>
      </c>
      <c r="B5" s="24">
        <v>1</v>
      </c>
      <c r="C5" s="24">
        <v>1</v>
      </c>
      <c r="D5" s="24">
        <v>1</v>
      </c>
      <c r="E5" s="24">
        <v>1</v>
      </c>
      <c r="F5" s="24">
        <v>1</v>
      </c>
      <c r="G5" s="24">
        <v>1</v>
      </c>
      <c r="H5" s="24">
        <v>1</v>
      </c>
      <c r="I5" s="24">
        <v>1</v>
      </c>
      <c r="J5" s="24">
        <v>1</v>
      </c>
      <c r="K5" s="24">
        <v>1</v>
      </c>
      <c r="L5" s="24">
        <v>1</v>
      </c>
      <c r="M5" s="24">
        <v>1</v>
      </c>
      <c r="N5" s="24">
        <v>1</v>
      </c>
      <c r="O5" s="24">
        <v>1</v>
      </c>
      <c r="P5" s="24">
        <v>1</v>
      </c>
      <c r="Q5" s="24">
        <v>1</v>
      </c>
      <c r="R5" s="24">
        <v>1</v>
      </c>
      <c r="S5" s="24">
        <v>1</v>
      </c>
      <c r="T5" s="24">
        <v>1</v>
      </c>
      <c r="U5" s="24">
        <v>1</v>
      </c>
    </row>
    <row r="6" spans="1:21">
      <c r="A6" s="11" t="s">
        <v>13</v>
      </c>
      <c r="B6" s="24">
        <v>1</v>
      </c>
      <c r="C6" s="24">
        <v>1</v>
      </c>
      <c r="D6" s="24">
        <v>1</v>
      </c>
      <c r="E6" s="24">
        <v>1</v>
      </c>
      <c r="F6" s="24">
        <v>1</v>
      </c>
      <c r="G6" s="24">
        <v>1</v>
      </c>
      <c r="H6" s="24">
        <v>1</v>
      </c>
      <c r="I6" s="24">
        <v>1</v>
      </c>
      <c r="J6" s="24">
        <v>1</v>
      </c>
      <c r="K6" s="24">
        <v>1</v>
      </c>
      <c r="L6" s="24">
        <v>1</v>
      </c>
      <c r="M6" s="24">
        <v>1</v>
      </c>
      <c r="N6" s="24">
        <v>1</v>
      </c>
      <c r="O6" s="24">
        <v>1</v>
      </c>
      <c r="P6" s="24">
        <v>1</v>
      </c>
      <c r="Q6" s="24">
        <v>1</v>
      </c>
      <c r="R6" s="24">
        <v>1</v>
      </c>
      <c r="S6" s="24">
        <v>1</v>
      </c>
      <c r="T6" s="24">
        <v>1</v>
      </c>
      <c r="U6" s="24">
        <v>1</v>
      </c>
    </row>
    <row r="7" spans="1:21">
      <c r="A7" s="11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</row>
    <row r="8" spans="1:21">
      <c r="A8" s="11" t="s">
        <v>14</v>
      </c>
      <c r="B8" s="24">
        <v>1</v>
      </c>
      <c r="C8" s="24">
        <v>1</v>
      </c>
      <c r="D8" s="24">
        <v>1</v>
      </c>
      <c r="E8" s="24">
        <v>1</v>
      </c>
      <c r="F8" s="24">
        <v>1</v>
      </c>
      <c r="G8" s="24">
        <v>1</v>
      </c>
      <c r="H8" s="24">
        <v>1</v>
      </c>
      <c r="I8" s="24">
        <v>1</v>
      </c>
      <c r="J8" s="24">
        <v>1</v>
      </c>
      <c r="K8" s="24">
        <v>1</v>
      </c>
      <c r="L8" s="24">
        <v>1</v>
      </c>
      <c r="M8" s="24">
        <v>1</v>
      </c>
      <c r="N8" s="24">
        <v>1</v>
      </c>
      <c r="O8" s="24">
        <v>1</v>
      </c>
      <c r="P8" s="24">
        <v>1</v>
      </c>
      <c r="Q8" s="24">
        <v>1</v>
      </c>
      <c r="R8" s="24">
        <v>1</v>
      </c>
      <c r="S8" s="24">
        <v>1</v>
      </c>
      <c r="T8" s="24">
        <v>1</v>
      </c>
      <c r="U8" s="24">
        <v>1</v>
      </c>
    </row>
    <row r="9" spans="1:21">
      <c r="A9" s="11" t="s">
        <v>15</v>
      </c>
      <c r="B9" s="24">
        <v>1</v>
      </c>
      <c r="C9" s="24">
        <v>1</v>
      </c>
      <c r="D9" s="24">
        <v>1</v>
      </c>
      <c r="E9" s="24">
        <v>1</v>
      </c>
      <c r="F9" s="24">
        <v>1</v>
      </c>
      <c r="G9" s="24">
        <v>1</v>
      </c>
      <c r="H9" s="24">
        <v>1</v>
      </c>
      <c r="I9" s="24">
        <v>1</v>
      </c>
      <c r="J9" s="24">
        <v>1</v>
      </c>
      <c r="K9" s="24">
        <v>1</v>
      </c>
      <c r="L9" s="24">
        <v>1</v>
      </c>
      <c r="M9" s="24">
        <v>1</v>
      </c>
      <c r="N9" s="24">
        <v>1</v>
      </c>
      <c r="O9" s="24">
        <v>1</v>
      </c>
      <c r="P9" s="24">
        <v>1</v>
      </c>
      <c r="Q9" s="24">
        <v>1</v>
      </c>
      <c r="R9" s="24">
        <v>1</v>
      </c>
      <c r="S9" s="24">
        <v>1</v>
      </c>
      <c r="T9" s="24">
        <v>1</v>
      </c>
      <c r="U9" s="24">
        <v>1</v>
      </c>
    </row>
    <row r="10" spans="1:21">
      <c r="A10" s="11" t="s">
        <v>16</v>
      </c>
      <c r="B10" s="24">
        <v>1</v>
      </c>
      <c r="C10" s="24">
        <v>1</v>
      </c>
      <c r="D10" s="24">
        <v>1</v>
      </c>
      <c r="E10" s="24">
        <v>1</v>
      </c>
      <c r="F10" s="24">
        <v>1</v>
      </c>
      <c r="G10" s="24">
        <v>1</v>
      </c>
      <c r="H10" s="24">
        <v>1</v>
      </c>
      <c r="I10" s="24">
        <v>1</v>
      </c>
      <c r="J10" s="24">
        <v>1</v>
      </c>
      <c r="K10" s="24">
        <v>1</v>
      </c>
      <c r="L10" s="24">
        <v>1</v>
      </c>
      <c r="M10" s="24">
        <v>1</v>
      </c>
      <c r="N10" s="24">
        <v>1</v>
      </c>
      <c r="O10" s="24">
        <v>1</v>
      </c>
      <c r="P10" s="24">
        <v>1</v>
      </c>
      <c r="Q10" s="24">
        <v>1</v>
      </c>
      <c r="R10" s="24">
        <v>1</v>
      </c>
      <c r="S10" s="24">
        <v>1</v>
      </c>
      <c r="T10" s="24">
        <v>1</v>
      </c>
      <c r="U10" s="24">
        <v>1</v>
      </c>
    </row>
    <row r="11" spans="1:21">
      <c r="A11" s="11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</row>
    <row r="12" spans="1:21">
      <c r="A12" s="11" t="s">
        <v>17</v>
      </c>
      <c r="B12" s="24">
        <v>1</v>
      </c>
      <c r="C12" s="24">
        <v>1</v>
      </c>
      <c r="D12" s="24">
        <v>1</v>
      </c>
      <c r="E12" s="24">
        <v>1</v>
      </c>
      <c r="F12" s="24">
        <v>1</v>
      </c>
      <c r="G12" s="24">
        <v>1</v>
      </c>
      <c r="H12" s="24">
        <v>1</v>
      </c>
      <c r="I12" s="24">
        <v>1</v>
      </c>
      <c r="J12" s="24">
        <v>1</v>
      </c>
      <c r="K12" s="24">
        <v>1</v>
      </c>
      <c r="L12" s="24">
        <v>1</v>
      </c>
      <c r="M12" s="24">
        <v>1</v>
      </c>
      <c r="N12" s="24">
        <v>1</v>
      </c>
      <c r="O12" s="24">
        <v>1</v>
      </c>
      <c r="P12" s="24">
        <v>1</v>
      </c>
      <c r="Q12" s="24">
        <v>1</v>
      </c>
      <c r="R12" s="24">
        <v>1</v>
      </c>
      <c r="S12" s="24">
        <v>1</v>
      </c>
      <c r="T12" s="24">
        <v>1</v>
      </c>
      <c r="U12" s="24">
        <v>1</v>
      </c>
    </row>
    <row r="13" spans="1:21">
      <c r="A13" s="11" t="s">
        <v>18</v>
      </c>
      <c r="B13" s="24">
        <v>1</v>
      </c>
      <c r="C13" s="24">
        <v>1</v>
      </c>
      <c r="D13" s="24">
        <v>1</v>
      </c>
      <c r="E13" s="24">
        <v>1</v>
      </c>
      <c r="F13" s="24">
        <v>1</v>
      </c>
      <c r="G13" s="24">
        <v>1</v>
      </c>
      <c r="H13" s="24">
        <v>1</v>
      </c>
      <c r="I13" s="24">
        <v>1</v>
      </c>
      <c r="J13" s="24">
        <v>1</v>
      </c>
      <c r="K13" s="24">
        <v>1</v>
      </c>
      <c r="L13" s="24">
        <v>1</v>
      </c>
      <c r="M13" s="24">
        <v>1</v>
      </c>
      <c r="N13" s="24">
        <v>1</v>
      </c>
      <c r="O13" s="24">
        <v>1</v>
      </c>
      <c r="P13" s="24">
        <v>1</v>
      </c>
      <c r="Q13" s="24">
        <v>1</v>
      </c>
      <c r="R13" s="24">
        <v>1</v>
      </c>
      <c r="S13" s="24">
        <v>1</v>
      </c>
      <c r="T13" s="24">
        <v>1</v>
      </c>
      <c r="U13" s="24">
        <v>1</v>
      </c>
    </row>
    <row r="14" spans="1:21">
      <c r="A14" s="11" t="s">
        <v>19</v>
      </c>
      <c r="B14" s="24">
        <v>1</v>
      </c>
      <c r="C14" s="24">
        <v>1</v>
      </c>
      <c r="D14" s="24">
        <v>1</v>
      </c>
      <c r="E14" s="24">
        <v>1</v>
      </c>
      <c r="F14" s="24">
        <v>1</v>
      </c>
      <c r="G14" s="24">
        <v>1</v>
      </c>
      <c r="H14" s="24">
        <v>1</v>
      </c>
      <c r="I14" s="24">
        <v>1</v>
      </c>
      <c r="J14" s="24">
        <v>1</v>
      </c>
      <c r="K14" s="24">
        <v>1</v>
      </c>
      <c r="L14" s="24">
        <v>1</v>
      </c>
      <c r="M14" s="24">
        <v>1</v>
      </c>
      <c r="N14" s="24">
        <v>1</v>
      </c>
      <c r="O14" s="24">
        <v>1</v>
      </c>
      <c r="P14" s="24">
        <v>1</v>
      </c>
      <c r="Q14" s="24">
        <v>1</v>
      </c>
      <c r="R14" s="24">
        <v>1</v>
      </c>
      <c r="S14" s="24">
        <v>1</v>
      </c>
      <c r="T14" s="24">
        <v>1</v>
      </c>
      <c r="U14" s="24">
        <v>1</v>
      </c>
    </row>
    <row r="15" spans="1:21">
      <c r="A15" s="11" t="s">
        <v>20</v>
      </c>
      <c r="B15" s="24">
        <v>1</v>
      </c>
      <c r="C15" s="24">
        <v>1</v>
      </c>
      <c r="D15" s="24">
        <v>1</v>
      </c>
      <c r="E15" s="24">
        <v>1</v>
      </c>
      <c r="F15" s="24">
        <v>1</v>
      </c>
      <c r="G15" s="24">
        <v>1</v>
      </c>
      <c r="H15" s="24">
        <v>1</v>
      </c>
      <c r="I15" s="24">
        <v>1</v>
      </c>
      <c r="J15" s="24">
        <v>1</v>
      </c>
      <c r="K15" s="24">
        <v>1</v>
      </c>
      <c r="L15" s="24">
        <v>1</v>
      </c>
      <c r="M15" s="24">
        <v>1</v>
      </c>
      <c r="N15" s="24">
        <v>1</v>
      </c>
      <c r="O15" s="24">
        <v>1</v>
      </c>
      <c r="P15" s="24">
        <v>1</v>
      </c>
      <c r="Q15" s="24">
        <v>1</v>
      </c>
      <c r="R15" s="24">
        <v>1</v>
      </c>
      <c r="S15" s="24">
        <v>1</v>
      </c>
      <c r="T15" s="24">
        <v>1</v>
      </c>
      <c r="U15" s="24">
        <v>1</v>
      </c>
    </row>
    <row r="16" spans="1:21">
      <c r="A16" s="11" t="s">
        <v>21</v>
      </c>
      <c r="B16" s="24">
        <v>1</v>
      </c>
      <c r="C16" s="24">
        <v>1</v>
      </c>
      <c r="D16" s="24">
        <v>1</v>
      </c>
      <c r="E16" s="24">
        <v>1</v>
      </c>
      <c r="F16" s="24">
        <v>1</v>
      </c>
      <c r="G16" s="24">
        <v>1</v>
      </c>
      <c r="H16" s="24">
        <v>1</v>
      </c>
      <c r="I16" s="24">
        <v>1</v>
      </c>
      <c r="J16" s="24">
        <v>1</v>
      </c>
      <c r="K16" s="24">
        <v>1</v>
      </c>
      <c r="L16" s="24">
        <v>1</v>
      </c>
      <c r="M16" s="24">
        <v>1</v>
      </c>
      <c r="N16" s="24">
        <v>1</v>
      </c>
      <c r="O16" s="24">
        <v>1</v>
      </c>
      <c r="P16" s="24">
        <v>1</v>
      </c>
      <c r="Q16" s="24">
        <v>1</v>
      </c>
      <c r="R16" s="24">
        <v>1</v>
      </c>
      <c r="S16" s="24">
        <v>1</v>
      </c>
      <c r="T16" s="24">
        <v>1</v>
      </c>
      <c r="U16" s="24">
        <v>1</v>
      </c>
    </row>
    <row r="17" spans="1:21">
      <c r="A17" s="11" t="s">
        <v>22</v>
      </c>
      <c r="B17" s="24">
        <v>1</v>
      </c>
      <c r="C17" s="24">
        <v>1</v>
      </c>
      <c r="D17" s="24">
        <v>1</v>
      </c>
      <c r="E17" s="24">
        <v>1</v>
      </c>
      <c r="F17" s="24">
        <v>1</v>
      </c>
      <c r="G17" s="24">
        <v>1</v>
      </c>
      <c r="H17" s="24">
        <v>1</v>
      </c>
      <c r="I17" s="24">
        <v>1</v>
      </c>
      <c r="J17" s="24">
        <v>1</v>
      </c>
      <c r="K17" s="24">
        <v>1</v>
      </c>
      <c r="L17" s="24">
        <v>1</v>
      </c>
      <c r="M17" s="24">
        <v>1</v>
      </c>
      <c r="N17" s="24">
        <v>1</v>
      </c>
      <c r="O17" s="24">
        <v>1</v>
      </c>
      <c r="P17" s="24">
        <v>1</v>
      </c>
      <c r="Q17" s="24">
        <v>1</v>
      </c>
      <c r="R17" s="24">
        <v>1</v>
      </c>
      <c r="S17" s="24">
        <v>1</v>
      </c>
      <c r="T17" s="24">
        <v>1</v>
      </c>
      <c r="U17" s="24">
        <v>1</v>
      </c>
    </row>
    <row r="18" spans="1:21">
      <c r="A18" s="11" t="s">
        <v>23</v>
      </c>
      <c r="B18" s="24">
        <v>1</v>
      </c>
      <c r="C18" s="24">
        <v>1</v>
      </c>
      <c r="D18" s="24">
        <v>1</v>
      </c>
      <c r="E18" s="24">
        <v>1</v>
      </c>
      <c r="F18" s="24">
        <v>1</v>
      </c>
      <c r="G18" s="24">
        <v>1</v>
      </c>
      <c r="H18" s="24">
        <v>1</v>
      </c>
      <c r="I18" s="24">
        <v>1</v>
      </c>
      <c r="J18" s="24">
        <v>1</v>
      </c>
      <c r="K18" s="24">
        <v>1</v>
      </c>
      <c r="L18" s="24">
        <v>1</v>
      </c>
      <c r="M18" s="24">
        <v>1</v>
      </c>
      <c r="N18" s="24">
        <v>1</v>
      </c>
      <c r="O18" s="24">
        <v>1</v>
      </c>
      <c r="P18" s="24">
        <v>1</v>
      </c>
      <c r="Q18" s="24">
        <v>1</v>
      </c>
      <c r="R18" s="24">
        <v>1</v>
      </c>
      <c r="S18" s="24">
        <v>1</v>
      </c>
      <c r="T18" s="24">
        <v>1</v>
      </c>
      <c r="U18" s="24">
        <v>1</v>
      </c>
    </row>
    <row r="19" spans="1:21">
      <c r="A19" s="11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</row>
    <row r="20" spans="1:21">
      <c r="A20" s="11" t="s">
        <v>24</v>
      </c>
      <c r="B20" s="24">
        <v>3</v>
      </c>
      <c r="C20" s="24">
        <v>3</v>
      </c>
      <c r="D20" s="24">
        <v>3</v>
      </c>
      <c r="E20" s="24">
        <v>3</v>
      </c>
      <c r="F20" s="24">
        <v>3</v>
      </c>
      <c r="G20" s="24">
        <v>3</v>
      </c>
      <c r="H20" s="24">
        <v>3</v>
      </c>
      <c r="I20" s="24">
        <v>3</v>
      </c>
      <c r="J20" s="24">
        <v>3</v>
      </c>
      <c r="K20" s="24">
        <v>3</v>
      </c>
      <c r="L20" s="24">
        <v>3</v>
      </c>
      <c r="M20" s="24">
        <v>3</v>
      </c>
      <c r="N20" s="24">
        <v>3</v>
      </c>
      <c r="O20" s="24">
        <v>3</v>
      </c>
      <c r="P20" s="24">
        <v>3</v>
      </c>
      <c r="Q20" s="24">
        <v>3</v>
      </c>
      <c r="R20" s="24">
        <v>3</v>
      </c>
      <c r="S20" s="24">
        <v>3</v>
      </c>
      <c r="T20" s="24">
        <v>3</v>
      </c>
      <c r="U20" s="24">
        <v>3</v>
      </c>
    </row>
    <row r="21" spans="1:21">
      <c r="A21" s="11" t="s">
        <v>25</v>
      </c>
      <c r="B21" s="24">
        <v>1</v>
      </c>
      <c r="C21" s="24">
        <v>1</v>
      </c>
      <c r="D21" s="24">
        <v>1</v>
      </c>
      <c r="E21" s="24">
        <v>1</v>
      </c>
      <c r="F21" s="24">
        <v>1</v>
      </c>
      <c r="G21" s="24">
        <v>1</v>
      </c>
      <c r="H21" s="24">
        <v>1</v>
      </c>
      <c r="I21" s="24">
        <v>1</v>
      </c>
      <c r="J21" s="24">
        <v>1</v>
      </c>
      <c r="K21" s="24">
        <v>1</v>
      </c>
      <c r="L21" s="24">
        <v>1</v>
      </c>
      <c r="M21" s="24">
        <v>1</v>
      </c>
      <c r="N21" s="24">
        <v>1</v>
      </c>
      <c r="O21" s="24">
        <v>1</v>
      </c>
      <c r="P21" s="24">
        <v>1</v>
      </c>
      <c r="Q21" s="24">
        <v>1</v>
      </c>
      <c r="R21" s="24">
        <v>1</v>
      </c>
      <c r="S21" s="24">
        <v>1</v>
      </c>
      <c r="T21" s="24">
        <v>1</v>
      </c>
      <c r="U21" s="24">
        <v>1</v>
      </c>
    </row>
    <row r="22" spans="1:21">
      <c r="A22" s="11" t="s">
        <v>26</v>
      </c>
      <c r="B22" s="24">
        <v>1</v>
      </c>
      <c r="C22" s="24">
        <v>1</v>
      </c>
      <c r="D22" s="24">
        <v>1</v>
      </c>
      <c r="E22" s="24">
        <v>1</v>
      </c>
      <c r="F22" s="24">
        <v>1</v>
      </c>
      <c r="G22" s="24">
        <v>1</v>
      </c>
      <c r="H22" s="24">
        <v>1</v>
      </c>
      <c r="I22" s="24">
        <v>1</v>
      </c>
      <c r="J22" s="24">
        <v>1</v>
      </c>
      <c r="K22" s="24">
        <v>1</v>
      </c>
      <c r="L22" s="24">
        <v>1</v>
      </c>
      <c r="M22" s="24">
        <v>1</v>
      </c>
      <c r="N22" s="24">
        <v>1</v>
      </c>
      <c r="O22" s="24">
        <v>1</v>
      </c>
      <c r="P22" s="24">
        <v>1</v>
      </c>
      <c r="Q22" s="24">
        <v>1</v>
      </c>
      <c r="R22" s="24">
        <v>1</v>
      </c>
      <c r="S22" s="24">
        <v>1</v>
      </c>
      <c r="T22" s="24">
        <v>1</v>
      </c>
      <c r="U22" s="24">
        <v>1</v>
      </c>
    </row>
    <row r="23" spans="1:21">
      <c r="A23" s="11" t="s">
        <v>27</v>
      </c>
      <c r="B23" s="24">
        <v>1</v>
      </c>
      <c r="C23" s="24">
        <v>1</v>
      </c>
      <c r="D23" s="24">
        <v>1</v>
      </c>
      <c r="E23" s="24">
        <v>1</v>
      </c>
      <c r="F23" s="24">
        <v>1</v>
      </c>
      <c r="G23" s="24">
        <v>1</v>
      </c>
      <c r="H23" s="24">
        <v>1</v>
      </c>
      <c r="I23" s="24">
        <v>1</v>
      </c>
      <c r="J23" s="24">
        <v>1</v>
      </c>
      <c r="K23" s="24">
        <v>1</v>
      </c>
      <c r="L23" s="24">
        <v>1</v>
      </c>
      <c r="M23" s="24">
        <v>1</v>
      </c>
      <c r="N23" s="24">
        <v>1</v>
      </c>
      <c r="O23" s="24">
        <v>1</v>
      </c>
      <c r="P23" s="24">
        <v>1</v>
      </c>
      <c r="Q23" s="24">
        <v>1</v>
      </c>
      <c r="R23" s="24">
        <v>1</v>
      </c>
      <c r="S23" s="24">
        <v>1</v>
      </c>
      <c r="T23" s="24">
        <v>1</v>
      </c>
      <c r="U23" s="24">
        <v>1</v>
      </c>
    </row>
    <row r="24" spans="1:21">
      <c r="A24" s="11" t="s">
        <v>28</v>
      </c>
      <c r="B24" s="24">
        <v>1</v>
      </c>
      <c r="C24" s="24">
        <v>1</v>
      </c>
      <c r="D24" s="24">
        <v>1</v>
      </c>
      <c r="E24" s="24">
        <v>1</v>
      </c>
      <c r="F24" s="24">
        <v>1</v>
      </c>
      <c r="G24" s="24">
        <v>1</v>
      </c>
      <c r="H24" s="24">
        <v>1</v>
      </c>
      <c r="I24" s="24">
        <v>1</v>
      </c>
      <c r="J24" s="24">
        <v>1</v>
      </c>
      <c r="K24" s="24">
        <v>1</v>
      </c>
      <c r="L24" s="24">
        <v>1</v>
      </c>
      <c r="M24" s="24">
        <v>1</v>
      </c>
      <c r="N24" s="24">
        <v>1</v>
      </c>
      <c r="O24" s="24">
        <v>1</v>
      </c>
      <c r="P24" s="24">
        <v>1</v>
      </c>
      <c r="Q24" s="24">
        <v>1</v>
      </c>
      <c r="R24" s="24">
        <v>1</v>
      </c>
      <c r="S24" s="24">
        <v>1</v>
      </c>
      <c r="T24" s="24">
        <v>1</v>
      </c>
      <c r="U24" s="24">
        <v>1</v>
      </c>
    </row>
    <row r="25" spans="1:21">
      <c r="A25" s="11" t="s">
        <v>29</v>
      </c>
      <c r="B25" s="24">
        <v>1</v>
      </c>
      <c r="C25" s="24">
        <v>1</v>
      </c>
      <c r="D25" s="24">
        <v>1</v>
      </c>
      <c r="E25" s="24">
        <v>1</v>
      </c>
      <c r="F25" s="24">
        <v>1</v>
      </c>
      <c r="G25" s="24">
        <v>1</v>
      </c>
      <c r="H25" s="24">
        <v>1</v>
      </c>
      <c r="I25" s="24">
        <v>1</v>
      </c>
      <c r="J25" s="24">
        <v>1</v>
      </c>
      <c r="K25" s="24">
        <v>1</v>
      </c>
      <c r="L25" s="24">
        <v>1</v>
      </c>
      <c r="M25" s="24">
        <v>1</v>
      </c>
      <c r="N25" s="24">
        <v>1</v>
      </c>
      <c r="O25" s="24">
        <v>1</v>
      </c>
      <c r="P25" s="24">
        <v>1</v>
      </c>
      <c r="Q25" s="24">
        <v>1</v>
      </c>
      <c r="R25" s="24">
        <v>1</v>
      </c>
      <c r="S25" s="24">
        <v>1</v>
      </c>
      <c r="T25" s="24">
        <v>1</v>
      </c>
      <c r="U25" s="24">
        <v>1</v>
      </c>
    </row>
    <row r="26" spans="1:21">
      <c r="A26" s="11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</row>
    <row r="27" spans="1:21">
      <c r="A27" s="11" t="s">
        <v>30</v>
      </c>
      <c r="B27" s="24">
        <v>1</v>
      </c>
      <c r="C27" s="24">
        <v>1</v>
      </c>
      <c r="D27" s="24">
        <v>1</v>
      </c>
      <c r="E27" s="24">
        <v>1</v>
      </c>
      <c r="F27" s="24">
        <v>1</v>
      </c>
      <c r="G27" s="24">
        <v>1</v>
      </c>
      <c r="H27" s="24">
        <v>1</v>
      </c>
      <c r="I27" s="24">
        <v>1</v>
      </c>
      <c r="J27" s="24">
        <v>1</v>
      </c>
      <c r="K27" s="24">
        <v>1</v>
      </c>
      <c r="L27" s="24">
        <v>1</v>
      </c>
      <c r="M27" s="24">
        <v>1</v>
      </c>
      <c r="N27" s="24">
        <v>1</v>
      </c>
      <c r="O27" s="24">
        <v>1</v>
      </c>
      <c r="P27" s="24">
        <v>1</v>
      </c>
      <c r="Q27" s="24">
        <v>1</v>
      </c>
      <c r="R27" s="24">
        <v>1</v>
      </c>
      <c r="S27" s="24">
        <v>1</v>
      </c>
      <c r="T27" s="24">
        <v>1</v>
      </c>
      <c r="U27" s="24">
        <v>1</v>
      </c>
    </row>
    <row r="28" spans="1:21">
      <c r="A28" s="11" t="s">
        <v>31</v>
      </c>
      <c r="B28" s="24">
        <v>2</v>
      </c>
      <c r="C28" s="24">
        <v>2</v>
      </c>
      <c r="D28" s="24">
        <v>2</v>
      </c>
      <c r="E28" s="24">
        <v>2</v>
      </c>
      <c r="F28" s="24">
        <v>2</v>
      </c>
      <c r="G28" s="24">
        <v>2</v>
      </c>
      <c r="H28" s="24">
        <v>2</v>
      </c>
      <c r="I28" s="24">
        <v>2</v>
      </c>
      <c r="J28" s="24">
        <v>2</v>
      </c>
      <c r="K28" s="24">
        <v>2</v>
      </c>
      <c r="L28" s="24">
        <v>2</v>
      </c>
      <c r="M28" s="24">
        <v>2</v>
      </c>
      <c r="N28" s="24">
        <v>2</v>
      </c>
      <c r="O28" s="24">
        <v>2</v>
      </c>
      <c r="P28" s="24">
        <v>2</v>
      </c>
      <c r="Q28" s="24">
        <v>2</v>
      </c>
      <c r="R28" s="24">
        <v>2</v>
      </c>
      <c r="S28" s="24">
        <v>2</v>
      </c>
      <c r="T28" s="24">
        <v>2</v>
      </c>
      <c r="U28" s="24">
        <v>2</v>
      </c>
    </row>
    <row r="29" spans="1:21">
      <c r="A29" s="11" t="s">
        <v>32</v>
      </c>
      <c r="B29" s="24">
        <v>1</v>
      </c>
      <c r="C29" s="24">
        <v>1</v>
      </c>
      <c r="D29" s="24">
        <v>1</v>
      </c>
      <c r="E29" s="24">
        <v>1</v>
      </c>
      <c r="F29" s="24">
        <v>1</v>
      </c>
      <c r="G29" s="24">
        <v>1</v>
      </c>
      <c r="H29" s="24">
        <v>1</v>
      </c>
      <c r="I29" s="24">
        <v>1</v>
      </c>
      <c r="J29" s="24">
        <v>1</v>
      </c>
      <c r="K29" s="24">
        <v>1</v>
      </c>
      <c r="L29" s="24">
        <v>1</v>
      </c>
      <c r="M29" s="24">
        <v>1</v>
      </c>
      <c r="N29" s="24">
        <v>1</v>
      </c>
      <c r="O29" s="24">
        <v>1</v>
      </c>
      <c r="P29" s="24">
        <v>1</v>
      </c>
      <c r="Q29" s="24">
        <v>1</v>
      </c>
      <c r="R29" s="24">
        <v>1</v>
      </c>
      <c r="S29" s="24">
        <v>1</v>
      </c>
      <c r="T29" s="24">
        <v>1</v>
      </c>
      <c r="U29" s="24">
        <v>1</v>
      </c>
    </row>
    <row r="30" spans="1:21">
      <c r="A30" s="11" t="s">
        <v>33</v>
      </c>
      <c r="B30" s="24">
        <v>2</v>
      </c>
      <c r="C30" s="24">
        <v>2</v>
      </c>
      <c r="D30" s="24">
        <v>2</v>
      </c>
      <c r="E30" s="24">
        <v>2</v>
      </c>
      <c r="F30" s="24">
        <v>2</v>
      </c>
      <c r="G30" s="24">
        <v>2</v>
      </c>
      <c r="H30" s="24">
        <v>2</v>
      </c>
      <c r="I30" s="24">
        <v>2</v>
      </c>
      <c r="J30" s="24">
        <v>2</v>
      </c>
      <c r="K30" s="24">
        <v>2</v>
      </c>
      <c r="L30" s="24">
        <v>2</v>
      </c>
      <c r="M30" s="24">
        <v>2</v>
      </c>
      <c r="N30" s="24">
        <v>2</v>
      </c>
      <c r="O30" s="24">
        <v>2</v>
      </c>
      <c r="P30" s="24">
        <v>2</v>
      </c>
      <c r="Q30" s="24">
        <v>2</v>
      </c>
      <c r="R30" s="24">
        <v>2</v>
      </c>
      <c r="S30" s="24">
        <v>2</v>
      </c>
      <c r="T30" s="24">
        <v>2</v>
      </c>
      <c r="U30" s="24">
        <v>2</v>
      </c>
    </row>
    <row r="31" spans="1:21">
      <c r="A31" s="11" t="s">
        <v>34</v>
      </c>
      <c r="B31" s="24">
        <v>1</v>
      </c>
      <c r="C31" s="24">
        <v>1</v>
      </c>
      <c r="D31" s="24">
        <v>1</v>
      </c>
      <c r="E31" s="24">
        <v>1</v>
      </c>
      <c r="F31" s="24">
        <v>1</v>
      </c>
      <c r="G31" s="24">
        <v>1</v>
      </c>
      <c r="H31" s="24">
        <v>1</v>
      </c>
      <c r="I31" s="24">
        <v>1</v>
      </c>
      <c r="J31" s="24">
        <v>1</v>
      </c>
      <c r="K31" s="24">
        <v>1</v>
      </c>
      <c r="L31" s="24">
        <v>1</v>
      </c>
      <c r="M31" s="24">
        <v>1</v>
      </c>
      <c r="N31" s="24">
        <v>1</v>
      </c>
      <c r="O31" s="24">
        <v>1</v>
      </c>
      <c r="P31" s="24">
        <v>1</v>
      </c>
      <c r="Q31" s="24">
        <v>1</v>
      </c>
      <c r="R31" s="24">
        <v>1</v>
      </c>
      <c r="S31" s="24">
        <v>1</v>
      </c>
      <c r="T31" s="24">
        <v>1</v>
      </c>
      <c r="U31" s="24">
        <v>1</v>
      </c>
    </row>
    <row r="32" spans="1:21">
      <c r="A32" s="11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</row>
    <row r="33" spans="1:21">
      <c r="A33" s="11" t="s">
        <v>35</v>
      </c>
      <c r="B33" s="24">
        <v>1</v>
      </c>
      <c r="C33" s="24">
        <v>1</v>
      </c>
      <c r="D33" s="24">
        <v>1</v>
      </c>
      <c r="E33" s="24">
        <v>1</v>
      </c>
      <c r="F33" s="24">
        <v>1</v>
      </c>
      <c r="G33" s="24">
        <v>1</v>
      </c>
      <c r="H33" s="24">
        <v>1</v>
      </c>
      <c r="I33" s="24">
        <v>1</v>
      </c>
      <c r="J33" s="24">
        <v>1</v>
      </c>
      <c r="K33" s="24">
        <v>1</v>
      </c>
      <c r="L33" s="24">
        <v>1</v>
      </c>
      <c r="M33" s="24">
        <v>1</v>
      </c>
      <c r="N33" s="24">
        <v>1</v>
      </c>
      <c r="O33" s="24">
        <v>1</v>
      </c>
      <c r="P33" s="24">
        <v>1</v>
      </c>
      <c r="Q33" s="24">
        <v>1</v>
      </c>
      <c r="R33" s="24">
        <v>1</v>
      </c>
      <c r="S33" s="24">
        <v>1</v>
      </c>
      <c r="T33" s="24">
        <v>1</v>
      </c>
      <c r="U33" s="24">
        <v>1</v>
      </c>
    </row>
    <row r="34" spans="1:21">
      <c r="A34" s="11" t="s">
        <v>36</v>
      </c>
      <c r="B34" s="24">
        <v>0</v>
      </c>
      <c r="C34" s="24">
        <v>0</v>
      </c>
      <c r="D34" s="24">
        <v>0</v>
      </c>
      <c r="E34" s="24">
        <v>0</v>
      </c>
      <c r="F34" s="24">
        <v>0</v>
      </c>
      <c r="G34" s="24">
        <v>0</v>
      </c>
      <c r="H34" s="24">
        <v>0</v>
      </c>
      <c r="I34" s="24">
        <v>0</v>
      </c>
      <c r="J34" s="24">
        <v>0</v>
      </c>
      <c r="K34" s="24">
        <v>0</v>
      </c>
      <c r="L34" s="24">
        <v>0</v>
      </c>
      <c r="M34" s="24">
        <v>0</v>
      </c>
      <c r="N34" s="24">
        <v>0</v>
      </c>
      <c r="O34" s="24">
        <v>0</v>
      </c>
      <c r="P34" s="24">
        <v>0</v>
      </c>
      <c r="Q34" s="24">
        <v>0</v>
      </c>
      <c r="R34" s="24">
        <v>0</v>
      </c>
      <c r="S34" s="24">
        <v>0</v>
      </c>
      <c r="T34" s="24">
        <v>0</v>
      </c>
      <c r="U34" s="24">
        <v>0</v>
      </c>
    </row>
    <row r="35" spans="1:21">
      <c r="A35" s="11" t="s">
        <v>37</v>
      </c>
      <c r="B35" s="24">
        <v>1</v>
      </c>
      <c r="C35" s="24">
        <v>1</v>
      </c>
      <c r="D35" s="24">
        <v>1</v>
      </c>
      <c r="E35" s="24">
        <v>1</v>
      </c>
      <c r="F35" s="24">
        <v>1</v>
      </c>
      <c r="G35" s="24">
        <v>1</v>
      </c>
      <c r="H35" s="24">
        <v>1</v>
      </c>
      <c r="I35" s="24">
        <v>1</v>
      </c>
      <c r="J35" s="24">
        <v>1</v>
      </c>
      <c r="K35" s="24">
        <v>1</v>
      </c>
      <c r="L35" s="24">
        <v>1</v>
      </c>
      <c r="M35" s="24">
        <v>1</v>
      </c>
      <c r="N35" s="24">
        <v>1</v>
      </c>
      <c r="O35" s="24">
        <v>1</v>
      </c>
      <c r="P35" s="24">
        <v>1</v>
      </c>
      <c r="Q35" s="24">
        <v>1</v>
      </c>
      <c r="R35" s="24">
        <v>1</v>
      </c>
      <c r="S35" s="24">
        <v>1</v>
      </c>
      <c r="T35" s="24">
        <v>1</v>
      </c>
      <c r="U35" s="24">
        <v>1</v>
      </c>
    </row>
    <row r="36" spans="1:21">
      <c r="A36" s="11" t="s">
        <v>38</v>
      </c>
      <c r="B36" s="24">
        <v>1</v>
      </c>
      <c r="C36" s="24">
        <v>1</v>
      </c>
      <c r="D36" s="24">
        <v>1</v>
      </c>
      <c r="E36" s="24">
        <v>1</v>
      </c>
      <c r="F36" s="24">
        <v>1</v>
      </c>
      <c r="G36" s="24">
        <v>1</v>
      </c>
      <c r="H36" s="24">
        <v>1</v>
      </c>
      <c r="I36" s="24">
        <v>1</v>
      </c>
      <c r="J36" s="24">
        <v>1</v>
      </c>
      <c r="K36" s="24">
        <v>1</v>
      </c>
      <c r="L36" s="24">
        <v>1</v>
      </c>
      <c r="M36" s="24">
        <v>1</v>
      </c>
      <c r="N36" s="24">
        <v>1</v>
      </c>
      <c r="O36" s="24">
        <v>1</v>
      </c>
      <c r="P36" s="24">
        <v>1</v>
      </c>
      <c r="Q36" s="24">
        <v>1</v>
      </c>
      <c r="R36" s="24">
        <v>1</v>
      </c>
      <c r="S36" s="24">
        <v>1</v>
      </c>
      <c r="T36" s="24">
        <v>1</v>
      </c>
      <c r="U36" s="24">
        <v>1</v>
      </c>
    </row>
    <row r="37" spans="1:21">
      <c r="A37" s="11" t="s">
        <v>39</v>
      </c>
      <c r="B37" s="24">
        <v>1</v>
      </c>
      <c r="C37" s="24">
        <v>1</v>
      </c>
      <c r="D37" s="24">
        <v>1</v>
      </c>
      <c r="E37" s="24">
        <v>1</v>
      </c>
      <c r="F37" s="24">
        <v>1</v>
      </c>
      <c r="G37" s="24">
        <v>1</v>
      </c>
      <c r="H37" s="24">
        <v>1</v>
      </c>
      <c r="I37" s="24">
        <v>1</v>
      </c>
      <c r="J37" s="24">
        <v>1</v>
      </c>
      <c r="K37" s="24">
        <v>1</v>
      </c>
      <c r="L37" s="24">
        <v>1</v>
      </c>
      <c r="M37" s="24">
        <v>1</v>
      </c>
      <c r="N37" s="24">
        <v>1</v>
      </c>
      <c r="O37" s="24">
        <v>1</v>
      </c>
      <c r="P37" s="24">
        <v>1</v>
      </c>
      <c r="Q37" s="24">
        <v>1</v>
      </c>
      <c r="R37" s="24">
        <v>1</v>
      </c>
      <c r="S37" s="24">
        <v>1</v>
      </c>
      <c r="T37" s="24">
        <v>1</v>
      </c>
      <c r="U37" s="24">
        <v>1</v>
      </c>
    </row>
    <row r="38" spans="1:21"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</row>
  </sheetData>
  <phoneticPr fontId="6" type="noConversion"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EFD53-26A1-224B-8B8A-E3A44FB982C9}">
  <dimension ref="A1:V40"/>
  <sheetViews>
    <sheetView workbookViewId="0">
      <selection activeCell="F21" sqref="F21"/>
    </sheetView>
  </sheetViews>
  <sheetFormatPr baseColWidth="10" defaultRowHeight="16"/>
  <cols>
    <col min="1" max="1" width="19" customWidth="1"/>
  </cols>
  <sheetData>
    <row r="1" spans="1:22" ht="17">
      <c r="A1" s="23" t="s">
        <v>43</v>
      </c>
      <c r="B1" s="23">
        <v>1997</v>
      </c>
      <c r="C1" s="23">
        <v>1998</v>
      </c>
      <c r="D1" s="23">
        <v>1999</v>
      </c>
      <c r="E1" s="23">
        <v>2000</v>
      </c>
      <c r="F1" s="23">
        <v>2001</v>
      </c>
      <c r="G1" s="23">
        <v>2002</v>
      </c>
      <c r="H1" s="23">
        <v>2003</v>
      </c>
      <c r="I1" s="23">
        <v>2004</v>
      </c>
      <c r="J1" s="23">
        <v>2005</v>
      </c>
      <c r="K1" s="23">
        <v>2006</v>
      </c>
      <c r="L1" s="23">
        <v>2007</v>
      </c>
      <c r="M1" s="23">
        <v>2008</v>
      </c>
      <c r="N1" s="23">
        <v>2009</v>
      </c>
      <c r="O1" s="23">
        <v>2010</v>
      </c>
      <c r="P1" s="23">
        <v>2011</v>
      </c>
      <c r="Q1" s="23">
        <v>2012</v>
      </c>
      <c r="R1" s="23">
        <v>2013</v>
      </c>
      <c r="S1" s="23">
        <v>2014</v>
      </c>
      <c r="T1" s="23">
        <v>2015</v>
      </c>
      <c r="U1" s="23">
        <v>2016</v>
      </c>
    </row>
    <row r="2" spans="1:22">
      <c r="A2" s="16" t="s">
        <v>9</v>
      </c>
      <c r="B2" s="24">
        <v>1</v>
      </c>
      <c r="C2" s="24">
        <v>1</v>
      </c>
      <c r="D2" s="24">
        <v>1</v>
      </c>
      <c r="E2" s="24">
        <v>1</v>
      </c>
      <c r="F2" s="24">
        <v>1</v>
      </c>
      <c r="G2" s="24">
        <v>1</v>
      </c>
      <c r="H2" s="24">
        <v>1</v>
      </c>
      <c r="I2" s="24">
        <v>1</v>
      </c>
      <c r="J2" s="24">
        <v>1</v>
      </c>
      <c r="K2" s="24">
        <v>1</v>
      </c>
      <c r="L2" s="24">
        <v>1</v>
      </c>
      <c r="M2" s="24">
        <v>1</v>
      </c>
      <c r="N2" s="24">
        <v>1</v>
      </c>
      <c r="O2" s="24">
        <v>1</v>
      </c>
      <c r="P2" s="24">
        <v>1</v>
      </c>
      <c r="Q2" s="24">
        <v>1</v>
      </c>
      <c r="R2" s="24">
        <v>1</v>
      </c>
      <c r="S2" s="24">
        <v>1</v>
      </c>
      <c r="T2" s="24">
        <v>1</v>
      </c>
      <c r="U2" s="24">
        <v>1</v>
      </c>
      <c r="V2" s="10"/>
    </row>
    <row r="3" spans="1:22">
      <c r="A3" s="11" t="s">
        <v>10</v>
      </c>
      <c r="B3" s="24">
        <v>1</v>
      </c>
      <c r="C3" s="24">
        <v>1</v>
      </c>
      <c r="D3" s="24">
        <v>1</v>
      </c>
      <c r="E3" s="24">
        <v>1</v>
      </c>
      <c r="F3" s="24">
        <v>1</v>
      </c>
      <c r="G3" s="24">
        <v>1</v>
      </c>
      <c r="H3" s="24">
        <v>1</v>
      </c>
      <c r="I3" s="24">
        <v>1</v>
      </c>
      <c r="J3" s="24">
        <v>1</v>
      </c>
      <c r="K3" s="24">
        <v>1</v>
      </c>
      <c r="L3" s="24">
        <v>1</v>
      </c>
      <c r="M3" s="24">
        <v>1</v>
      </c>
      <c r="N3" s="24">
        <v>1</v>
      </c>
      <c r="O3" s="24">
        <v>1</v>
      </c>
      <c r="P3" s="24">
        <v>1</v>
      </c>
      <c r="Q3" s="24">
        <v>1</v>
      </c>
      <c r="R3" s="24">
        <v>1</v>
      </c>
      <c r="S3" s="24">
        <v>1</v>
      </c>
      <c r="T3" s="24">
        <v>1</v>
      </c>
      <c r="U3" s="24">
        <v>1</v>
      </c>
      <c r="V3" s="10"/>
    </row>
    <row r="4" spans="1:22">
      <c r="A4" s="11" t="s">
        <v>11</v>
      </c>
      <c r="B4" s="24">
        <v>0</v>
      </c>
      <c r="C4" s="24">
        <v>0</v>
      </c>
      <c r="D4" s="24">
        <v>0</v>
      </c>
      <c r="E4" s="24">
        <v>0</v>
      </c>
      <c r="F4" s="24">
        <v>0</v>
      </c>
      <c r="G4" s="24">
        <v>0</v>
      </c>
      <c r="H4" s="24">
        <v>0</v>
      </c>
      <c r="I4" s="24">
        <v>0</v>
      </c>
      <c r="J4" s="24">
        <v>0</v>
      </c>
      <c r="K4" s="24">
        <v>0</v>
      </c>
      <c r="L4" s="24">
        <v>0</v>
      </c>
      <c r="M4" s="24">
        <v>0</v>
      </c>
      <c r="N4" s="24">
        <v>0</v>
      </c>
      <c r="O4" s="24">
        <v>0</v>
      </c>
      <c r="P4" s="24">
        <v>0</v>
      </c>
      <c r="Q4" s="24">
        <v>0</v>
      </c>
      <c r="R4" s="24">
        <v>0</v>
      </c>
      <c r="S4" s="24">
        <v>0</v>
      </c>
      <c r="T4" s="24">
        <v>0</v>
      </c>
      <c r="U4" s="24">
        <v>0</v>
      </c>
      <c r="V4" s="10"/>
    </row>
    <row r="5" spans="1:22">
      <c r="A5" s="11" t="s">
        <v>12</v>
      </c>
      <c r="B5" s="24">
        <v>1</v>
      </c>
      <c r="C5" s="24">
        <v>1</v>
      </c>
      <c r="D5" s="24">
        <v>1</v>
      </c>
      <c r="E5" s="24">
        <v>1</v>
      </c>
      <c r="F5" s="24">
        <v>1</v>
      </c>
      <c r="G5" s="24">
        <v>1</v>
      </c>
      <c r="H5" s="24">
        <v>1</v>
      </c>
      <c r="I5" s="24">
        <v>1</v>
      </c>
      <c r="J5" s="24">
        <v>1</v>
      </c>
      <c r="K5" s="24">
        <v>1</v>
      </c>
      <c r="L5" s="24">
        <v>1</v>
      </c>
      <c r="M5" s="24">
        <v>1</v>
      </c>
      <c r="N5" s="24">
        <v>1</v>
      </c>
      <c r="O5" s="24">
        <v>1</v>
      </c>
      <c r="P5" s="24">
        <v>1</v>
      </c>
      <c r="Q5" s="24">
        <v>1</v>
      </c>
      <c r="R5" s="24">
        <v>1</v>
      </c>
      <c r="S5" s="24">
        <v>1</v>
      </c>
      <c r="T5" s="24">
        <v>1</v>
      </c>
      <c r="U5" s="24">
        <v>1</v>
      </c>
      <c r="V5" s="10"/>
    </row>
    <row r="6" spans="1:22">
      <c r="A6" s="11" t="s">
        <v>13</v>
      </c>
      <c r="B6" s="24">
        <v>1</v>
      </c>
      <c r="C6" s="24">
        <v>1</v>
      </c>
      <c r="D6" s="24">
        <v>1</v>
      </c>
      <c r="E6" s="24">
        <v>1</v>
      </c>
      <c r="F6" s="24">
        <v>1</v>
      </c>
      <c r="G6" s="24">
        <v>1</v>
      </c>
      <c r="H6" s="24">
        <v>1</v>
      </c>
      <c r="I6" s="24">
        <v>1</v>
      </c>
      <c r="J6" s="24">
        <v>1</v>
      </c>
      <c r="K6" s="24">
        <v>1</v>
      </c>
      <c r="L6" s="24">
        <v>1</v>
      </c>
      <c r="M6" s="24">
        <v>1</v>
      </c>
      <c r="N6" s="24">
        <v>1</v>
      </c>
      <c r="O6" s="24">
        <v>1</v>
      </c>
      <c r="P6" s="24">
        <v>1</v>
      </c>
      <c r="Q6" s="24">
        <v>1</v>
      </c>
      <c r="R6" s="24">
        <v>1</v>
      </c>
      <c r="S6" s="24">
        <v>1</v>
      </c>
      <c r="T6" s="24">
        <v>1</v>
      </c>
      <c r="U6" s="24">
        <v>1</v>
      </c>
      <c r="V6" s="10"/>
    </row>
    <row r="7" spans="1:22">
      <c r="A7" s="11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10"/>
    </row>
    <row r="8" spans="1:22">
      <c r="A8" s="11" t="s">
        <v>14</v>
      </c>
      <c r="B8" s="24">
        <v>1</v>
      </c>
      <c r="C8" s="24">
        <v>1</v>
      </c>
      <c r="D8" s="24">
        <v>1</v>
      </c>
      <c r="E8" s="24">
        <v>1</v>
      </c>
      <c r="F8" s="24">
        <v>1</v>
      </c>
      <c r="G8" s="24">
        <v>1</v>
      </c>
      <c r="H8" s="24">
        <v>1</v>
      </c>
      <c r="I8" s="24">
        <v>1</v>
      </c>
      <c r="J8" s="24">
        <v>1</v>
      </c>
      <c r="K8" s="24">
        <v>1</v>
      </c>
      <c r="L8" s="24">
        <v>1</v>
      </c>
      <c r="M8" s="24">
        <v>1</v>
      </c>
      <c r="N8" s="24">
        <v>1</v>
      </c>
      <c r="O8" s="24">
        <v>1</v>
      </c>
      <c r="P8" s="24">
        <v>1</v>
      </c>
      <c r="Q8" s="24">
        <v>1</v>
      </c>
      <c r="R8" s="24">
        <v>1</v>
      </c>
      <c r="S8" s="24">
        <v>1</v>
      </c>
      <c r="T8" s="24">
        <v>1</v>
      </c>
      <c r="U8" s="24">
        <v>1</v>
      </c>
      <c r="V8" s="10"/>
    </row>
    <row r="9" spans="1:22">
      <c r="A9" s="11" t="s">
        <v>15</v>
      </c>
      <c r="B9" s="24">
        <v>1</v>
      </c>
      <c r="C9" s="24">
        <v>1</v>
      </c>
      <c r="D9" s="24">
        <v>1</v>
      </c>
      <c r="E9" s="24">
        <v>1</v>
      </c>
      <c r="F9" s="24">
        <v>1</v>
      </c>
      <c r="G9" s="24">
        <v>1</v>
      </c>
      <c r="H9" s="24">
        <v>1</v>
      </c>
      <c r="I9" s="24">
        <v>1</v>
      </c>
      <c r="J9" s="24">
        <v>1</v>
      </c>
      <c r="K9" s="24">
        <v>1</v>
      </c>
      <c r="L9" s="24">
        <v>1</v>
      </c>
      <c r="M9" s="24">
        <v>1</v>
      </c>
      <c r="N9" s="24">
        <v>1</v>
      </c>
      <c r="O9" s="24">
        <v>1</v>
      </c>
      <c r="P9" s="24">
        <v>1</v>
      </c>
      <c r="Q9" s="24">
        <v>1</v>
      </c>
      <c r="R9" s="24">
        <v>1</v>
      </c>
      <c r="S9" s="24">
        <v>1</v>
      </c>
      <c r="T9" s="24">
        <v>1</v>
      </c>
      <c r="U9" s="24">
        <v>1</v>
      </c>
      <c r="V9" s="10"/>
    </row>
    <row r="10" spans="1:22">
      <c r="A10" s="11" t="s">
        <v>16</v>
      </c>
      <c r="B10" s="24">
        <v>1</v>
      </c>
      <c r="C10" s="24">
        <v>1</v>
      </c>
      <c r="D10" s="24">
        <v>1</v>
      </c>
      <c r="E10" s="24">
        <v>1</v>
      </c>
      <c r="F10" s="24">
        <v>1</v>
      </c>
      <c r="G10" s="24">
        <v>1</v>
      </c>
      <c r="H10" s="24">
        <v>1</v>
      </c>
      <c r="I10" s="24">
        <v>1</v>
      </c>
      <c r="J10" s="24">
        <v>1</v>
      </c>
      <c r="K10" s="24">
        <v>1</v>
      </c>
      <c r="L10" s="24">
        <v>1</v>
      </c>
      <c r="M10" s="24">
        <v>1</v>
      </c>
      <c r="N10" s="24">
        <v>1</v>
      </c>
      <c r="O10" s="24">
        <v>1</v>
      </c>
      <c r="P10" s="24">
        <v>1</v>
      </c>
      <c r="Q10" s="24">
        <v>1</v>
      </c>
      <c r="R10" s="24">
        <v>1</v>
      </c>
      <c r="S10" s="24">
        <v>1</v>
      </c>
      <c r="T10" s="24">
        <v>1</v>
      </c>
      <c r="U10" s="24">
        <v>1</v>
      </c>
      <c r="V10" s="10"/>
    </row>
    <row r="11" spans="1:22">
      <c r="A11" s="11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10"/>
    </row>
    <row r="12" spans="1:22">
      <c r="A12" s="11" t="s">
        <v>17</v>
      </c>
      <c r="B12" s="24">
        <v>1</v>
      </c>
      <c r="C12" s="24">
        <v>1</v>
      </c>
      <c r="D12" s="24">
        <v>1</v>
      </c>
      <c r="E12" s="24">
        <v>1</v>
      </c>
      <c r="F12" s="24">
        <v>1</v>
      </c>
      <c r="G12" s="24">
        <v>1</v>
      </c>
      <c r="H12" s="24">
        <v>1</v>
      </c>
      <c r="I12" s="24">
        <v>1</v>
      </c>
      <c r="J12" s="24">
        <v>1</v>
      </c>
      <c r="K12" s="24">
        <v>1</v>
      </c>
      <c r="L12" s="24">
        <v>1</v>
      </c>
      <c r="M12" s="24">
        <v>1</v>
      </c>
      <c r="N12" s="24">
        <v>1</v>
      </c>
      <c r="O12" s="24">
        <v>1</v>
      </c>
      <c r="P12" s="24">
        <v>1</v>
      </c>
      <c r="Q12" s="24">
        <v>1</v>
      </c>
      <c r="R12" s="24">
        <v>1</v>
      </c>
      <c r="S12" s="24">
        <v>1</v>
      </c>
      <c r="T12" s="24">
        <v>1</v>
      </c>
      <c r="U12" s="24">
        <v>1</v>
      </c>
      <c r="V12" s="10"/>
    </row>
    <row r="13" spans="1:22">
      <c r="A13" s="11" t="s">
        <v>18</v>
      </c>
      <c r="B13" s="24">
        <v>1</v>
      </c>
      <c r="C13" s="24">
        <v>1</v>
      </c>
      <c r="D13" s="24">
        <v>1</v>
      </c>
      <c r="E13" s="24">
        <v>1</v>
      </c>
      <c r="F13" s="24">
        <v>1</v>
      </c>
      <c r="G13" s="24">
        <v>1</v>
      </c>
      <c r="H13" s="24">
        <v>1</v>
      </c>
      <c r="I13" s="24">
        <v>1</v>
      </c>
      <c r="J13" s="24">
        <v>1</v>
      </c>
      <c r="K13" s="24">
        <v>1</v>
      </c>
      <c r="L13" s="24">
        <v>1</v>
      </c>
      <c r="M13" s="24">
        <v>1</v>
      </c>
      <c r="N13" s="24">
        <v>1</v>
      </c>
      <c r="O13" s="24">
        <v>1</v>
      </c>
      <c r="P13" s="24">
        <v>1</v>
      </c>
      <c r="Q13" s="24">
        <v>1</v>
      </c>
      <c r="R13" s="24">
        <v>1</v>
      </c>
      <c r="S13" s="24">
        <v>1</v>
      </c>
      <c r="T13" s="24">
        <v>1</v>
      </c>
      <c r="U13" s="24">
        <v>1</v>
      </c>
      <c r="V13" s="10"/>
    </row>
    <row r="14" spans="1:22">
      <c r="A14" s="11" t="s">
        <v>19</v>
      </c>
      <c r="B14" s="24">
        <v>2</v>
      </c>
      <c r="C14" s="24">
        <v>2</v>
      </c>
      <c r="D14" s="24">
        <v>2</v>
      </c>
      <c r="E14" s="24">
        <v>2</v>
      </c>
      <c r="F14" s="24">
        <v>2</v>
      </c>
      <c r="G14" s="24">
        <v>2</v>
      </c>
      <c r="H14" s="24">
        <v>2</v>
      </c>
      <c r="I14" s="24">
        <v>2</v>
      </c>
      <c r="J14" s="24">
        <v>2</v>
      </c>
      <c r="K14" s="24">
        <v>2</v>
      </c>
      <c r="L14" s="24">
        <v>2</v>
      </c>
      <c r="M14" s="24">
        <v>2</v>
      </c>
      <c r="N14" s="24">
        <v>2</v>
      </c>
      <c r="O14" s="24">
        <v>2</v>
      </c>
      <c r="P14" s="24">
        <v>2</v>
      </c>
      <c r="Q14" s="24">
        <v>2</v>
      </c>
      <c r="R14" s="24">
        <v>2</v>
      </c>
      <c r="S14" s="24">
        <v>2</v>
      </c>
      <c r="T14" s="24">
        <v>2</v>
      </c>
      <c r="U14" s="24">
        <v>2</v>
      </c>
      <c r="V14" s="10"/>
    </row>
    <row r="15" spans="1:22">
      <c r="A15" s="11" t="s">
        <v>20</v>
      </c>
      <c r="B15" s="24">
        <v>1</v>
      </c>
      <c r="C15" s="24">
        <v>1</v>
      </c>
      <c r="D15" s="24">
        <v>1</v>
      </c>
      <c r="E15" s="24">
        <v>1</v>
      </c>
      <c r="F15" s="24">
        <v>1</v>
      </c>
      <c r="G15" s="24">
        <v>1</v>
      </c>
      <c r="H15" s="24">
        <v>1</v>
      </c>
      <c r="I15" s="24">
        <v>1</v>
      </c>
      <c r="J15" s="24">
        <v>1</v>
      </c>
      <c r="K15" s="24">
        <v>1</v>
      </c>
      <c r="L15" s="24">
        <v>1</v>
      </c>
      <c r="M15" s="24">
        <v>1</v>
      </c>
      <c r="N15" s="24">
        <v>1</v>
      </c>
      <c r="O15" s="24">
        <v>1</v>
      </c>
      <c r="P15" s="24">
        <v>1</v>
      </c>
      <c r="Q15" s="24">
        <v>1</v>
      </c>
      <c r="R15" s="24">
        <v>1</v>
      </c>
      <c r="S15" s="24">
        <v>1</v>
      </c>
      <c r="T15" s="24">
        <v>1</v>
      </c>
      <c r="U15" s="24">
        <v>1</v>
      </c>
      <c r="V15" s="10"/>
    </row>
    <row r="16" spans="1:22">
      <c r="A16" s="11" t="s">
        <v>21</v>
      </c>
      <c r="B16" s="24">
        <v>1</v>
      </c>
      <c r="C16" s="24">
        <v>1</v>
      </c>
      <c r="D16" s="24">
        <v>1</v>
      </c>
      <c r="E16" s="24">
        <v>1</v>
      </c>
      <c r="F16" s="24">
        <v>1</v>
      </c>
      <c r="G16" s="24">
        <v>1</v>
      </c>
      <c r="H16" s="24">
        <v>1</v>
      </c>
      <c r="I16" s="24">
        <v>1</v>
      </c>
      <c r="J16" s="24">
        <v>1</v>
      </c>
      <c r="K16" s="24">
        <v>1</v>
      </c>
      <c r="L16" s="24">
        <v>1</v>
      </c>
      <c r="M16" s="24">
        <v>1</v>
      </c>
      <c r="N16" s="24">
        <v>1</v>
      </c>
      <c r="O16" s="24">
        <v>1</v>
      </c>
      <c r="P16" s="24">
        <v>1</v>
      </c>
      <c r="Q16" s="24">
        <v>1</v>
      </c>
      <c r="R16" s="24">
        <v>1</v>
      </c>
      <c r="S16" s="24">
        <v>1</v>
      </c>
      <c r="T16" s="24">
        <v>1</v>
      </c>
      <c r="U16" s="24">
        <v>1</v>
      </c>
      <c r="V16" s="10"/>
    </row>
    <row r="17" spans="1:22">
      <c r="A17" s="11" t="s">
        <v>22</v>
      </c>
      <c r="B17" s="24">
        <v>1</v>
      </c>
      <c r="C17" s="24">
        <v>1</v>
      </c>
      <c r="D17" s="24">
        <v>1</v>
      </c>
      <c r="E17" s="24">
        <v>1</v>
      </c>
      <c r="F17" s="24">
        <v>1</v>
      </c>
      <c r="G17" s="24">
        <v>1</v>
      </c>
      <c r="H17" s="24">
        <v>1</v>
      </c>
      <c r="I17" s="24">
        <v>1</v>
      </c>
      <c r="J17" s="24">
        <v>1</v>
      </c>
      <c r="K17" s="24">
        <v>1</v>
      </c>
      <c r="L17" s="24">
        <v>1</v>
      </c>
      <c r="M17" s="24">
        <v>1</v>
      </c>
      <c r="N17" s="24">
        <v>1</v>
      </c>
      <c r="O17" s="24">
        <v>1</v>
      </c>
      <c r="P17" s="24">
        <v>1</v>
      </c>
      <c r="Q17" s="24">
        <v>1</v>
      </c>
      <c r="R17" s="24">
        <v>1</v>
      </c>
      <c r="S17" s="24">
        <v>1</v>
      </c>
      <c r="T17" s="24">
        <v>1</v>
      </c>
      <c r="U17" s="24">
        <v>1</v>
      </c>
      <c r="V17" s="10"/>
    </row>
    <row r="18" spans="1:22">
      <c r="A18" s="11" t="s">
        <v>23</v>
      </c>
      <c r="B18" s="24">
        <v>1</v>
      </c>
      <c r="C18" s="24">
        <v>1</v>
      </c>
      <c r="D18" s="24">
        <v>1</v>
      </c>
      <c r="E18" s="24">
        <v>1</v>
      </c>
      <c r="F18" s="24">
        <v>1</v>
      </c>
      <c r="G18" s="24">
        <v>1</v>
      </c>
      <c r="H18" s="24">
        <v>1</v>
      </c>
      <c r="I18" s="24">
        <v>1</v>
      </c>
      <c r="J18" s="24">
        <v>1</v>
      </c>
      <c r="K18" s="24">
        <v>1</v>
      </c>
      <c r="L18" s="24">
        <v>1</v>
      </c>
      <c r="M18" s="24">
        <v>1</v>
      </c>
      <c r="N18" s="24">
        <v>1</v>
      </c>
      <c r="O18" s="24">
        <v>1</v>
      </c>
      <c r="P18" s="24">
        <v>1</v>
      </c>
      <c r="Q18" s="24">
        <v>1</v>
      </c>
      <c r="R18" s="24">
        <v>1</v>
      </c>
      <c r="S18" s="24">
        <v>1</v>
      </c>
      <c r="T18" s="24">
        <v>1</v>
      </c>
      <c r="U18" s="24">
        <v>1</v>
      </c>
      <c r="V18" s="10"/>
    </row>
    <row r="19" spans="1:22">
      <c r="A19" s="11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10"/>
    </row>
    <row r="20" spans="1:22">
      <c r="A20" s="11" t="s">
        <v>24</v>
      </c>
      <c r="B20" s="24">
        <v>2</v>
      </c>
      <c r="C20" s="24">
        <v>2</v>
      </c>
      <c r="D20" s="24">
        <v>2</v>
      </c>
      <c r="E20" s="24">
        <v>2</v>
      </c>
      <c r="F20" s="24">
        <v>2</v>
      </c>
      <c r="G20" s="24">
        <v>2</v>
      </c>
      <c r="H20" s="24">
        <v>2</v>
      </c>
      <c r="I20" s="24">
        <v>2</v>
      </c>
      <c r="J20" s="24">
        <v>2</v>
      </c>
      <c r="K20" s="24">
        <v>2</v>
      </c>
      <c r="L20" s="24">
        <v>2</v>
      </c>
      <c r="M20" s="24">
        <v>2</v>
      </c>
      <c r="N20" s="24">
        <v>2</v>
      </c>
      <c r="O20" s="24">
        <v>2</v>
      </c>
      <c r="P20" s="24">
        <v>2</v>
      </c>
      <c r="Q20" s="24">
        <v>2</v>
      </c>
      <c r="R20" s="24">
        <v>2</v>
      </c>
      <c r="S20" s="24">
        <v>2</v>
      </c>
      <c r="T20" s="24">
        <v>2</v>
      </c>
      <c r="U20" s="24">
        <v>2</v>
      </c>
      <c r="V20" s="10"/>
    </row>
    <row r="21" spans="1:22">
      <c r="A21" s="11" t="s">
        <v>25</v>
      </c>
      <c r="B21" s="24">
        <v>1</v>
      </c>
      <c r="C21" s="24">
        <v>1</v>
      </c>
      <c r="D21" s="24">
        <v>1</v>
      </c>
      <c r="E21" s="24">
        <v>1</v>
      </c>
      <c r="F21" s="24">
        <v>1</v>
      </c>
      <c r="G21" s="24">
        <v>1</v>
      </c>
      <c r="H21" s="24">
        <v>1</v>
      </c>
      <c r="I21" s="24">
        <v>1</v>
      </c>
      <c r="J21" s="24">
        <v>1</v>
      </c>
      <c r="K21" s="24">
        <v>1</v>
      </c>
      <c r="L21" s="24">
        <v>1</v>
      </c>
      <c r="M21" s="24">
        <v>1</v>
      </c>
      <c r="N21" s="24">
        <v>1</v>
      </c>
      <c r="O21" s="24">
        <v>1</v>
      </c>
      <c r="P21" s="24">
        <v>1</v>
      </c>
      <c r="Q21" s="24">
        <v>1</v>
      </c>
      <c r="R21" s="24">
        <v>1</v>
      </c>
      <c r="S21" s="24">
        <v>1</v>
      </c>
      <c r="T21" s="24">
        <v>1</v>
      </c>
      <c r="U21" s="24">
        <v>1</v>
      </c>
      <c r="V21" s="10"/>
    </row>
    <row r="22" spans="1:22">
      <c r="A22" s="11" t="s">
        <v>26</v>
      </c>
      <c r="B22" s="24">
        <v>1</v>
      </c>
      <c r="C22" s="24">
        <v>1</v>
      </c>
      <c r="D22" s="24">
        <v>1</v>
      </c>
      <c r="E22" s="24">
        <v>1</v>
      </c>
      <c r="F22" s="24">
        <v>1</v>
      </c>
      <c r="G22" s="24">
        <v>1</v>
      </c>
      <c r="H22" s="24">
        <v>1</v>
      </c>
      <c r="I22" s="24">
        <v>1</v>
      </c>
      <c r="J22" s="24">
        <v>1</v>
      </c>
      <c r="K22" s="24">
        <v>1</v>
      </c>
      <c r="L22" s="24">
        <v>1</v>
      </c>
      <c r="M22" s="24">
        <v>1</v>
      </c>
      <c r="N22" s="24">
        <v>1</v>
      </c>
      <c r="O22" s="24">
        <v>1</v>
      </c>
      <c r="P22" s="24">
        <v>1</v>
      </c>
      <c r="Q22" s="24">
        <v>1</v>
      </c>
      <c r="R22" s="24">
        <v>1</v>
      </c>
      <c r="S22" s="24">
        <v>1</v>
      </c>
      <c r="T22" s="24">
        <v>1</v>
      </c>
      <c r="U22" s="24">
        <v>1</v>
      </c>
      <c r="V22" s="10"/>
    </row>
    <row r="23" spans="1:22">
      <c r="A23" s="11" t="s">
        <v>27</v>
      </c>
      <c r="B23" s="24">
        <v>2</v>
      </c>
      <c r="C23" s="24">
        <v>2</v>
      </c>
      <c r="D23" s="24">
        <v>2</v>
      </c>
      <c r="E23" s="24">
        <v>2</v>
      </c>
      <c r="F23" s="24">
        <v>2</v>
      </c>
      <c r="G23" s="24">
        <v>2</v>
      </c>
      <c r="H23" s="24">
        <v>2</v>
      </c>
      <c r="I23" s="24">
        <v>2</v>
      </c>
      <c r="J23" s="24">
        <v>2</v>
      </c>
      <c r="K23" s="24">
        <v>2</v>
      </c>
      <c r="L23" s="24">
        <v>2</v>
      </c>
      <c r="M23" s="24">
        <v>2</v>
      </c>
      <c r="N23" s="24">
        <v>2</v>
      </c>
      <c r="O23" s="24">
        <v>2</v>
      </c>
      <c r="P23" s="24">
        <v>2</v>
      </c>
      <c r="Q23" s="24">
        <v>2</v>
      </c>
      <c r="R23" s="24">
        <v>2</v>
      </c>
      <c r="S23" s="24">
        <v>2</v>
      </c>
      <c r="T23" s="24">
        <v>2</v>
      </c>
      <c r="U23" s="24">
        <v>2</v>
      </c>
      <c r="V23" s="10"/>
    </row>
    <row r="24" spans="1:22">
      <c r="A24" s="11" t="s">
        <v>28</v>
      </c>
      <c r="B24" s="24">
        <v>1</v>
      </c>
      <c r="C24" s="24">
        <v>1</v>
      </c>
      <c r="D24" s="24">
        <v>1</v>
      </c>
      <c r="E24" s="24">
        <v>1</v>
      </c>
      <c r="F24" s="24">
        <v>1</v>
      </c>
      <c r="G24" s="24">
        <v>1</v>
      </c>
      <c r="H24" s="24">
        <v>1</v>
      </c>
      <c r="I24" s="24">
        <v>1</v>
      </c>
      <c r="J24" s="24">
        <v>1</v>
      </c>
      <c r="K24" s="24">
        <v>1</v>
      </c>
      <c r="L24" s="24">
        <v>1</v>
      </c>
      <c r="M24" s="24">
        <v>1</v>
      </c>
      <c r="N24" s="24">
        <v>1</v>
      </c>
      <c r="O24" s="24">
        <v>1</v>
      </c>
      <c r="P24" s="24">
        <v>1</v>
      </c>
      <c r="Q24" s="24">
        <v>1</v>
      </c>
      <c r="R24" s="24">
        <v>1</v>
      </c>
      <c r="S24" s="24">
        <v>1</v>
      </c>
      <c r="T24" s="24">
        <v>1</v>
      </c>
      <c r="U24" s="24">
        <v>1</v>
      </c>
      <c r="V24" s="10"/>
    </row>
    <row r="25" spans="1:22">
      <c r="A25" s="11" t="s">
        <v>29</v>
      </c>
      <c r="B25" s="24">
        <v>1</v>
      </c>
      <c r="C25" s="24">
        <v>1</v>
      </c>
      <c r="D25" s="24">
        <v>1</v>
      </c>
      <c r="E25" s="24">
        <v>1</v>
      </c>
      <c r="F25" s="24">
        <v>1</v>
      </c>
      <c r="G25" s="24">
        <v>1</v>
      </c>
      <c r="H25" s="24">
        <v>1</v>
      </c>
      <c r="I25" s="24">
        <v>1</v>
      </c>
      <c r="J25" s="24">
        <v>1</v>
      </c>
      <c r="K25" s="24">
        <v>1</v>
      </c>
      <c r="L25" s="24">
        <v>1</v>
      </c>
      <c r="M25" s="24">
        <v>1</v>
      </c>
      <c r="N25" s="24">
        <v>1</v>
      </c>
      <c r="O25" s="24">
        <v>1</v>
      </c>
      <c r="P25" s="24">
        <v>1</v>
      </c>
      <c r="Q25" s="24">
        <v>1</v>
      </c>
      <c r="R25" s="24">
        <v>1</v>
      </c>
      <c r="S25" s="24">
        <v>1</v>
      </c>
      <c r="T25" s="24">
        <v>1</v>
      </c>
      <c r="U25" s="24">
        <v>1</v>
      </c>
      <c r="V25" s="10"/>
    </row>
    <row r="26" spans="1:22">
      <c r="A26" s="11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10"/>
    </row>
    <row r="27" spans="1:22">
      <c r="A27" s="11" t="s">
        <v>30</v>
      </c>
      <c r="B27" s="24">
        <v>1</v>
      </c>
      <c r="C27" s="24">
        <v>1</v>
      </c>
      <c r="D27" s="24">
        <v>1</v>
      </c>
      <c r="E27" s="24">
        <v>1</v>
      </c>
      <c r="F27" s="24">
        <v>1</v>
      </c>
      <c r="G27" s="24">
        <v>1</v>
      </c>
      <c r="H27" s="24">
        <v>1</v>
      </c>
      <c r="I27" s="24">
        <v>1</v>
      </c>
      <c r="J27" s="24">
        <v>1</v>
      </c>
      <c r="K27" s="24">
        <v>1</v>
      </c>
      <c r="L27" s="24">
        <v>1</v>
      </c>
      <c r="M27" s="24">
        <v>1</v>
      </c>
      <c r="N27" s="24">
        <v>1</v>
      </c>
      <c r="O27" s="24">
        <v>1</v>
      </c>
      <c r="P27" s="24">
        <v>1</v>
      </c>
      <c r="Q27" s="24">
        <v>1</v>
      </c>
      <c r="R27" s="24">
        <v>1</v>
      </c>
      <c r="S27" s="24">
        <v>1</v>
      </c>
      <c r="T27" s="24">
        <v>1</v>
      </c>
      <c r="U27" s="24">
        <v>1</v>
      </c>
      <c r="V27" s="10"/>
    </row>
    <row r="28" spans="1:22">
      <c r="A28" s="11" t="s">
        <v>31</v>
      </c>
      <c r="B28" s="24">
        <v>0</v>
      </c>
      <c r="C28" s="24">
        <v>0</v>
      </c>
      <c r="D28" s="24">
        <v>0</v>
      </c>
      <c r="E28" s="24">
        <v>0</v>
      </c>
      <c r="F28" s="24">
        <v>0</v>
      </c>
      <c r="G28" s="24">
        <v>0</v>
      </c>
      <c r="H28" s="24">
        <v>0</v>
      </c>
      <c r="I28" s="24">
        <v>0</v>
      </c>
      <c r="J28" s="24">
        <v>0</v>
      </c>
      <c r="K28" s="24">
        <v>0</v>
      </c>
      <c r="L28" s="24">
        <v>0</v>
      </c>
      <c r="M28" s="24">
        <v>0</v>
      </c>
      <c r="N28" s="24">
        <v>0</v>
      </c>
      <c r="O28" s="24">
        <v>0</v>
      </c>
      <c r="P28" s="24">
        <v>0</v>
      </c>
      <c r="Q28" s="24">
        <v>0</v>
      </c>
      <c r="R28" s="24">
        <v>0</v>
      </c>
      <c r="S28" s="24">
        <v>0</v>
      </c>
      <c r="T28" s="24">
        <v>0</v>
      </c>
      <c r="U28" s="24">
        <v>0</v>
      </c>
      <c r="V28" s="10"/>
    </row>
    <row r="29" spans="1:22">
      <c r="A29" s="11" t="s">
        <v>32</v>
      </c>
      <c r="B29" s="24">
        <v>1</v>
      </c>
      <c r="C29" s="24">
        <v>1</v>
      </c>
      <c r="D29" s="24">
        <v>1</v>
      </c>
      <c r="E29" s="24">
        <v>1</v>
      </c>
      <c r="F29" s="24">
        <v>1</v>
      </c>
      <c r="G29" s="24">
        <v>1</v>
      </c>
      <c r="H29" s="24">
        <v>1</v>
      </c>
      <c r="I29" s="24">
        <v>1</v>
      </c>
      <c r="J29" s="24">
        <v>1</v>
      </c>
      <c r="K29" s="24">
        <v>1</v>
      </c>
      <c r="L29" s="24">
        <v>1</v>
      </c>
      <c r="M29" s="24">
        <v>1</v>
      </c>
      <c r="N29" s="24">
        <v>1</v>
      </c>
      <c r="O29" s="24">
        <v>1</v>
      </c>
      <c r="P29" s="24">
        <v>1</v>
      </c>
      <c r="Q29" s="24">
        <v>1</v>
      </c>
      <c r="R29" s="24">
        <v>1</v>
      </c>
      <c r="S29" s="24">
        <v>1</v>
      </c>
      <c r="T29" s="24">
        <v>1</v>
      </c>
      <c r="U29" s="24">
        <v>1</v>
      </c>
      <c r="V29" s="10"/>
    </row>
    <row r="30" spans="1:22">
      <c r="A30" s="11" t="s">
        <v>33</v>
      </c>
      <c r="B30" s="24">
        <v>1</v>
      </c>
      <c r="C30" s="24">
        <v>1</v>
      </c>
      <c r="D30" s="24">
        <v>1</v>
      </c>
      <c r="E30" s="24">
        <v>1</v>
      </c>
      <c r="F30" s="24">
        <v>1</v>
      </c>
      <c r="G30" s="24">
        <v>1</v>
      </c>
      <c r="H30" s="24">
        <v>1</v>
      </c>
      <c r="I30" s="24">
        <v>1</v>
      </c>
      <c r="J30" s="24">
        <v>1</v>
      </c>
      <c r="K30" s="24">
        <v>1</v>
      </c>
      <c r="L30" s="24">
        <v>1</v>
      </c>
      <c r="M30" s="24">
        <v>1</v>
      </c>
      <c r="N30" s="24">
        <v>1</v>
      </c>
      <c r="O30" s="24">
        <v>1</v>
      </c>
      <c r="P30" s="24">
        <v>1</v>
      </c>
      <c r="Q30" s="24">
        <v>1</v>
      </c>
      <c r="R30" s="24">
        <v>1</v>
      </c>
      <c r="S30" s="24">
        <v>1</v>
      </c>
      <c r="T30" s="24">
        <v>1</v>
      </c>
      <c r="U30" s="24">
        <v>1</v>
      </c>
      <c r="V30" s="10"/>
    </row>
    <row r="31" spans="1:22">
      <c r="A31" s="11" t="s">
        <v>34</v>
      </c>
      <c r="B31" s="24">
        <v>1</v>
      </c>
      <c r="C31" s="24">
        <v>1</v>
      </c>
      <c r="D31" s="24">
        <v>1</v>
      </c>
      <c r="E31" s="24">
        <v>1</v>
      </c>
      <c r="F31" s="24">
        <v>1</v>
      </c>
      <c r="G31" s="24">
        <v>1</v>
      </c>
      <c r="H31" s="24">
        <v>1</v>
      </c>
      <c r="I31" s="24">
        <v>1</v>
      </c>
      <c r="J31" s="24">
        <v>1</v>
      </c>
      <c r="K31" s="24">
        <v>1</v>
      </c>
      <c r="L31" s="24">
        <v>1</v>
      </c>
      <c r="M31" s="24">
        <v>1</v>
      </c>
      <c r="N31" s="24">
        <v>1</v>
      </c>
      <c r="O31" s="24">
        <v>1</v>
      </c>
      <c r="P31" s="24">
        <v>1</v>
      </c>
      <c r="Q31" s="24">
        <v>1</v>
      </c>
      <c r="R31" s="24">
        <v>1</v>
      </c>
      <c r="S31" s="24">
        <v>1</v>
      </c>
      <c r="T31" s="24">
        <v>1</v>
      </c>
      <c r="U31" s="24">
        <v>1</v>
      </c>
      <c r="V31" s="10"/>
    </row>
    <row r="32" spans="1:22">
      <c r="A32" s="11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10"/>
    </row>
    <row r="33" spans="1:22">
      <c r="A33" s="11" t="s">
        <v>35</v>
      </c>
      <c r="B33" s="24">
        <v>1</v>
      </c>
      <c r="C33" s="24">
        <v>1</v>
      </c>
      <c r="D33" s="24">
        <v>1</v>
      </c>
      <c r="E33" s="24">
        <v>1</v>
      </c>
      <c r="F33" s="24">
        <v>1</v>
      </c>
      <c r="G33" s="24">
        <v>1</v>
      </c>
      <c r="H33" s="24">
        <v>1</v>
      </c>
      <c r="I33" s="24">
        <v>1</v>
      </c>
      <c r="J33" s="24">
        <v>1</v>
      </c>
      <c r="K33" s="24">
        <v>1</v>
      </c>
      <c r="L33" s="24">
        <v>1</v>
      </c>
      <c r="M33" s="24">
        <v>1</v>
      </c>
      <c r="N33" s="24">
        <v>1</v>
      </c>
      <c r="O33" s="24">
        <v>1</v>
      </c>
      <c r="P33" s="24">
        <v>1</v>
      </c>
      <c r="Q33" s="24">
        <v>1</v>
      </c>
      <c r="R33" s="24">
        <v>1</v>
      </c>
      <c r="S33" s="24">
        <v>1</v>
      </c>
      <c r="T33" s="24">
        <v>1</v>
      </c>
      <c r="U33" s="24">
        <v>1</v>
      </c>
      <c r="V33" s="10"/>
    </row>
    <row r="34" spans="1:22">
      <c r="A34" s="11" t="s">
        <v>36</v>
      </c>
      <c r="B34" s="24">
        <v>0</v>
      </c>
      <c r="C34" s="24">
        <v>0</v>
      </c>
      <c r="D34" s="24">
        <v>0</v>
      </c>
      <c r="E34" s="24">
        <v>0</v>
      </c>
      <c r="F34" s="24">
        <v>0</v>
      </c>
      <c r="G34" s="24">
        <v>0</v>
      </c>
      <c r="H34" s="24">
        <v>0</v>
      </c>
      <c r="I34" s="24">
        <v>0</v>
      </c>
      <c r="J34" s="24">
        <v>0</v>
      </c>
      <c r="K34" s="24">
        <v>0</v>
      </c>
      <c r="L34" s="24">
        <v>0</v>
      </c>
      <c r="M34" s="24">
        <v>0</v>
      </c>
      <c r="N34" s="24">
        <v>0</v>
      </c>
      <c r="O34" s="24">
        <v>0</v>
      </c>
      <c r="P34" s="24">
        <v>0</v>
      </c>
      <c r="Q34" s="24">
        <v>0</v>
      </c>
      <c r="R34" s="24">
        <v>0</v>
      </c>
      <c r="S34" s="24">
        <v>0</v>
      </c>
      <c r="T34" s="24">
        <v>0</v>
      </c>
      <c r="U34" s="24">
        <v>0</v>
      </c>
      <c r="V34" s="10"/>
    </row>
    <row r="35" spans="1:22">
      <c r="A35" s="11" t="s">
        <v>37</v>
      </c>
      <c r="B35" s="24">
        <v>1</v>
      </c>
      <c r="C35" s="24">
        <v>1</v>
      </c>
      <c r="D35" s="24">
        <v>1</v>
      </c>
      <c r="E35" s="24">
        <v>1</v>
      </c>
      <c r="F35" s="24">
        <v>1</v>
      </c>
      <c r="G35" s="24">
        <v>1</v>
      </c>
      <c r="H35" s="24">
        <v>1</v>
      </c>
      <c r="I35" s="24">
        <v>1</v>
      </c>
      <c r="J35" s="24">
        <v>1</v>
      </c>
      <c r="K35" s="24">
        <v>1</v>
      </c>
      <c r="L35" s="24">
        <v>1</v>
      </c>
      <c r="M35" s="24">
        <v>1</v>
      </c>
      <c r="N35" s="24">
        <v>1</v>
      </c>
      <c r="O35" s="24">
        <v>1</v>
      </c>
      <c r="P35" s="24">
        <v>1</v>
      </c>
      <c r="Q35" s="24">
        <v>1</v>
      </c>
      <c r="R35" s="24">
        <v>1</v>
      </c>
      <c r="S35" s="24">
        <v>1</v>
      </c>
      <c r="T35" s="24">
        <v>1</v>
      </c>
      <c r="U35" s="24">
        <v>1</v>
      </c>
      <c r="V35" s="10"/>
    </row>
    <row r="36" spans="1:22">
      <c r="A36" s="11" t="s">
        <v>38</v>
      </c>
      <c r="B36" s="24">
        <v>1</v>
      </c>
      <c r="C36" s="24">
        <v>1</v>
      </c>
      <c r="D36" s="24">
        <v>1</v>
      </c>
      <c r="E36" s="24">
        <v>1</v>
      </c>
      <c r="F36" s="24">
        <v>1</v>
      </c>
      <c r="G36" s="24">
        <v>1</v>
      </c>
      <c r="H36" s="24">
        <v>1</v>
      </c>
      <c r="I36" s="24">
        <v>1</v>
      </c>
      <c r="J36" s="24">
        <v>1</v>
      </c>
      <c r="K36" s="24">
        <v>1</v>
      </c>
      <c r="L36" s="24">
        <v>1</v>
      </c>
      <c r="M36" s="24">
        <v>1</v>
      </c>
      <c r="N36" s="24">
        <v>1</v>
      </c>
      <c r="O36" s="24">
        <v>1</v>
      </c>
      <c r="P36" s="24">
        <v>1</v>
      </c>
      <c r="Q36" s="24">
        <v>1</v>
      </c>
      <c r="R36" s="24">
        <v>1</v>
      </c>
      <c r="S36" s="24">
        <v>1</v>
      </c>
      <c r="T36" s="24">
        <v>1</v>
      </c>
      <c r="U36" s="24">
        <v>1</v>
      </c>
      <c r="V36" s="10"/>
    </row>
    <row r="37" spans="1:22">
      <c r="A37" s="11" t="s">
        <v>39</v>
      </c>
      <c r="B37" s="24">
        <v>1</v>
      </c>
      <c r="C37" s="24">
        <v>1</v>
      </c>
      <c r="D37" s="24">
        <v>1</v>
      </c>
      <c r="E37" s="24">
        <v>1</v>
      </c>
      <c r="F37" s="24">
        <v>1</v>
      </c>
      <c r="G37" s="24">
        <v>1</v>
      </c>
      <c r="H37" s="24">
        <v>1</v>
      </c>
      <c r="I37" s="24">
        <v>1</v>
      </c>
      <c r="J37" s="24">
        <v>1</v>
      </c>
      <c r="K37" s="24">
        <v>1</v>
      </c>
      <c r="L37" s="24">
        <v>1</v>
      </c>
      <c r="M37" s="24">
        <v>1</v>
      </c>
      <c r="N37" s="24">
        <v>1</v>
      </c>
      <c r="O37" s="24">
        <v>1</v>
      </c>
      <c r="P37" s="24">
        <v>1</v>
      </c>
      <c r="Q37" s="24">
        <v>1</v>
      </c>
      <c r="R37" s="24">
        <v>1</v>
      </c>
      <c r="S37" s="24">
        <v>1</v>
      </c>
      <c r="T37" s="24">
        <v>1</v>
      </c>
      <c r="U37" s="24">
        <v>1</v>
      </c>
      <c r="V37" s="10"/>
    </row>
    <row r="38" spans="1:22"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</row>
    <row r="39" spans="1:22"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</row>
    <row r="40" spans="1:22"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</row>
  </sheetData>
  <phoneticPr fontId="6" type="noConversion"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884B0-B76D-1B40-9F71-9ED189AEC709}">
  <dimension ref="A1:X39"/>
  <sheetViews>
    <sheetView workbookViewId="0">
      <selection activeCell="G13" sqref="G13"/>
    </sheetView>
  </sheetViews>
  <sheetFormatPr baseColWidth="10" defaultRowHeight="16"/>
  <cols>
    <col min="1" max="1" width="19" customWidth="1"/>
  </cols>
  <sheetData>
    <row r="1" spans="1:24" ht="17">
      <c r="A1" s="23" t="s">
        <v>42</v>
      </c>
      <c r="B1" s="23">
        <v>1997</v>
      </c>
      <c r="C1" s="23">
        <v>1998</v>
      </c>
      <c r="D1" s="23">
        <v>1999</v>
      </c>
      <c r="E1" s="23">
        <v>2000</v>
      </c>
      <c r="F1" s="23">
        <v>2001</v>
      </c>
      <c r="G1" s="23">
        <v>2002</v>
      </c>
      <c r="H1" s="23">
        <v>2003</v>
      </c>
      <c r="I1" s="23">
        <v>2004</v>
      </c>
      <c r="J1" s="23">
        <v>2005</v>
      </c>
      <c r="K1" s="23">
        <v>2006</v>
      </c>
      <c r="L1" s="23">
        <v>2007</v>
      </c>
      <c r="M1" s="23">
        <v>2008</v>
      </c>
      <c r="N1" s="23">
        <v>2009</v>
      </c>
      <c r="O1" s="23">
        <v>2010</v>
      </c>
      <c r="P1" s="23">
        <v>2011</v>
      </c>
      <c r="Q1" s="23">
        <v>2012</v>
      </c>
      <c r="R1" s="23">
        <v>2013</v>
      </c>
      <c r="S1" s="23">
        <v>2014</v>
      </c>
      <c r="T1" s="23">
        <v>2015</v>
      </c>
      <c r="U1" s="23">
        <v>2016</v>
      </c>
    </row>
    <row r="2" spans="1:24">
      <c r="A2" s="16" t="s">
        <v>9</v>
      </c>
      <c r="B2" s="24">
        <v>6363366</v>
      </c>
      <c r="C2" s="24">
        <v>6365346</v>
      </c>
      <c r="D2" s="24">
        <v>6298155</v>
      </c>
      <c r="E2" s="24">
        <v>7206610</v>
      </c>
      <c r="F2" s="24">
        <v>7074518</v>
      </c>
      <c r="G2" s="24">
        <v>7347165</v>
      </c>
      <c r="H2" s="24">
        <v>7374745</v>
      </c>
      <c r="I2" s="24">
        <v>7536231</v>
      </c>
      <c r="J2" s="24">
        <v>7782792</v>
      </c>
      <c r="K2" s="24">
        <v>7768467</v>
      </c>
      <c r="L2" s="24">
        <v>8047777</v>
      </c>
      <c r="M2" s="24">
        <v>8489289</v>
      </c>
      <c r="N2" s="24">
        <v>8825887</v>
      </c>
      <c r="O2" s="24">
        <v>10126000</v>
      </c>
      <c r="P2" s="24">
        <v>10348235</v>
      </c>
      <c r="Q2" s="24">
        <v>10651022</v>
      </c>
      <c r="R2" s="24">
        <v>11006082</v>
      </c>
      <c r="S2" s="24">
        <v>10920924</v>
      </c>
      <c r="T2" s="24">
        <v>11320000</v>
      </c>
      <c r="U2" s="24">
        <v>11139784</v>
      </c>
      <c r="V2" s="24"/>
      <c r="W2" s="24"/>
      <c r="X2" s="24"/>
    </row>
    <row r="3" spans="1:24">
      <c r="A3" s="11" t="s">
        <v>10</v>
      </c>
      <c r="B3" s="24">
        <v>4794059</v>
      </c>
      <c r="C3" s="24">
        <v>4799009</v>
      </c>
      <c r="D3" s="24">
        <v>4784836</v>
      </c>
      <c r="E3" s="24">
        <v>5102896</v>
      </c>
      <c r="F3" s="24">
        <v>5016375</v>
      </c>
      <c r="G3" s="24">
        <v>5008097</v>
      </c>
      <c r="H3" s="24">
        <v>5004073</v>
      </c>
      <c r="I3" s="24">
        <v>5066252</v>
      </c>
      <c r="J3" s="24">
        <v>5230792</v>
      </c>
      <c r="K3" s="24">
        <v>5256890</v>
      </c>
      <c r="L3" s="24">
        <v>5506666</v>
      </c>
      <c r="M3" s="24">
        <v>5621195</v>
      </c>
      <c r="N3" s="24">
        <v>6068728</v>
      </c>
      <c r="O3" s="24">
        <v>6906858</v>
      </c>
      <c r="P3" s="24">
        <v>6769411</v>
      </c>
      <c r="Q3" s="24">
        <v>7044524</v>
      </c>
      <c r="R3" s="24">
        <v>7347931</v>
      </c>
      <c r="S3" s="24">
        <v>7626520</v>
      </c>
      <c r="T3" s="24">
        <v>8437290</v>
      </c>
      <c r="U3" s="24">
        <v>8316606</v>
      </c>
      <c r="V3" s="24"/>
      <c r="W3" s="24"/>
      <c r="X3" s="24"/>
    </row>
    <row r="4" spans="1:24">
      <c r="A4" s="11" t="s">
        <v>11</v>
      </c>
      <c r="B4" s="24">
        <v>33232673</v>
      </c>
      <c r="C4" s="24">
        <v>33239603</v>
      </c>
      <c r="D4" s="24">
        <v>33579918</v>
      </c>
      <c r="E4" s="24">
        <v>34327612</v>
      </c>
      <c r="F4" s="24">
        <v>33936333</v>
      </c>
      <c r="G4" s="24">
        <v>34160931</v>
      </c>
      <c r="H4" s="24">
        <v>34587576</v>
      </c>
      <c r="I4" s="24">
        <v>34957556</v>
      </c>
      <c r="J4" s="24">
        <v>34377358</v>
      </c>
      <c r="K4" s="24">
        <v>35478500</v>
      </c>
      <c r="L4" s="24">
        <v>35922222</v>
      </c>
      <c r="M4" s="24">
        <v>36192784</v>
      </c>
      <c r="N4" s="24">
        <v>36278350</v>
      </c>
      <c r="O4" s="24">
        <v>36430303</v>
      </c>
      <c r="P4" s="24">
        <v>37744705</v>
      </c>
      <c r="Q4" s="24">
        <v>37409145</v>
      </c>
      <c r="R4" s="24">
        <v>37796836</v>
      </c>
      <c r="S4" s="24">
        <v>37953771</v>
      </c>
      <c r="T4" s="24">
        <v>37672193</v>
      </c>
      <c r="U4" s="24">
        <v>38329749</v>
      </c>
      <c r="V4" s="24"/>
      <c r="W4" s="24"/>
      <c r="X4" s="24"/>
    </row>
    <row r="5" spans="1:24">
      <c r="A5" s="11" t="s">
        <v>12</v>
      </c>
      <c r="B5" s="24">
        <v>16222772</v>
      </c>
      <c r="C5" s="24">
        <v>16230693</v>
      </c>
      <c r="D5" s="24">
        <v>16381147</v>
      </c>
      <c r="E5" s="24">
        <v>17063979</v>
      </c>
      <c r="F5" s="24">
        <v>16800758</v>
      </c>
      <c r="G5" s="24">
        <v>16913967</v>
      </c>
      <c r="H5" s="24">
        <v>16982688</v>
      </c>
      <c r="I5" s="24">
        <v>17188405</v>
      </c>
      <c r="J5" s="24">
        <v>17003320</v>
      </c>
      <c r="K5" s="24">
        <v>17382579</v>
      </c>
      <c r="L5" s="24">
        <v>17587777</v>
      </c>
      <c r="M5" s="24">
        <v>17599774</v>
      </c>
      <c r="N5" s="24">
        <v>17758304</v>
      </c>
      <c r="O5" s="24">
        <v>18338768</v>
      </c>
      <c r="P5" s="24">
        <v>18491764</v>
      </c>
      <c r="Q5" s="24">
        <v>18523465</v>
      </c>
      <c r="R5" s="24">
        <v>18711678</v>
      </c>
      <c r="S5" s="24">
        <v>18610705</v>
      </c>
      <c r="T5" s="24">
        <v>19034258</v>
      </c>
      <c r="U5" s="24">
        <v>19007168</v>
      </c>
      <c r="V5" s="24"/>
      <c r="W5" s="24"/>
      <c r="X5" s="24"/>
    </row>
    <row r="6" spans="1:24">
      <c r="A6" s="11" t="s">
        <v>13</v>
      </c>
      <c r="B6" s="24">
        <v>11997029</v>
      </c>
      <c r="C6" s="24">
        <v>11978217</v>
      </c>
      <c r="D6" s="24">
        <v>12150614</v>
      </c>
      <c r="E6" s="24">
        <v>12291157</v>
      </c>
      <c r="F6" s="24">
        <v>12061615</v>
      </c>
      <c r="G6" s="24">
        <v>12275303</v>
      </c>
      <c r="H6" s="24">
        <v>12226069</v>
      </c>
      <c r="I6" s="24">
        <v>12361283</v>
      </c>
      <c r="J6" s="24">
        <v>12193207</v>
      </c>
      <c r="K6" s="24">
        <v>12469680</v>
      </c>
      <c r="L6" s="24">
        <v>12445555</v>
      </c>
      <c r="M6" s="24">
        <v>12609921</v>
      </c>
      <c r="N6" s="24">
        <v>12613974</v>
      </c>
      <c r="O6" s="24">
        <v>12831359</v>
      </c>
      <c r="P6" s="24">
        <v>12400000</v>
      </c>
      <c r="Q6" s="24">
        <v>12771359</v>
      </c>
      <c r="R6" s="24">
        <v>13015815</v>
      </c>
      <c r="S6" s="24">
        <v>12813868</v>
      </c>
      <c r="T6" s="24">
        <v>12854129</v>
      </c>
      <c r="U6" s="24">
        <v>12753882</v>
      </c>
      <c r="V6" s="24"/>
      <c r="W6" s="24"/>
      <c r="X6" s="24"/>
    </row>
    <row r="7" spans="1:24">
      <c r="A7" s="11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</row>
    <row r="8" spans="1:24">
      <c r="A8" s="11" t="s">
        <v>14</v>
      </c>
      <c r="B8" s="24">
        <v>21063366</v>
      </c>
      <c r="C8" s="24">
        <v>20832673</v>
      </c>
      <c r="D8" s="24">
        <v>21262295</v>
      </c>
      <c r="E8" s="24">
        <v>21610000</v>
      </c>
      <c r="F8" s="24">
        <v>21323383</v>
      </c>
      <c r="G8" s="24">
        <v>21259109</v>
      </c>
      <c r="H8" s="24">
        <v>21159877</v>
      </c>
      <c r="I8" s="24">
        <v>21339544</v>
      </c>
      <c r="J8" s="24">
        <v>21140150</v>
      </c>
      <c r="K8" s="24">
        <v>21842337</v>
      </c>
      <c r="L8" s="24">
        <v>21975555</v>
      </c>
      <c r="M8" s="24">
        <v>22077790</v>
      </c>
      <c r="N8" s="24">
        <v>22158075</v>
      </c>
      <c r="O8" s="24">
        <v>22147745</v>
      </c>
      <c r="P8" s="24">
        <v>22171764</v>
      </c>
      <c r="Q8" s="24">
        <v>22092659</v>
      </c>
      <c r="R8" s="24">
        <v>22253041</v>
      </c>
      <c r="S8" s="24">
        <v>22339416</v>
      </c>
      <c r="T8" s="24">
        <v>22012451</v>
      </c>
      <c r="U8" s="24">
        <v>22106332</v>
      </c>
      <c r="V8" s="24"/>
      <c r="W8" s="24"/>
      <c r="X8" s="24"/>
    </row>
    <row r="9" spans="1:24">
      <c r="A9" s="11" t="s">
        <v>15</v>
      </c>
      <c r="B9" s="24">
        <v>13461386</v>
      </c>
      <c r="C9" s="24">
        <v>13476237</v>
      </c>
      <c r="D9" s="24">
        <v>13619877</v>
      </c>
      <c r="E9" s="24">
        <v>13967360</v>
      </c>
      <c r="F9" s="24">
        <v>13720747</v>
      </c>
      <c r="G9" s="24">
        <v>13620445</v>
      </c>
      <c r="H9" s="24">
        <v>13632382</v>
      </c>
      <c r="I9" s="24">
        <v>13691511</v>
      </c>
      <c r="J9" s="24">
        <v>13776981</v>
      </c>
      <c r="K9" s="24">
        <v>14081587</v>
      </c>
      <c r="L9" s="24">
        <v>14107777</v>
      </c>
      <c r="M9" s="24">
        <v>14122886</v>
      </c>
      <c r="N9" s="24">
        <v>14278350</v>
      </c>
      <c r="O9" s="24">
        <v>13912019</v>
      </c>
      <c r="P9" s="24">
        <v>14120000</v>
      </c>
      <c r="Q9" s="24">
        <v>14043321</v>
      </c>
      <c r="R9" s="24">
        <v>14228710</v>
      </c>
      <c r="S9" s="24">
        <v>14064476</v>
      </c>
      <c r="T9" s="24">
        <v>13961161</v>
      </c>
      <c r="U9" s="24">
        <v>13936678</v>
      </c>
      <c r="V9" s="24"/>
      <c r="W9" s="24"/>
      <c r="X9" s="24"/>
    </row>
    <row r="10" spans="1:24">
      <c r="A10" s="11" t="s">
        <v>16</v>
      </c>
      <c r="B10" s="24">
        <v>19233663</v>
      </c>
      <c r="C10" s="24">
        <v>19298019</v>
      </c>
      <c r="D10" s="24">
        <v>19476434</v>
      </c>
      <c r="E10" s="24">
        <v>18859696</v>
      </c>
      <c r="F10" s="24">
        <v>18520747</v>
      </c>
      <c r="G10" s="24">
        <v>19602226</v>
      </c>
      <c r="H10" s="24">
        <v>19523421</v>
      </c>
      <c r="I10" s="24">
        <v>19573498</v>
      </c>
      <c r="J10" s="24">
        <v>19310716</v>
      </c>
      <c r="K10" s="24">
        <v>19883131</v>
      </c>
      <c r="L10" s="24">
        <v>19756666</v>
      </c>
      <c r="M10" s="24">
        <v>19774520</v>
      </c>
      <c r="N10" s="24">
        <v>19828178</v>
      </c>
      <c r="O10" s="24">
        <v>19459763</v>
      </c>
      <c r="P10" s="24">
        <v>19391764</v>
      </c>
      <c r="Q10" s="24">
        <v>19594464</v>
      </c>
      <c r="R10" s="24">
        <v>19531630</v>
      </c>
      <c r="S10" s="24">
        <v>19256690</v>
      </c>
      <c r="T10" s="24">
        <v>19270709</v>
      </c>
      <c r="U10" s="24">
        <v>19240143</v>
      </c>
      <c r="V10" s="24"/>
      <c r="W10" s="24"/>
      <c r="X10" s="24"/>
    </row>
    <row r="11" spans="1:24">
      <c r="A11" s="11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</row>
    <row r="12" spans="1:24">
      <c r="A12" s="11" t="s">
        <v>17</v>
      </c>
      <c r="B12" s="24">
        <v>7264356</v>
      </c>
      <c r="C12" s="24">
        <v>7220792</v>
      </c>
      <c r="D12" s="24">
        <v>7285860</v>
      </c>
      <c r="E12" s="24">
        <v>8602307</v>
      </c>
      <c r="F12" s="24">
        <v>8430262</v>
      </c>
      <c r="G12" s="24">
        <v>7968623</v>
      </c>
      <c r="H12" s="24">
        <v>8171079</v>
      </c>
      <c r="I12" s="24">
        <v>8496894</v>
      </c>
      <c r="J12" s="24">
        <v>8937283</v>
      </c>
      <c r="K12" s="24">
        <v>9050716</v>
      </c>
      <c r="L12" s="24">
        <v>9250000</v>
      </c>
      <c r="M12" s="24">
        <v>9509582</v>
      </c>
      <c r="N12" s="24">
        <v>9579610</v>
      </c>
      <c r="O12" s="24">
        <v>11854752</v>
      </c>
      <c r="P12" s="24">
        <v>12522352</v>
      </c>
      <c r="Q12" s="24">
        <v>12453670</v>
      </c>
      <c r="R12" s="24">
        <v>12491484</v>
      </c>
      <c r="S12" s="24">
        <v>12571776</v>
      </c>
      <c r="T12" s="24">
        <v>12547419</v>
      </c>
      <c r="U12" s="24">
        <v>12403823</v>
      </c>
      <c r="V12" s="24"/>
      <c r="W12" s="24"/>
      <c r="X12" s="24"/>
    </row>
    <row r="13" spans="1:24">
      <c r="A13" s="11" t="s">
        <v>18</v>
      </c>
      <c r="B13" s="24">
        <v>35785148</v>
      </c>
      <c r="C13" s="24">
        <v>35599009</v>
      </c>
      <c r="D13" s="24">
        <v>36137295</v>
      </c>
      <c r="E13" s="24">
        <v>37664240</v>
      </c>
      <c r="F13" s="24">
        <v>36982038</v>
      </c>
      <c r="G13" s="24">
        <v>36981781</v>
      </c>
      <c r="H13" s="24">
        <v>36774949</v>
      </c>
      <c r="I13" s="24">
        <v>37143892</v>
      </c>
      <c r="J13" s="24">
        <v>36641056</v>
      </c>
      <c r="K13" s="24">
        <v>37300992</v>
      </c>
      <c r="L13" s="24">
        <v>37741111</v>
      </c>
      <c r="M13" s="24">
        <v>38003382</v>
      </c>
      <c r="N13" s="24">
        <v>38623138</v>
      </c>
      <c r="O13" s="24">
        <v>39630233</v>
      </c>
      <c r="P13" s="24">
        <v>39868235</v>
      </c>
      <c r="Q13" s="24">
        <v>39541516</v>
      </c>
      <c r="R13" s="24">
        <v>39846715</v>
      </c>
      <c r="S13" s="24">
        <v>40287104</v>
      </c>
      <c r="T13" s="24">
        <v>40533870</v>
      </c>
      <c r="U13" s="24">
        <v>40308243</v>
      </c>
      <c r="V13" s="24"/>
      <c r="W13" s="24"/>
      <c r="X13" s="24"/>
    </row>
    <row r="14" spans="1:24">
      <c r="A14" s="11" t="s">
        <v>19</v>
      </c>
      <c r="B14" s="24">
        <v>22595049</v>
      </c>
      <c r="C14" s="24">
        <v>22857425</v>
      </c>
      <c r="D14" s="24">
        <v>22757172</v>
      </c>
      <c r="E14" s="24">
        <v>24018702</v>
      </c>
      <c r="F14" s="24">
        <v>23581512</v>
      </c>
      <c r="G14" s="24">
        <v>23491902</v>
      </c>
      <c r="H14" s="24">
        <v>23664969</v>
      </c>
      <c r="I14" s="24">
        <v>23955486</v>
      </c>
      <c r="J14" s="24">
        <v>24820830</v>
      </c>
      <c r="K14" s="24">
        <v>25327453</v>
      </c>
      <c r="L14" s="24">
        <v>26052222</v>
      </c>
      <c r="M14" s="24">
        <v>26333709</v>
      </c>
      <c r="N14" s="24">
        <v>26293241</v>
      </c>
      <c r="O14" s="24">
        <v>27965700</v>
      </c>
      <c r="P14" s="24">
        <v>26862352</v>
      </c>
      <c r="Q14" s="24">
        <v>28111913</v>
      </c>
      <c r="R14" s="24">
        <v>28603406</v>
      </c>
      <c r="S14" s="24">
        <v>28963503</v>
      </c>
      <c r="T14" s="24">
        <v>28719677</v>
      </c>
      <c r="U14" s="24">
        <v>29124253</v>
      </c>
      <c r="V14" s="24"/>
      <c r="W14" s="24"/>
      <c r="X14" s="24"/>
    </row>
    <row r="15" spans="1:24">
      <c r="A15" s="11" t="s">
        <v>20</v>
      </c>
      <c r="B15" s="24">
        <v>31646534</v>
      </c>
      <c r="C15" s="24">
        <v>31777227</v>
      </c>
      <c r="D15" s="24">
        <v>32048155</v>
      </c>
      <c r="E15" s="24">
        <v>30887539</v>
      </c>
      <c r="F15" s="24">
        <v>30437820</v>
      </c>
      <c r="G15" s="24">
        <v>32684210</v>
      </c>
      <c r="H15" s="24">
        <v>32834012</v>
      </c>
      <c r="I15" s="24">
        <v>33238095</v>
      </c>
      <c r="J15" s="24">
        <v>30690641</v>
      </c>
      <c r="K15" s="24">
        <v>31921719</v>
      </c>
      <c r="L15" s="24">
        <v>31625555</v>
      </c>
      <c r="M15" s="24">
        <v>32095828</v>
      </c>
      <c r="N15" s="24">
        <v>32296678</v>
      </c>
      <c r="O15" s="24">
        <v>30246000</v>
      </c>
      <c r="P15" s="24">
        <v>30392941</v>
      </c>
      <c r="Q15" s="24">
        <v>31326113</v>
      </c>
      <c r="R15" s="24">
        <v>30879562</v>
      </c>
      <c r="S15" s="24">
        <v>30321167</v>
      </c>
      <c r="T15" s="24">
        <v>31571548</v>
      </c>
      <c r="U15" s="24">
        <v>31931899</v>
      </c>
      <c r="V15" s="24"/>
      <c r="W15" s="24"/>
      <c r="X15" s="24"/>
    </row>
    <row r="16" spans="1:24">
      <c r="A16" s="11" t="s">
        <v>21</v>
      </c>
      <c r="B16" s="24">
        <v>16707920</v>
      </c>
      <c r="C16" s="24">
        <v>16530693</v>
      </c>
      <c r="D16" s="24">
        <v>16832991</v>
      </c>
      <c r="E16" s="24">
        <v>17889464</v>
      </c>
      <c r="F16" s="24">
        <v>17568535</v>
      </c>
      <c r="G16" s="24">
        <v>17968623</v>
      </c>
      <c r="H16" s="24">
        <v>17837067</v>
      </c>
      <c r="I16" s="24">
        <v>17694616</v>
      </c>
      <c r="J16" s="24">
        <v>17755018</v>
      </c>
      <c r="K16" s="24">
        <v>18294377</v>
      </c>
      <c r="L16" s="24">
        <v>18292222</v>
      </c>
      <c r="M16" s="24">
        <v>18423900</v>
      </c>
      <c r="N16" s="24">
        <v>18382588</v>
      </c>
      <c r="O16" s="24">
        <v>18981060</v>
      </c>
      <c r="P16" s="24">
        <v>18447058</v>
      </c>
      <c r="Q16" s="24">
        <v>18992779</v>
      </c>
      <c r="R16" s="24">
        <v>19665450</v>
      </c>
      <c r="S16" s="24">
        <v>19889294</v>
      </c>
      <c r="T16" s="24">
        <v>19766967</v>
      </c>
      <c r="U16" s="24">
        <v>19761051</v>
      </c>
      <c r="V16" s="24"/>
      <c r="W16" s="24"/>
      <c r="X16" s="24"/>
    </row>
    <row r="17" spans="1:24">
      <c r="A17" s="11" t="s">
        <v>22</v>
      </c>
      <c r="B17" s="24">
        <v>21465346</v>
      </c>
      <c r="C17" s="24">
        <v>21361386</v>
      </c>
      <c r="D17" s="24">
        <v>21759221</v>
      </c>
      <c r="E17" s="24">
        <v>21526156</v>
      </c>
      <c r="F17" s="24">
        <v>20990240</v>
      </c>
      <c r="G17" s="24">
        <v>21631578</v>
      </c>
      <c r="H17" s="24">
        <v>21788187</v>
      </c>
      <c r="I17" s="24">
        <v>22139751</v>
      </c>
      <c r="J17" s="24">
        <v>21920679</v>
      </c>
      <c r="K17" s="24">
        <v>22640573</v>
      </c>
      <c r="L17" s="24">
        <v>22694444</v>
      </c>
      <c r="M17" s="24">
        <v>22833145</v>
      </c>
      <c r="N17" s="24">
        <v>22966781</v>
      </c>
      <c r="O17" s="24">
        <v>23084646</v>
      </c>
      <c r="P17" s="24">
        <v>23752941</v>
      </c>
      <c r="Q17" s="24">
        <v>23442839</v>
      </c>
      <c r="R17" s="24">
        <v>23628953</v>
      </c>
      <c r="S17" s="24">
        <v>23811435</v>
      </c>
      <c r="T17" s="24">
        <v>23601290</v>
      </c>
      <c r="U17" s="24">
        <v>23977299</v>
      </c>
      <c r="V17" s="24"/>
      <c r="W17" s="24"/>
      <c r="X17" s="24"/>
    </row>
    <row r="18" spans="1:24">
      <c r="A18" s="11" t="s">
        <v>23</v>
      </c>
      <c r="B18" s="24">
        <v>44441584</v>
      </c>
      <c r="C18" s="24">
        <v>44231683</v>
      </c>
      <c r="D18" s="24">
        <v>44682377</v>
      </c>
      <c r="E18" s="24">
        <v>45962820</v>
      </c>
      <c r="F18" s="24">
        <v>45542060</v>
      </c>
      <c r="G18" s="24">
        <v>45922064</v>
      </c>
      <c r="H18" s="24">
        <v>45807535</v>
      </c>
      <c r="I18" s="24">
        <v>46256728</v>
      </c>
      <c r="J18" s="24">
        <v>46186792</v>
      </c>
      <c r="K18" s="24">
        <v>47589856</v>
      </c>
      <c r="L18" s="24">
        <v>47814444</v>
      </c>
      <c r="M18" s="24">
        <v>47928974</v>
      </c>
      <c r="N18" s="24">
        <v>48580756</v>
      </c>
      <c r="O18" s="24">
        <v>48447100</v>
      </c>
      <c r="P18" s="24">
        <v>48610588</v>
      </c>
      <c r="Q18" s="24">
        <v>49135980</v>
      </c>
      <c r="R18" s="24">
        <v>49790754</v>
      </c>
      <c r="S18" s="24">
        <v>49784671</v>
      </c>
      <c r="T18" s="24">
        <v>50454838</v>
      </c>
      <c r="U18" s="24">
        <v>50870967</v>
      </c>
      <c r="V18" s="24"/>
      <c r="W18" s="24"/>
      <c r="X18" s="24"/>
    </row>
    <row r="19" spans="1:24">
      <c r="A19" s="11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</row>
    <row r="20" spans="1:24">
      <c r="A20" s="11" t="s">
        <v>24</v>
      </c>
      <c r="B20" s="24">
        <v>47572277</v>
      </c>
      <c r="C20" s="24">
        <v>47651485</v>
      </c>
      <c r="D20" s="24">
        <v>48017418</v>
      </c>
      <c r="E20" s="24">
        <v>47754113</v>
      </c>
      <c r="F20" s="24">
        <v>47046599</v>
      </c>
      <c r="G20" s="24">
        <v>48876518</v>
      </c>
      <c r="H20" s="24">
        <v>50100814</v>
      </c>
      <c r="I20" s="24">
        <v>50274327</v>
      </c>
      <c r="J20" s="24">
        <v>47593433</v>
      </c>
      <c r="K20" s="24">
        <v>48722160</v>
      </c>
      <c r="L20" s="24">
        <v>48941111</v>
      </c>
      <c r="M20" s="24">
        <v>48397970</v>
      </c>
      <c r="N20" s="24">
        <v>48695303</v>
      </c>
      <c r="O20" s="24">
        <v>47489938</v>
      </c>
      <c r="P20" s="24">
        <v>48957647</v>
      </c>
      <c r="Q20" s="24">
        <v>47749699</v>
      </c>
      <c r="R20" s="24">
        <v>47512165</v>
      </c>
      <c r="S20" s="24">
        <v>47913625</v>
      </c>
      <c r="T20" s="24">
        <v>48548129</v>
      </c>
      <c r="U20" s="24">
        <v>48786140</v>
      </c>
      <c r="V20" s="24"/>
      <c r="W20" s="24"/>
      <c r="X20" s="24"/>
    </row>
    <row r="21" spans="1:24">
      <c r="A21" s="11" t="s">
        <v>25</v>
      </c>
      <c r="B21" s="24">
        <v>30351485</v>
      </c>
      <c r="C21" s="24">
        <v>30124752</v>
      </c>
      <c r="D21" s="24">
        <v>30382172</v>
      </c>
      <c r="E21" s="24">
        <v>31381203</v>
      </c>
      <c r="F21" s="24">
        <v>30982241</v>
      </c>
      <c r="G21" s="24">
        <v>30661943</v>
      </c>
      <c r="H21" s="24">
        <v>30841140</v>
      </c>
      <c r="I21" s="24">
        <v>30696687</v>
      </c>
      <c r="J21" s="24">
        <v>29018113</v>
      </c>
      <c r="K21" s="24">
        <v>29611907</v>
      </c>
      <c r="L21" s="24">
        <v>29600000</v>
      </c>
      <c r="M21" s="24">
        <v>29554678</v>
      </c>
      <c r="N21" s="24">
        <v>29862542</v>
      </c>
      <c r="O21" s="24">
        <v>29392920</v>
      </c>
      <c r="P21" s="24">
        <v>29734117</v>
      </c>
      <c r="Q21" s="24">
        <v>29557160</v>
      </c>
      <c r="R21" s="24">
        <v>29588807</v>
      </c>
      <c r="S21" s="24">
        <v>29754257</v>
      </c>
      <c r="T21" s="24">
        <v>29923032</v>
      </c>
      <c r="U21" s="24">
        <v>30289127</v>
      </c>
      <c r="V21" s="24"/>
      <c r="W21" s="24"/>
      <c r="X21" s="24"/>
    </row>
    <row r="22" spans="1:24">
      <c r="A22" s="11" t="s">
        <v>26</v>
      </c>
      <c r="B22" s="24">
        <v>33367326</v>
      </c>
      <c r="C22" s="24">
        <v>33579207</v>
      </c>
      <c r="D22" s="24">
        <v>33656762</v>
      </c>
      <c r="E22" s="24">
        <v>33589551</v>
      </c>
      <c r="F22" s="24">
        <v>32993704</v>
      </c>
      <c r="G22" s="24">
        <v>34385627</v>
      </c>
      <c r="H22" s="24">
        <v>34706720</v>
      </c>
      <c r="I22" s="24">
        <v>34524844</v>
      </c>
      <c r="J22" s="24">
        <v>32319698</v>
      </c>
      <c r="K22" s="24">
        <v>33024255</v>
      </c>
      <c r="L22" s="24">
        <v>33416666</v>
      </c>
      <c r="M22" s="24">
        <v>33609921</v>
      </c>
      <c r="N22" s="24">
        <v>33318442</v>
      </c>
      <c r="O22" s="24">
        <v>33768248</v>
      </c>
      <c r="P22" s="24">
        <v>34109411</v>
      </c>
      <c r="Q22" s="24">
        <v>34388688</v>
      </c>
      <c r="R22" s="24">
        <v>34518248</v>
      </c>
      <c r="S22" s="24">
        <v>34690997</v>
      </c>
      <c r="T22" s="24">
        <v>34568516</v>
      </c>
      <c r="U22" s="24">
        <v>34989247</v>
      </c>
      <c r="V22" s="24"/>
      <c r="W22" s="24"/>
      <c r="X22" s="24"/>
    </row>
    <row r="23" spans="1:24">
      <c r="A23" s="11" t="s">
        <v>27</v>
      </c>
      <c r="B23" s="24">
        <v>36120792</v>
      </c>
      <c r="C23" s="24">
        <v>35896039</v>
      </c>
      <c r="D23" s="24">
        <v>36439549</v>
      </c>
      <c r="E23" s="24">
        <v>44019842</v>
      </c>
      <c r="F23" s="24">
        <v>43381720</v>
      </c>
      <c r="G23" s="24">
        <v>40144736</v>
      </c>
      <c r="H23" s="24">
        <v>40430753</v>
      </c>
      <c r="I23" s="24">
        <v>41260869</v>
      </c>
      <c r="J23" s="24">
        <v>46516150</v>
      </c>
      <c r="K23" s="24">
        <v>48269018</v>
      </c>
      <c r="L23" s="24">
        <v>48451111</v>
      </c>
      <c r="M23" s="24">
        <v>49515219</v>
      </c>
      <c r="N23" s="24">
        <v>49209621</v>
      </c>
      <c r="O23" s="24">
        <v>54397408</v>
      </c>
      <c r="P23" s="24">
        <v>56529411</v>
      </c>
      <c r="Q23" s="24">
        <v>56182912</v>
      </c>
      <c r="R23" s="24">
        <v>56183698</v>
      </c>
      <c r="S23" s="24">
        <v>58419708</v>
      </c>
      <c r="T23" s="24">
        <v>57679548</v>
      </c>
      <c r="U23" s="24">
        <v>58385902</v>
      </c>
      <c r="V23" s="24"/>
      <c r="W23" s="24"/>
      <c r="X23" s="24"/>
    </row>
    <row r="24" spans="1:24">
      <c r="A24" s="11" t="s">
        <v>28</v>
      </c>
      <c r="B24" s="24">
        <v>24401980</v>
      </c>
      <c r="C24" s="24">
        <v>24042574</v>
      </c>
      <c r="D24" s="24">
        <v>24297131</v>
      </c>
      <c r="E24" s="24">
        <v>23783172</v>
      </c>
      <c r="F24" s="24">
        <v>23239376</v>
      </c>
      <c r="G24" s="24">
        <v>25009109</v>
      </c>
      <c r="H24" s="24">
        <v>25405295</v>
      </c>
      <c r="I24" s="24">
        <v>25430641</v>
      </c>
      <c r="J24" s="24">
        <v>24131320</v>
      </c>
      <c r="K24" s="24">
        <v>24923925</v>
      </c>
      <c r="L24" s="24">
        <v>25130000</v>
      </c>
      <c r="M24" s="24">
        <v>25454340</v>
      </c>
      <c r="N24" s="24">
        <v>25820160</v>
      </c>
      <c r="O24" s="24">
        <v>23926200</v>
      </c>
      <c r="P24" s="24">
        <v>24452941</v>
      </c>
      <c r="Q24" s="24">
        <v>24379061</v>
      </c>
      <c r="R24" s="24">
        <v>24759124</v>
      </c>
      <c r="S24" s="24">
        <v>24821167</v>
      </c>
      <c r="T24" s="24">
        <v>24752838</v>
      </c>
      <c r="U24" s="24">
        <v>25281959</v>
      </c>
      <c r="V24" s="24"/>
      <c r="W24" s="24"/>
      <c r="X24" s="24"/>
    </row>
    <row r="25" spans="1:24">
      <c r="A25" s="11" t="s">
        <v>29</v>
      </c>
      <c r="B25" s="24">
        <v>3888118</v>
      </c>
      <c r="C25" s="24">
        <v>3929702</v>
      </c>
      <c r="D25" s="24">
        <v>3988729</v>
      </c>
      <c r="E25" s="24">
        <v>4118271</v>
      </c>
      <c r="F25" s="24">
        <v>4002445</v>
      </c>
      <c r="G25" s="24">
        <v>4185222</v>
      </c>
      <c r="H25" s="24">
        <v>4294297</v>
      </c>
      <c r="I25" s="24">
        <v>4275362</v>
      </c>
      <c r="J25" s="24">
        <v>4341509</v>
      </c>
      <c r="K25" s="24">
        <v>4443219</v>
      </c>
      <c r="L25" s="24">
        <v>4477777</v>
      </c>
      <c r="M25" s="24">
        <v>4523111</v>
      </c>
      <c r="N25" s="24">
        <v>4643757</v>
      </c>
      <c r="O25" s="24">
        <v>4559933</v>
      </c>
      <c r="P25" s="24">
        <v>4584705</v>
      </c>
      <c r="Q25" s="24">
        <v>4734055</v>
      </c>
      <c r="R25" s="24">
        <v>4743309</v>
      </c>
      <c r="S25" s="24">
        <v>4858880</v>
      </c>
      <c r="T25" s="24">
        <v>4794903</v>
      </c>
      <c r="U25" s="24">
        <v>4848267</v>
      </c>
      <c r="V25" s="24"/>
      <c r="W25" s="24"/>
      <c r="X25" s="24"/>
    </row>
    <row r="26" spans="1:24">
      <c r="A26" s="11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</row>
    <row r="27" spans="1:24">
      <c r="A27" s="11" t="s">
        <v>30</v>
      </c>
      <c r="B27" s="24">
        <v>15592079</v>
      </c>
      <c r="C27" s="24">
        <v>15656435</v>
      </c>
      <c r="D27" s="24">
        <v>15702868</v>
      </c>
      <c r="E27" s="24">
        <v>16047087</v>
      </c>
      <c r="F27" s="24">
        <v>15841429</v>
      </c>
      <c r="G27" s="24">
        <v>15879554</v>
      </c>
      <c r="H27" s="24">
        <v>15911405</v>
      </c>
      <c r="I27" s="24">
        <v>15758799</v>
      </c>
      <c r="J27" s="24">
        <v>14084754</v>
      </c>
      <c r="K27" s="24">
        <v>14517089</v>
      </c>
      <c r="L27" s="24">
        <v>14542222</v>
      </c>
      <c r="M27" s="24">
        <v>14518602</v>
      </c>
      <c r="N27" s="24">
        <v>14528064</v>
      </c>
      <c r="O27" s="24">
        <v>14595900</v>
      </c>
      <c r="P27" s="24">
        <v>14960000</v>
      </c>
      <c r="Q27" s="24">
        <v>14885679</v>
      </c>
      <c r="R27" s="24">
        <v>15199513</v>
      </c>
      <c r="S27" s="24">
        <v>15445255</v>
      </c>
      <c r="T27" s="24">
        <v>15160387</v>
      </c>
      <c r="U27" s="24">
        <v>15522102</v>
      </c>
      <c r="V27" s="24"/>
      <c r="W27" s="24"/>
      <c r="X27" s="24"/>
    </row>
    <row r="28" spans="1:24">
      <c r="A28" s="11" t="s">
        <v>31</v>
      </c>
      <c r="B28" s="24">
        <v>42987128</v>
      </c>
      <c r="C28" s="24">
        <v>42955445</v>
      </c>
      <c r="D28" s="24">
        <v>43664959</v>
      </c>
      <c r="E28" s="24">
        <v>43049397</v>
      </c>
      <c r="F28" s="24">
        <v>42561620</v>
      </c>
      <c r="G28" s="24">
        <v>43495951</v>
      </c>
      <c r="H28" s="24">
        <v>44290224</v>
      </c>
      <c r="I28" s="24">
        <v>44355072</v>
      </c>
      <c r="J28" s="24">
        <v>40904000</v>
      </c>
      <c r="K28" s="24">
        <v>42744211</v>
      </c>
      <c r="L28" s="24">
        <v>42014444</v>
      </c>
      <c r="M28" s="24">
        <v>42098083</v>
      </c>
      <c r="N28" s="24">
        <v>41697594</v>
      </c>
      <c r="O28" s="24">
        <v>40830945</v>
      </c>
      <c r="P28" s="24">
        <v>41334117</v>
      </c>
      <c r="Q28" s="24">
        <v>42469314</v>
      </c>
      <c r="R28" s="24">
        <v>41497566</v>
      </c>
      <c r="S28" s="24">
        <v>40497566</v>
      </c>
      <c r="T28" s="24">
        <v>41385354</v>
      </c>
      <c r="U28" s="24">
        <v>41436081</v>
      </c>
      <c r="V28" s="24"/>
      <c r="W28" s="24"/>
      <c r="X28" s="24"/>
    </row>
    <row r="29" spans="1:24">
      <c r="A29" s="11" t="s">
        <v>32</v>
      </c>
      <c r="B29" s="24">
        <v>18929702</v>
      </c>
      <c r="C29" s="24">
        <v>19091089</v>
      </c>
      <c r="D29" s="24">
        <v>19290983</v>
      </c>
      <c r="E29" s="24">
        <v>18472275</v>
      </c>
      <c r="F29" s="24">
        <v>18464477</v>
      </c>
      <c r="G29" s="24">
        <v>19726720</v>
      </c>
      <c r="H29" s="24">
        <v>20023421</v>
      </c>
      <c r="I29" s="24">
        <v>20259834</v>
      </c>
      <c r="J29" s="24">
        <v>19185056</v>
      </c>
      <c r="K29" s="24">
        <v>19756339</v>
      </c>
      <c r="L29" s="24">
        <v>19875555</v>
      </c>
      <c r="M29" s="24">
        <v>19995490</v>
      </c>
      <c r="N29" s="24">
        <v>20004581</v>
      </c>
      <c r="O29" s="24">
        <v>17951451</v>
      </c>
      <c r="P29" s="24">
        <v>18421176</v>
      </c>
      <c r="Q29" s="24">
        <v>17972322</v>
      </c>
      <c r="R29" s="24">
        <v>18180048</v>
      </c>
      <c r="S29" s="24">
        <v>18012165</v>
      </c>
      <c r="T29" s="24">
        <v>18357935</v>
      </c>
      <c r="U29" s="24">
        <v>18444444</v>
      </c>
      <c r="V29" s="24"/>
      <c r="W29" s="24"/>
      <c r="X29" s="24"/>
    </row>
    <row r="30" spans="1:24">
      <c r="A30" s="11" t="s">
        <v>33</v>
      </c>
      <c r="B30" s="24">
        <v>20878217</v>
      </c>
      <c r="C30" s="24">
        <v>21028712</v>
      </c>
      <c r="D30" s="24">
        <v>21017418</v>
      </c>
      <c r="E30" s="24">
        <v>22471547</v>
      </c>
      <c r="F30" s="24">
        <v>22194343</v>
      </c>
      <c r="G30" s="24">
        <v>22212550</v>
      </c>
      <c r="H30" s="24">
        <v>22784114</v>
      </c>
      <c r="I30" s="24">
        <v>22378881</v>
      </c>
      <c r="J30" s="24">
        <v>22935320</v>
      </c>
      <c r="K30" s="24">
        <v>23587651</v>
      </c>
      <c r="L30" s="24">
        <v>23628888</v>
      </c>
      <c r="M30" s="24">
        <v>24002254</v>
      </c>
      <c r="N30" s="24">
        <v>24064146</v>
      </c>
      <c r="O30" s="24">
        <v>23850000</v>
      </c>
      <c r="P30" s="24">
        <v>23740000</v>
      </c>
      <c r="Q30" s="24">
        <v>24058965</v>
      </c>
      <c r="R30" s="24">
        <v>24384428</v>
      </c>
      <c r="S30" s="24">
        <v>24284671</v>
      </c>
      <c r="T30" s="24">
        <v>24404903</v>
      </c>
      <c r="U30" s="24">
        <v>24235364</v>
      </c>
      <c r="V30" s="24"/>
      <c r="W30" s="24"/>
      <c r="X30" s="24"/>
    </row>
    <row r="31" spans="1:24">
      <c r="A31" s="11" t="s">
        <v>34</v>
      </c>
      <c r="B31" s="24">
        <v>1195049</v>
      </c>
      <c r="C31" s="24">
        <v>1245544</v>
      </c>
      <c r="D31" s="24">
        <v>1251024</v>
      </c>
      <c r="E31" s="24">
        <v>1326939</v>
      </c>
      <c r="F31" s="24">
        <v>1325371</v>
      </c>
      <c r="G31" s="24">
        <v>1271255</v>
      </c>
      <c r="H31" s="24">
        <v>1289205</v>
      </c>
      <c r="I31" s="24">
        <v>1330227</v>
      </c>
      <c r="J31" s="24">
        <v>1369735</v>
      </c>
      <c r="K31" s="24">
        <v>1388092</v>
      </c>
      <c r="L31" s="24">
        <v>1411111</v>
      </c>
      <c r="M31" s="24">
        <v>1412626</v>
      </c>
      <c r="N31" s="24">
        <v>1438717</v>
      </c>
      <c r="O31" s="24">
        <v>1542633</v>
      </c>
      <c r="P31" s="24">
        <v>1557647</v>
      </c>
      <c r="Q31" s="24">
        <v>1534296</v>
      </c>
      <c r="R31" s="24">
        <v>1591240</v>
      </c>
      <c r="S31" s="24">
        <v>1602189</v>
      </c>
      <c r="T31" s="24">
        <v>1652193</v>
      </c>
      <c r="U31" s="24">
        <v>1684587</v>
      </c>
      <c r="V31" s="24"/>
      <c r="W31" s="24"/>
      <c r="X31" s="24"/>
    </row>
    <row r="32" spans="1:24">
      <c r="A32" s="11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</row>
    <row r="33" spans="1:24">
      <c r="A33" s="11" t="s">
        <v>35</v>
      </c>
      <c r="B33" s="24">
        <v>18448514</v>
      </c>
      <c r="C33" s="24">
        <v>18221782</v>
      </c>
      <c r="D33" s="24">
        <v>18669057</v>
      </c>
      <c r="E33" s="24">
        <v>18750000</v>
      </c>
      <c r="F33" s="24">
        <v>18378759</v>
      </c>
      <c r="G33" s="24">
        <v>18883603</v>
      </c>
      <c r="H33" s="24">
        <v>18958248</v>
      </c>
      <c r="I33" s="24">
        <v>19177018</v>
      </c>
      <c r="J33" s="24">
        <v>18766792</v>
      </c>
      <c r="K33" s="24">
        <v>19171995</v>
      </c>
      <c r="L33" s="24">
        <v>19248888</v>
      </c>
      <c r="M33" s="24">
        <v>19428410</v>
      </c>
      <c r="N33" s="24">
        <v>19432989</v>
      </c>
      <c r="O33" s="24">
        <v>19287571</v>
      </c>
      <c r="P33" s="24">
        <v>19305882</v>
      </c>
      <c r="Q33" s="24">
        <v>19486161</v>
      </c>
      <c r="R33" s="24">
        <v>19357664</v>
      </c>
      <c r="S33" s="24">
        <v>19596107</v>
      </c>
      <c r="T33" s="24">
        <v>19254322</v>
      </c>
      <c r="U33" s="24">
        <v>19307048</v>
      </c>
      <c r="V33" s="24"/>
      <c r="W33" s="24"/>
      <c r="X33" s="24"/>
    </row>
    <row r="34" spans="1:24">
      <c r="A34" s="11" t="s">
        <v>36</v>
      </c>
      <c r="B34" s="24">
        <v>12803960</v>
      </c>
      <c r="C34" s="24">
        <v>12912871</v>
      </c>
      <c r="D34" s="24">
        <v>12896516</v>
      </c>
      <c r="E34" s="24">
        <v>13278365</v>
      </c>
      <c r="F34" s="24">
        <v>13021654</v>
      </c>
      <c r="G34" s="24">
        <v>13273279</v>
      </c>
      <c r="H34" s="24">
        <v>13386965</v>
      </c>
      <c r="I34" s="24">
        <v>13555900</v>
      </c>
      <c r="J34" s="24">
        <v>13074339</v>
      </c>
      <c r="K34" s="24">
        <v>13456449</v>
      </c>
      <c r="L34" s="24">
        <v>13513333</v>
      </c>
      <c r="M34" s="24">
        <v>13540022</v>
      </c>
      <c r="N34" s="24">
        <v>13655211</v>
      </c>
      <c r="O34" s="24">
        <v>13064127</v>
      </c>
      <c r="P34" s="24">
        <v>13392941</v>
      </c>
      <c r="Q34" s="24">
        <v>13317689</v>
      </c>
      <c r="R34" s="24">
        <v>13318734</v>
      </c>
      <c r="S34" s="24">
        <v>13481751</v>
      </c>
      <c r="T34" s="24">
        <v>13451612</v>
      </c>
      <c r="U34" s="24">
        <v>13302270</v>
      </c>
      <c r="V34" s="24"/>
      <c r="W34" s="24"/>
      <c r="X34" s="24"/>
    </row>
    <row r="35" spans="1:24">
      <c r="A35" s="11" t="s">
        <v>37</v>
      </c>
      <c r="B35" s="24">
        <v>2510891</v>
      </c>
      <c r="C35" s="24">
        <v>2517821</v>
      </c>
      <c r="D35" s="24">
        <v>2575819</v>
      </c>
      <c r="E35" s="24">
        <v>2678282</v>
      </c>
      <c r="F35" s="24">
        <v>2489590</v>
      </c>
      <c r="G35" s="24">
        <v>2693319</v>
      </c>
      <c r="H35" s="24">
        <v>2714867</v>
      </c>
      <c r="I35" s="24">
        <v>2770186</v>
      </c>
      <c r="J35" s="24">
        <v>2741735</v>
      </c>
      <c r="K35" s="24">
        <v>2825799</v>
      </c>
      <c r="L35" s="24">
        <v>2840000</v>
      </c>
      <c r="M35" s="24">
        <v>2845546</v>
      </c>
      <c r="N35" s="24">
        <v>2843069</v>
      </c>
      <c r="O35" s="24">
        <v>2913792</v>
      </c>
      <c r="P35" s="24">
        <v>2891764</v>
      </c>
      <c r="Q35" s="24">
        <v>2966305</v>
      </c>
      <c r="R35" s="24">
        <v>2954987</v>
      </c>
      <c r="S35" s="24">
        <v>2944038</v>
      </c>
      <c r="T35" s="24">
        <v>3086387</v>
      </c>
      <c r="U35" s="24">
        <v>3063321</v>
      </c>
      <c r="V35" s="24"/>
      <c r="W35" s="24"/>
      <c r="X35" s="24"/>
    </row>
    <row r="36" spans="1:24">
      <c r="A36" s="11" t="s">
        <v>38</v>
      </c>
      <c r="B36" s="24">
        <v>2702970</v>
      </c>
      <c r="C36" s="24">
        <v>2718811</v>
      </c>
      <c r="D36" s="24">
        <v>2741803</v>
      </c>
      <c r="E36" s="24">
        <v>2882275</v>
      </c>
      <c r="F36" s="24">
        <v>2813517</v>
      </c>
      <c r="G36" s="24">
        <v>2892712</v>
      </c>
      <c r="H36" s="24">
        <v>2923625</v>
      </c>
      <c r="I36" s="24">
        <v>2962732</v>
      </c>
      <c r="J36" s="24">
        <v>2998716</v>
      </c>
      <c r="K36" s="24">
        <v>3111356</v>
      </c>
      <c r="L36" s="24">
        <v>3135555</v>
      </c>
      <c r="M36" s="24">
        <v>3175873</v>
      </c>
      <c r="N36" s="24">
        <v>3217640</v>
      </c>
      <c r="O36" s="24">
        <v>3228812</v>
      </c>
      <c r="P36" s="24">
        <v>3382352</v>
      </c>
      <c r="Q36" s="24">
        <v>3321299</v>
      </c>
      <c r="R36" s="24">
        <v>3354014</v>
      </c>
      <c r="S36" s="24">
        <v>3414841</v>
      </c>
      <c r="T36" s="24">
        <v>3449161</v>
      </c>
      <c r="U36" s="24">
        <v>3494623</v>
      </c>
      <c r="V36" s="24"/>
      <c r="W36" s="24"/>
      <c r="X36" s="24"/>
    </row>
    <row r="37" spans="1:24">
      <c r="A37" s="11" t="s">
        <v>39</v>
      </c>
      <c r="B37" s="24">
        <v>8787128</v>
      </c>
      <c r="C37" s="24">
        <v>8792079</v>
      </c>
      <c r="D37" s="24">
        <v>8985655</v>
      </c>
      <c r="E37" s="24">
        <v>9962597</v>
      </c>
      <c r="F37" s="24">
        <v>9552181</v>
      </c>
      <c r="G37" s="24">
        <v>10131578</v>
      </c>
      <c r="H37" s="24">
        <v>9766802</v>
      </c>
      <c r="I37" s="24">
        <v>9943064</v>
      </c>
      <c r="J37" s="24">
        <v>10167396</v>
      </c>
      <c r="K37" s="24">
        <v>10421168</v>
      </c>
      <c r="L37" s="24">
        <v>10663333</v>
      </c>
      <c r="M37" s="24">
        <v>10878241</v>
      </c>
      <c r="N37" s="24">
        <v>11009163</v>
      </c>
      <c r="O37" s="24">
        <v>11190228</v>
      </c>
      <c r="P37" s="24">
        <v>11387058</v>
      </c>
      <c r="Q37" s="24">
        <v>11427196</v>
      </c>
      <c r="R37" s="24">
        <v>11658150</v>
      </c>
      <c r="S37" s="24">
        <v>11791970</v>
      </c>
      <c r="T37" s="24">
        <v>12098451</v>
      </c>
      <c r="U37" s="24">
        <v>12309438</v>
      </c>
      <c r="V37" s="24"/>
      <c r="W37" s="24"/>
      <c r="X37" s="24"/>
    </row>
    <row r="38" spans="1:24"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</row>
    <row r="39" spans="1:24"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</row>
  </sheetData>
  <phoneticPr fontId="6" type="noConversion"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5FB39-CA98-8645-B2D4-042842B02724}">
  <dimension ref="A1:U37"/>
  <sheetViews>
    <sheetView workbookViewId="0">
      <selection activeCell="C52" sqref="C52"/>
    </sheetView>
  </sheetViews>
  <sheetFormatPr baseColWidth="10" defaultRowHeight="16"/>
  <cols>
    <col min="1" max="1" width="19" customWidth="1"/>
  </cols>
  <sheetData>
    <row r="1" spans="1:21" ht="17">
      <c r="A1" s="23" t="s">
        <v>42</v>
      </c>
      <c r="B1" s="23">
        <v>1997</v>
      </c>
      <c r="C1" s="23">
        <v>1998</v>
      </c>
      <c r="D1" s="23">
        <v>1999</v>
      </c>
      <c r="E1" s="23">
        <v>2000</v>
      </c>
      <c r="F1" s="23">
        <v>2001</v>
      </c>
      <c r="G1" s="23">
        <v>2002</v>
      </c>
      <c r="H1" s="23">
        <v>2003</v>
      </c>
      <c r="I1" s="23">
        <v>2004</v>
      </c>
      <c r="J1" s="23">
        <v>2005</v>
      </c>
      <c r="K1" s="23">
        <v>2006</v>
      </c>
      <c r="L1" s="23">
        <v>2007</v>
      </c>
      <c r="M1" s="23">
        <v>2008</v>
      </c>
      <c r="N1" s="23">
        <v>2009</v>
      </c>
      <c r="O1" s="23">
        <v>2010</v>
      </c>
      <c r="P1" s="23">
        <v>2011</v>
      </c>
      <c r="Q1" s="23">
        <v>2012</v>
      </c>
      <c r="R1" s="23">
        <v>2013</v>
      </c>
      <c r="S1" s="23">
        <v>2014</v>
      </c>
      <c r="T1" s="23">
        <v>2015</v>
      </c>
      <c r="U1" s="23">
        <v>2016</v>
      </c>
    </row>
    <row r="2" spans="1:21">
      <c r="A2" s="16" t="s">
        <v>9</v>
      </c>
      <c r="B2">
        <v>4752964</v>
      </c>
      <c r="C2">
        <v>4790654</v>
      </c>
      <c r="D2">
        <v>4709343</v>
      </c>
      <c r="E2">
        <v>5624038</v>
      </c>
      <c r="F2">
        <v>5571243</v>
      </c>
      <c r="G2">
        <v>5715295</v>
      </c>
      <c r="H2">
        <v>5769807</v>
      </c>
      <c r="I2">
        <v>5947647</v>
      </c>
      <c r="J2">
        <v>6140997</v>
      </c>
      <c r="K2">
        <v>6121187</v>
      </c>
      <c r="L2">
        <v>6452488</v>
      </c>
      <c r="M2">
        <v>6792348</v>
      </c>
      <c r="N2">
        <v>7059657</v>
      </c>
      <c r="O2">
        <v>8372176</v>
      </c>
      <c r="P2">
        <v>8530123</v>
      </c>
      <c r="Q2">
        <v>8736849</v>
      </c>
      <c r="R2">
        <v>8969951</v>
      </c>
      <c r="S2">
        <v>8877210</v>
      </c>
      <c r="T2">
        <v>8967907</v>
      </c>
      <c r="U2">
        <v>8620247</v>
      </c>
    </row>
    <row r="3" spans="1:21">
      <c r="A3" s="11" t="s">
        <v>10</v>
      </c>
      <c r="B3">
        <v>3432324</v>
      </c>
      <c r="C3">
        <v>3402257</v>
      </c>
      <c r="D3">
        <v>3445794</v>
      </c>
      <c r="E3">
        <v>3823600</v>
      </c>
      <c r="F3">
        <v>3691657</v>
      </c>
      <c r="G3">
        <v>3741115</v>
      </c>
      <c r="H3">
        <v>3758583</v>
      </c>
      <c r="I3">
        <v>3855650</v>
      </c>
      <c r="J3">
        <v>4061384</v>
      </c>
      <c r="K3">
        <v>4067122</v>
      </c>
      <c r="L3">
        <v>4284137</v>
      </c>
      <c r="M3">
        <v>4326775</v>
      </c>
      <c r="N3">
        <v>4788112</v>
      </c>
      <c r="O3">
        <v>5641750</v>
      </c>
      <c r="P3">
        <v>5387111</v>
      </c>
      <c r="Q3">
        <v>5481597</v>
      </c>
      <c r="R3">
        <v>5684214</v>
      </c>
      <c r="S3">
        <v>5914407</v>
      </c>
      <c r="T3">
        <v>6713879</v>
      </c>
      <c r="U3">
        <v>6465355</v>
      </c>
    </row>
    <row r="4" spans="1:21">
      <c r="A4" s="11" t="s">
        <v>11</v>
      </c>
      <c r="B4">
        <v>22541341</v>
      </c>
      <c r="C4">
        <v>22940163</v>
      </c>
      <c r="D4">
        <v>23239195</v>
      </c>
      <c r="E4">
        <v>24139176</v>
      </c>
      <c r="F4">
        <v>23835932</v>
      </c>
      <c r="G4">
        <v>24320189</v>
      </c>
      <c r="H4">
        <v>25334468</v>
      </c>
      <c r="I4">
        <v>26065541</v>
      </c>
      <c r="J4">
        <v>25491693</v>
      </c>
      <c r="K4">
        <v>26570290</v>
      </c>
      <c r="L4">
        <v>26720621</v>
      </c>
      <c r="M4">
        <v>27217139</v>
      </c>
      <c r="N4">
        <v>27077475</v>
      </c>
      <c r="O4">
        <v>27297772</v>
      </c>
      <c r="P4">
        <v>28017028</v>
      </c>
      <c r="Q4">
        <v>27294907</v>
      </c>
      <c r="R4">
        <v>27604550</v>
      </c>
      <c r="S4">
        <v>27347319</v>
      </c>
      <c r="T4">
        <v>26971821</v>
      </c>
      <c r="U4">
        <v>27072714</v>
      </c>
    </row>
    <row r="5" spans="1:21">
      <c r="A5" s="11" t="s">
        <v>12</v>
      </c>
      <c r="B5">
        <v>10801454</v>
      </c>
      <c r="C5">
        <v>10791748</v>
      </c>
      <c r="D5">
        <v>10971192</v>
      </c>
      <c r="E5">
        <v>11603505</v>
      </c>
      <c r="F5">
        <v>11549190</v>
      </c>
      <c r="G5">
        <v>11774372</v>
      </c>
      <c r="H5">
        <v>11876615</v>
      </c>
      <c r="I5">
        <v>12335571</v>
      </c>
      <c r="J5">
        <v>12071279</v>
      </c>
      <c r="K5">
        <v>12677097</v>
      </c>
      <c r="L5">
        <v>12868870</v>
      </c>
      <c r="M5">
        <v>13009846</v>
      </c>
      <c r="N5">
        <v>13258224</v>
      </c>
      <c r="O5">
        <v>13814593</v>
      </c>
      <c r="P5">
        <v>14067306</v>
      </c>
      <c r="Q5">
        <v>14139144</v>
      </c>
      <c r="R5">
        <v>14278765</v>
      </c>
      <c r="S5">
        <v>14261387</v>
      </c>
      <c r="T5">
        <v>14420976</v>
      </c>
      <c r="U5">
        <v>14435240</v>
      </c>
    </row>
    <row r="6" spans="1:21">
      <c r="A6" s="11" t="s">
        <v>13</v>
      </c>
      <c r="B6">
        <v>8419413</v>
      </c>
      <c r="C6">
        <v>8560928</v>
      </c>
      <c r="D6">
        <v>8741358</v>
      </c>
      <c r="E6">
        <v>9018022</v>
      </c>
      <c r="F6">
        <v>8753930</v>
      </c>
      <c r="G6">
        <v>9006885</v>
      </c>
      <c r="H6">
        <v>9062684</v>
      </c>
      <c r="I6">
        <v>9321641</v>
      </c>
      <c r="J6">
        <v>9146140</v>
      </c>
      <c r="K6">
        <v>9474820</v>
      </c>
      <c r="L6">
        <v>9476580</v>
      </c>
      <c r="M6">
        <v>9707720</v>
      </c>
      <c r="N6">
        <v>9751936</v>
      </c>
      <c r="O6">
        <v>10052415</v>
      </c>
      <c r="P6">
        <v>9849587</v>
      </c>
      <c r="Q6">
        <v>9996393</v>
      </c>
      <c r="R6">
        <v>10115624</v>
      </c>
      <c r="S6">
        <v>9881141</v>
      </c>
      <c r="T6">
        <v>9945840</v>
      </c>
      <c r="U6">
        <v>9917809</v>
      </c>
    </row>
    <row r="7" spans="1:21">
      <c r="A7" s="11"/>
    </row>
    <row r="8" spans="1:21">
      <c r="A8" s="11" t="s">
        <v>14</v>
      </c>
      <c r="B8">
        <v>15417608</v>
      </c>
      <c r="C8">
        <v>15404535</v>
      </c>
      <c r="D8">
        <v>15670979</v>
      </c>
      <c r="E8">
        <v>16097998</v>
      </c>
      <c r="F8">
        <v>15837164</v>
      </c>
      <c r="G8">
        <v>16200822</v>
      </c>
      <c r="H8">
        <v>15995826</v>
      </c>
      <c r="I8">
        <v>16353567</v>
      </c>
      <c r="J8">
        <v>16064678</v>
      </c>
      <c r="K8">
        <v>16793061</v>
      </c>
      <c r="L8">
        <v>16852937</v>
      </c>
      <c r="M8">
        <v>16897539</v>
      </c>
      <c r="N8">
        <v>17163585</v>
      </c>
      <c r="O8">
        <v>17334866</v>
      </c>
      <c r="P8">
        <v>17264573</v>
      </c>
      <c r="Q8">
        <v>17604267</v>
      </c>
      <c r="R8">
        <v>17661904</v>
      </c>
      <c r="S8">
        <v>17330371</v>
      </c>
      <c r="T8">
        <v>16845566</v>
      </c>
      <c r="U8">
        <v>16831752</v>
      </c>
    </row>
    <row r="9" spans="1:21">
      <c r="A9" s="11" t="s">
        <v>15</v>
      </c>
      <c r="B9">
        <v>9816823</v>
      </c>
      <c r="C9">
        <v>9958524</v>
      </c>
      <c r="D9">
        <v>10163680</v>
      </c>
      <c r="E9">
        <v>10502057</v>
      </c>
      <c r="F9">
        <v>10439791</v>
      </c>
      <c r="G9">
        <v>10493044</v>
      </c>
      <c r="H9">
        <v>10593655</v>
      </c>
      <c r="I9">
        <v>10768767</v>
      </c>
      <c r="J9">
        <v>10724264</v>
      </c>
      <c r="K9">
        <v>11070918</v>
      </c>
      <c r="L9">
        <v>11015739</v>
      </c>
      <c r="M9">
        <v>11106574</v>
      </c>
      <c r="N9">
        <v>11271857</v>
      </c>
      <c r="O9">
        <v>11077522</v>
      </c>
      <c r="P9">
        <v>11095230</v>
      </c>
      <c r="Q9">
        <v>11236982</v>
      </c>
      <c r="R9">
        <v>11181446</v>
      </c>
      <c r="S9">
        <v>10915371</v>
      </c>
      <c r="T9">
        <v>10764316</v>
      </c>
      <c r="U9">
        <v>10660997</v>
      </c>
    </row>
    <row r="10" spans="1:21">
      <c r="A10" s="11" t="s">
        <v>16</v>
      </c>
      <c r="B10">
        <v>14136550</v>
      </c>
      <c r="C10">
        <v>14335338</v>
      </c>
      <c r="D10">
        <v>14404916</v>
      </c>
      <c r="E10">
        <v>14273018</v>
      </c>
      <c r="F10">
        <v>14003221</v>
      </c>
      <c r="G10">
        <v>15023914</v>
      </c>
      <c r="H10">
        <v>15133202</v>
      </c>
      <c r="I10">
        <v>15398211</v>
      </c>
      <c r="J10">
        <v>14983280</v>
      </c>
      <c r="K10">
        <v>15494214</v>
      </c>
      <c r="L10">
        <v>15391371</v>
      </c>
      <c r="M10">
        <v>15457965</v>
      </c>
      <c r="N10">
        <v>15665221</v>
      </c>
      <c r="O10">
        <v>15513323</v>
      </c>
      <c r="P10">
        <v>15565151</v>
      </c>
      <c r="Q10">
        <v>15487528</v>
      </c>
      <c r="R10">
        <v>15445236</v>
      </c>
      <c r="S10">
        <v>15216876</v>
      </c>
      <c r="T10">
        <v>15144367</v>
      </c>
      <c r="U10">
        <v>15009291</v>
      </c>
    </row>
    <row r="11" spans="1:21">
      <c r="A11" s="11"/>
    </row>
    <row r="12" spans="1:21">
      <c r="A12" s="11" t="s">
        <v>17</v>
      </c>
      <c r="B12">
        <v>5244287</v>
      </c>
      <c r="C12">
        <v>5246896</v>
      </c>
      <c r="D12">
        <v>5303179</v>
      </c>
      <c r="E12">
        <v>6562214</v>
      </c>
      <c r="F12">
        <v>6226734</v>
      </c>
      <c r="G12">
        <v>6043652</v>
      </c>
      <c r="H12">
        <v>6113682</v>
      </c>
      <c r="I12">
        <v>6441095</v>
      </c>
      <c r="J12">
        <v>7063594</v>
      </c>
      <c r="K12">
        <v>7013278</v>
      </c>
      <c r="L12">
        <v>7195490</v>
      </c>
      <c r="M12">
        <v>7517840</v>
      </c>
      <c r="N12">
        <v>7506895</v>
      </c>
      <c r="O12">
        <v>9632303</v>
      </c>
      <c r="P12">
        <v>10499396</v>
      </c>
      <c r="Q12">
        <v>10277318</v>
      </c>
      <c r="R12">
        <v>9992811</v>
      </c>
      <c r="S12">
        <v>10083670</v>
      </c>
      <c r="T12">
        <v>9766865</v>
      </c>
      <c r="U12">
        <v>9595943</v>
      </c>
    </row>
    <row r="13" spans="1:21">
      <c r="A13" s="11" t="s">
        <v>18</v>
      </c>
      <c r="B13">
        <v>24932033</v>
      </c>
      <c r="C13">
        <v>24670423</v>
      </c>
      <c r="D13">
        <v>25362944</v>
      </c>
      <c r="E13">
        <v>26963156</v>
      </c>
      <c r="F13">
        <v>26160003</v>
      </c>
      <c r="G13">
        <v>26374214</v>
      </c>
      <c r="H13">
        <v>26344283</v>
      </c>
      <c r="I13">
        <v>27096365</v>
      </c>
      <c r="J13">
        <v>26966664</v>
      </c>
      <c r="K13">
        <v>27592661</v>
      </c>
      <c r="L13">
        <v>28150395</v>
      </c>
      <c r="M13">
        <v>28315178</v>
      </c>
      <c r="N13">
        <v>28690409</v>
      </c>
      <c r="O13">
        <v>30159478</v>
      </c>
      <c r="P13">
        <v>30378077</v>
      </c>
      <c r="Q13">
        <v>29790020</v>
      </c>
      <c r="R13">
        <v>29652436</v>
      </c>
      <c r="S13">
        <v>29882321</v>
      </c>
      <c r="T13">
        <v>29893481</v>
      </c>
      <c r="U13">
        <v>29329634</v>
      </c>
    </row>
    <row r="14" spans="1:21">
      <c r="A14" s="11" t="s">
        <v>19</v>
      </c>
      <c r="B14">
        <v>16138174</v>
      </c>
      <c r="C14">
        <v>16467368</v>
      </c>
      <c r="D14">
        <v>16268333</v>
      </c>
      <c r="E14">
        <v>17555269</v>
      </c>
      <c r="F14">
        <v>17084700</v>
      </c>
      <c r="G14">
        <v>17011855</v>
      </c>
      <c r="H14">
        <v>17132296</v>
      </c>
      <c r="I14">
        <v>17872485</v>
      </c>
      <c r="J14">
        <v>18248788</v>
      </c>
      <c r="K14">
        <v>18987661</v>
      </c>
      <c r="L14">
        <v>19463017</v>
      </c>
      <c r="M14">
        <v>19836913</v>
      </c>
      <c r="N14">
        <v>19740169</v>
      </c>
      <c r="O14">
        <v>21659434</v>
      </c>
      <c r="P14">
        <v>21173800</v>
      </c>
      <c r="Q14">
        <v>22183805</v>
      </c>
      <c r="R14">
        <v>22557583</v>
      </c>
      <c r="S14">
        <v>22693047</v>
      </c>
      <c r="T14">
        <v>21775463</v>
      </c>
      <c r="U14">
        <v>21964927</v>
      </c>
    </row>
    <row r="15" spans="1:21">
      <c r="A15" s="11" t="s">
        <v>20</v>
      </c>
      <c r="B15">
        <v>21576465</v>
      </c>
      <c r="C15">
        <v>20919181</v>
      </c>
      <c r="D15">
        <v>21581569</v>
      </c>
      <c r="E15">
        <v>20703917</v>
      </c>
      <c r="F15">
        <v>20579886</v>
      </c>
      <c r="G15">
        <v>22083954</v>
      </c>
      <c r="H15">
        <v>22982026</v>
      </c>
      <c r="I15">
        <v>23196286</v>
      </c>
      <c r="J15">
        <v>20506294</v>
      </c>
      <c r="K15">
        <v>21852460</v>
      </c>
      <c r="L15">
        <v>21703316</v>
      </c>
      <c r="M15">
        <v>22191450</v>
      </c>
      <c r="N15">
        <v>22799428</v>
      </c>
      <c r="O15">
        <v>21728726</v>
      </c>
      <c r="P15">
        <v>21732064</v>
      </c>
      <c r="Q15">
        <v>22421027</v>
      </c>
      <c r="R15">
        <v>21926878</v>
      </c>
      <c r="S15">
        <v>21740206</v>
      </c>
      <c r="T15">
        <v>22430036</v>
      </c>
      <c r="U15">
        <v>22670569</v>
      </c>
    </row>
    <row r="16" spans="1:21">
      <c r="A16" s="11" t="s">
        <v>21</v>
      </c>
      <c r="B16">
        <v>10787116</v>
      </c>
      <c r="C16">
        <v>10817748</v>
      </c>
      <c r="D16">
        <v>11151578</v>
      </c>
      <c r="E16">
        <v>12601092</v>
      </c>
      <c r="F16">
        <v>12240482</v>
      </c>
      <c r="G16">
        <v>12813444</v>
      </c>
      <c r="H16">
        <v>12604805</v>
      </c>
      <c r="I16">
        <v>12779849</v>
      </c>
      <c r="J16">
        <v>12919346</v>
      </c>
      <c r="K16">
        <v>13300243</v>
      </c>
      <c r="L16">
        <v>13227989</v>
      </c>
      <c r="M16">
        <v>13313145</v>
      </c>
      <c r="N16">
        <v>13399353</v>
      </c>
      <c r="O16">
        <v>14548982</v>
      </c>
      <c r="P16">
        <v>14124191</v>
      </c>
      <c r="Q16">
        <v>14185219</v>
      </c>
      <c r="R16">
        <v>14745299</v>
      </c>
      <c r="S16">
        <v>14881667</v>
      </c>
      <c r="T16">
        <v>14513416</v>
      </c>
      <c r="U16">
        <v>14180322</v>
      </c>
    </row>
    <row r="17" spans="1:21">
      <c r="A17" s="11" t="s">
        <v>22</v>
      </c>
      <c r="B17">
        <v>14403238</v>
      </c>
      <c r="C17">
        <v>14071673</v>
      </c>
      <c r="D17">
        <v>14512133</v>
      </c>
      <c r="E17">
        <v>14616245</v>
      </c>
      <c r="F17">
        <v>14154269</v>
      </c>
      <c r="G17">
        <v>14730166</v>
      </c>
      <c r="H17">
        <v>15210650</v>
      </c>
      <c r="I17">
        <v>15584307</v>
      </c>
      <c r="J17">
        <v>14569804</v>
      </c>
      <c r="K17">
        <v>15166228</v>
      </c>
      <c r="L17">
        <v>15523352</v>
      </c>
      <c r="M17">
        <v>15735352</v>
      </c>
      <c r="N17">
        <v>16058460</v>
      </c>
      <c r="O17">
        <v>16280233</v>
      </c>
      <c r="P17">
        <v>16842240</v>
      </c>
      <c r="Q17">
        <v>16502935</v>
      </c>
      <c r="R17">
        <v>16846258</v>
      </c>
      <c r="S17">
        <v>16671053</v>
      </c>
      <c r="T17">
        <v>16395900</v>
      </c>
      <c r="U17">
        <v>16587572</v>
      </c>
    </row>
    <row r="18" spans="1:21">
      <c r="A18" s="11" t="s">
        <v>23</v>
      </c>
      <c r="B18">
        <v>30607472</v>
      </c>
      <c r="C18">
        <v>30832625</v>
      </c>
      <c r="D18">
        <v>31264242</v>
      </c>
      <c r="E18">
        <v>32688161</v>
      </c>
      <c r="F18">
        <v>32504646</v>
      </c>
      <c r="G18">
        <v>33367334</v>
      </c>
      <c r="H18">
        <v>33249816</v>
      </c>
      <c r="I18">
        <v>34071441</v>
      </c>
      <c r="J18">
        <v>34237157</v>
      </c>
      <c r="K18">
        <v>35773367</v>
      </c>
      <c r="L18">
        <v>35787183</v>
      </c>
      <c r="M18">
        <v>35784560</v>
      </c>
      <c r="N18">
        <v>36240211</v>
      </c>
      <c r="O18">
        <v>36054246</v>
      </c>
      <c r="P18">
        <v>35834486</v>
      </c>
      <c r="Q18">
        <v>36040551</v>
      </c>
      <c r="R18">
        <v>36617101</v>
      </c>
      <c r="S18">
        <v>36215717</v>
      </c>
      <c r="T18">
        <v>36321044</v>
      </c>
      <c r="U18">
        <v>36325347</v>
      </c>
    </row>
    <row r="19" spans="1:21">
      <c r="A19" s="11"/>
    </row>
    <row r="20" spans="1:21">
      <c r="A20" s="11" t="s">
        <v>24</v>
      </c>
      <c r="B20">
        <v>31608140</v>
      </c>
      <c r="C20">
        <v>31774083</v>
      </c>
      <c r="D20">
        <v>32067888</v>
      </c>
      <c r="E20">
        <v>32043010</v>
      </c>
      <c r="F20">
        <v>31707963</v>
      </c>
      <c r="G20">
        <v>33584463</v>
      </c>
      <c r="H20">
        <v>34754082</v>
      </c>
      <c r="I20">
        <v>35513581</v>
      </c>
      <c r="J20">
        <v>33614844</v>
      </c>
      <c r="K20">
        <v>34610170</v>
      </c>
      <c r="L20">
        <v>35265223</v>
      </c>
      <c r="M20">
        <v>35007671</v>
      </c>
      <c r="N20">
        <v>35039580</v>
      </c>
      <c r="O20">
        <v>33547192</v>
      </c>
      <c r="P20">
        <v>34498270</v>
      </c>
      <c r="Q20">
        <v>33724673</v>
      </c>
      <c r="R20">
        <v>33404315</v>
      </c>
      <c r="S20">
        <v>33689604</v>
      </c>
      <c r="T20">
        <v>33577230</v>
      </c>
      <c r="U20">
        <v>33728427</v>
      </c>
    </row>
    <row r="21" spans="1:21">
      <c r="A21" s="11" t="s">
        <v>25</v>
      </c>
      <c r="B21">
        <v>20265517</v>
      </c>
      <c r="C21">
        <v>20675476</v>
      </c>
      <c r="D21">
        <v>20562755</v>
      </c>
      <c r="E21">
        <v>22224168</v>
      </c>
      <c r="F21">
        <v>21945103</v>
      </c>
      <c r="G21">
        <v>20883954</v>
      </c>
      <c r="H21">
        <v>21887496</v>
      </c>
      <c r="I21">
        <v>22266771</v>
      </c>
      <c r="J21">
        <v>20876905</v>
      </c>
      <c r="K21">
        <v>21684151</v>
      </c>
      <c r="L21">
        <v>22026041</v>
      </c>
      <c r="M21">
        <v>22221034</v>
      </c>
      <c r="N21">
        <v>22504645</v>
      </c>
      <c r="O21">
        <v>22632548</v>
      </c>
      <c r="P21">
        <v>22474374</v>
      </c>
      <c r="Q21">
        <v>22213690</v>
      </c>
      <c r="R21">
        <v>22235500</v>
      </c>
      <c r="S21">
        <v>21949476</v>
      </c>
      <c r="T21">
        <v>22019354</v>
      </c>
      <c r="U21">
        <v>22094306</v>
      </c>
    </row>
    <row r="22" spans="1:21">
      <c r="A22" s="11" t="s">
        <v>26</v>
      </c>
      <c r="B22">
        <v>22720471</v>
      </c>
      <c r="C22">
        <v>22936083</v>
      </c>
      <c r="D22">
        <v>23166404</v>
      </c>
      <c r="E22">
        <v>23694069</v>
      </c>
      <c r="F22">
        <v>23094550</v>
      </c>
      <c r="G22">
        <v>24435267</v>
      </c>
      <c r="H22">
        <v>24869592</v>
      </c>
      <c r="I22">
        <v>25093825</v>
      </c>
      <c r="J22">
        <v>22998909</v>
      </c>
      <c r="K22">
        <v>23591321</v>
      </c>
      <c r="L22">
        <v>24358186</v>
      </c>
      <c r="M22">
        <v>24474001</v>
      </c>
      <c r="N22">
        <v>23857106</v>
      </c>
      <c r="O22">
        <v>24515522</v>
      </c>
      <c r="P22">
        <v>24428805</v>
      </c>
      <c r="Q22">
        <v>24157255</v>
      </c>
      <c r="R22">
        <v>24563285</v>
      </c>
      <c r="S22">
        <v>24570086</v>
      </c>
      <c r="T22">
        <v>24324522</v>
      </c>
      <c r="U22">
        <v>24460725</v>
      </c>
    </row>
    <row r="23" spans="1:21">
      <c r="A23" s="11" t="s">
        <v>27</v>
      </c>
      <c r="B23">
        <v>23136886</v>
      </c>
      <c r="C23">
        <v>22828279</v>
      </c>
      <c r="D23">
        <v>23438397</v>
      </c>
      <c r="E23">
        <v>30717046</v>
      </c>
      <c r="F23">
        <v>28053061</v>
      </c>
      <c r="G23">
        <v>26915835</v>
      </c>
      <c r="H23">
        <v>26441138</v>
      </c>
      <c r="I23">
        <v>27618664</v>
      </c>
      <c r="J23">
        <v>33120471</v>
      </c>
      <c r="K23">
        <v>35074699</v>
      </c>
      <c r="L23">
        <v>35615518</v>
      </c>
      <c r="M23">
        <v>36626035</v>
      </c>
      <c r="N23">
        <v>36997116</v>
      </c>
      <c r="O23">
        <v>41537860</v>
      </c>
      <c r="P23">
        <v>43082655</v>
      </c>
      <c r="Q23">
        <v>43063078</v>
      </c>
      <c r="R23">
        <v>42742000</v>
      </c>
      <c r="S23">
        <v>43964455</v>
      </c>
      <c r="T23">
        <v>44189319</v>
      </c>
      <c r="U23">
        <v>44120793</v>
      </c>
    </row>
    <row r="24" spans="1:21">
      <c r="A24" s="11" t="s">
        <v>28</v>
      </c>
      <c r="B24">
        <v>15574486</v>
      </c>
      <c r="C24">
        <v>15641341</v>
      </c>
      <c r="D24">
        <v>15753828</v>
      </c>
      <c r="E24">
        <v>15849106</v>
      </c>
      <c r="F24">
        <v>15600808</v>
      </c>
      <c r="G24">
        <v>17328010</v>
      </c>
      <c r="H24">
        <v>17610628</v>
      </c>
      <c r="I24">
        <v>17956689</v>
      </c>
      <c r="J24">
        <v>16095971</v>
      </c>
      <c r="K24">
        <v>17142499</v>
      </c>
      <c r="L24">
        <v>17315994</v>
      </c>
      <c r="M24">
        <v>17510010</v>
      </c>
      <c r="N24">
        <v>17924998</v>
      </c>
      <c r="O24">
        <v>16521041</v>
      </c>
      <c r="P24">
        <v>16749087</v>
      </c>
      <c r="Q24">
        <v>16598430</v>
      </c>
      <c r="R24">
        <v>17142643</v>
      </c>
      <c r="S24">
        <v>17020265</v>
      </c>
      <c r="T24">
        <v>16735971</v>
      </c>
      <c r="U24">
        <v>17432662</v>
      </c>
    </row>
    <row r="25" spans="1:21">
      <c r="A25" s="11" t="s">
        <v>29</v>
      </c>
      <c r="B25">
        <v>2424931</v>
      </c>
      <c r="C25">
        <v>2514387</v>
      </c>
      <c r="D25">
        <v>2587473</v>
      </c>
      <c r="E25">
        <v>2716000</v>
      </c>
      <c r="F25">
        <v>2621693</v>
      </c>
      <c r="G25">
        <v>2790501</v>
      </c>
      <c r="H25">
        <v>2923627</v>
      </c>
      <c r="I25">
        <v>2932155</v>
      </c>
      <c r="J25">
        <v>2942256</v>
      </c>
      <c r="K25">
        <v>3072033</v>
      </c>
      <c r="L25">
        <v>3125018</v>
      </c>
      <c r="M25">
        <v>3144639</v>
      </c>
      <c r="N25">
        <v>3287750</v>
      </c>
      <c r="O25">
        <v>3292271</v>
      </c>
      <c r="P25">
        <v>3355960</v>
      </c>
      <c r="Q25">
        <v>3485421</v>
      </c>
      <c r="R25">
        <v>3467770</v>
      </c>
      <c r="S25">
        <v>3561397</v>
      </c>
      <c r="T25">
        <v>3440000</v>
      </c>
      <c r="U25">
        <v>3491029</v>
      </c>
    </row>
    <row r="26" spans="1:21">
      <c r="A26" s="11"/>
    </row>
    <row r="27" spans="1:21">
      <c r="A27" s="11" t="s">
        <v>30</v>
      </c>
      <c r="B27">
        <v>10666830</v>
      </c>
      <c r="C27">
        <v>10773678</v>
      </c>
      <c r="D27">
        <v>10693380</v>
      </c>
      <c r="E27">
        <v>11260241</v>
      </c>
      <c r="F27">
        <v>11254103</v>
      </c>
      <c r="G27">
        <v>11311159</v>
      </c>
      <c r="H27">
        <v>11456025</v>
      </c>
      <c r="I27">
        <v>10665415</v>
      </c>
      <c r="J27">
        <v>9629065</v>
      </c>
      <c r="K27">
        <v>10031054</v>
      </c>
      <c r="L27">
        <v>10090670</v>
      </c>
      <c r="M27">
        <v>10021785</v>
      </c>
      <c r="N27">
        <v>10174931</v>
      </c>
      <c r="O27">
        <v>10430549</v>
      </c>
      <c r="P27">
        <v>10702167</v>
      </c>
      <c r="Q27">
        <v>10519868</v>
      </c>
      <c r="R27">
        <v>10814275</v>
      </c>
      <c r="S27">
        <v>10907464</v>
      </c>
      <c r="T27">
        <v>10780061</v>
      </c>
      <c r="U27">
        <v>10955956</v>
      </c>
    </row>
    <row r="28" spans="1:21">
      <c r="A28" s="11" t="s">
        <v>31</v>
      </c>
      <c r="B28">
        <v>29541667</v>
      </c>
      <c r="C28">
        <v>29737344</v>
      </c>
      <c r="D28">
        <v>29747550</v>
      </c>
      <c r="E28">
        <v>30091528</v>
      </c>
      <c r="F28">
        <v>29408074</v>
      </c>
      <c r="G28">
        <v>30605611</v>
      </c>
      <c r="H28">
        <v>31577428</v>
      </c>
      <c r="I28">
        <v>31765019</v>
      </c>
      <c r="J28">
        <v>27500694</v>
      </c>
      <c r="K28">
        <v>29411987</v>
      </c>
      <c r="L28">
        <v>29357761</v>
      </c>
      <c r="M28">
        <v>29972656</v>
      </c>
      <c r="N28">
        <v>29436472</v>
      </c>
      <c r="O28">
        <v>29431334</v>
      </c>
      <c r="P28">
        <v>29664142</v>
      </c>
      <c r="Q28">
        <v>30559049</v>
      </c>
      <c r="R28">
        <v>29334978</v>
      </c>
      <c r="S28">
        <v>28265528</v>
      </c>
      <c r="T28">
        <v>29458441</v>
      </c>
      <c r="U28">
        <v>29147300</v>
      </c>
    </row>
    <row r="29" spans="1:21">
      <c r="A29" s="11" t="s">
        <v>32</v>
      </c>
      <c r="B29">
        <v>12330067</v>
      </c>
      <c r="C29">
        <v>12594186</v>
      </c>
      <c r="D29">
        <v>12697747</v>
      </c>
      <c r="E29">
        <v>11807478</v>
      </c>
      <c r="F29">
        <v>11997402</v>
      </c>
      <c r="G29">
        <v>13039128</v>
      </c>
      <c r="H29">
        <v>13319563</v>
      </c>
      <c r="I29">
        <v>13563578</v>
      </c>
      <c r="J29">
        <v>12174854</v>
      </c>
      <c r="K29">
        <v>12773289</v>
      </c>
      <c r="L29">
        <v>12815931</v>
      </c>
      <c r="M29">
        <v>13160016</v>
      </c>
      <c r="N29">
        <v>13389686</v>
      </c>
      <c r="O29">
        <v>11885156</v>
      </c>
      <c r="P29">
        <v>12292387</v>
      </c>
      <c r="Q29">
        <v>12198131</v>
      </c>
      <c r="R29">
        <v>12477280</v>
      </c>
      <c r="S29">
        <v>12370842</v>
      </c>
      <c r="T29">
        <v>12498145</v>
      </c>
      <c r="U29">
        <v>12561212</v>
      </c>
    </row>
    <row r="30" spans="1:21">
      <c r="A30" s="11" t="s">
        <v>33</v>
      </c>
      <c r="B30">
        <v>13894715</v>
      </c>
      <c r="C30">
        <v>14004286</v>
      </c>
      <c r="D30">
        <v>13799403</v>
      </c>
      <c r="E30">
        <v>15276625</v>
      </c>
      <c r="F30">
        <v>14946624</v>
      </c>
      <c r="G30">
        <v>15221674</v>
      </c>
      <c r="H30">
        <v>15570598</v>
      </c>
      <c r="I30">
        <v>15620166</v>
      </c>
      <c r="J30">
        <v>15678388</v>
      </c>
      <c r="K30">
        <v>16459286</v>
      </c>
      <c r="L30">
        <v>16545776</v>
      </c>
      <c r="M30">
        <v>16799292</v>
      </c>
      <c r="N30">
        <v>16821112</v>
      </c>
      <c r="O30">
        <v>17086140</v>
      </c>
      <c r="P30">
        <v>17269163</v>
      </c>
      <c r="Q30">
        <v>17488145</v>
      </c>
      <c r="R30">
        <v>17547584</v>
      </c>
      <c r="S30">
        <v>17563344</v>
      </c>
      <c r="T30">
        <v>17688079</v>
      </c>
      <c r="U30">
        <v>17472091</v>
      </c>
    </row>
    <row r="31" spans="1:21">
      <c r="A31" s="11" t="s">
        <v>34</v>
      </c>
      <c r="B31">
        <v>732263</v>
      </c>
      <c r="C31">
        <v>779200</v>
      </c>
      <c r="D31">
        <v>760327</v>
      </c>
      <c r="E31">
        <v>853221</v>
      </c>
      <c r="F31">
        <v>881451</v>
      </c>
      <c r="G31">
        <v>868293</v>
      </c>
      <c r="H31">
        <v>863543</v>
      </c>
      <c r="I31">
        <v>914910</v>
      </c>
      <c r="J31">
        <v>911401</v>
      </c>
      <c r="K31">
        <v>959369</v>
      </c>
      <c r="L31">
        <v>1010741</v>
      </c>
      <c r="M31">
        <v>1008470</v>
      </c>
      <c r="N31">
        <v>1053708</v>
      </c>
      <c r="O31">
        <v>1088095</v>
      </c>
      <c r="P31">
        <v>1122996</v>
      </c>
      <c r="Q31">
        <v>1111722</v>
      </c>
      <c r="R31">
        <v>1138895</v>
      </c>
      <c r="S31">
        <v>1120921</v>
      </c>
      <c r="T31">
        <v>1168549</v>
      </c>
      <c r="U31">
        <v>1195942</v>
      </c>
    </row>
    <row r="32" spans="1:21">
      <c r="A32" s="11"/>
    </row>
    <row r="33" spans="1:21">
      <c r="A33" s="11" t="s">
        <v>35</v>
      </c>
      <c r="B33">
        <v>12272390</v>
      </c>
      <c r="C33">
        <v>12054401</v>
      </c>
      <c r="D33">
        <v>12429489</v>
      </c>
      <c r="E33">
        <v>12949111</v>
      </c>
      <c r="F33">
        <v>12640949</v>
      </c>
      <c r="G33">
        <v>13150421</v>
      </c>
      <c r="H33">
        <v>13527211</v>
      </c>
      <c r="I33">
        <v>13911350</v>
      </c>
      <c r="J33">
        <v>13477553</v>
      </c>
      <c r="K33">
        <v>13916803</v>
      </c>
      <c r="L33">
        <v>14052478</v>
      </c>
      <c r="M33">
        <v>14370017</v>
      </c>
      <c r="N33">
        <v>14433217</v>
      </c>
      <c r="O33">
        <v>14805990</v>
      </c>
      <c r="P33">
        <v>14766198</v>
      </c>
      <c r="Q33">
        <v>14938664</v>
      </c>
      <c r="R33">
        <v>14534918</v>
      </c>
      <c r="S33">
        <v>14595027</v>
      </c>
      <c r="T33">
        <v>14364112</v>
      </c>
      <c r="U33">
        <v>14369018</v>
      </c>
    </row>
    <row r="34" spans="1:21">
      <c r="A34" s="11" t="s">
        <v>36</v>
      </c>
      <c r="B34">
        <v>8673748</v>
      </c>
      <c r="C34">
        <v>8652866</v>
      </c>
      <c r="D34">
        <v>8648876</v>
      </c>
      <c r="E34">
        <v>9029288</v>
      </c>
      <c r="F34">
        <v>8907469</v>
      </c>
      <c r="G34">
        <v>9230919</v>
      </c>
      <c r="H34">
        <v>9417574</v>
      </c>
      <c r="I34">
        <v>9666094</v>
      </c>
      <c r="J34">
        <v>9069836</v>
      </c>
      <c r="K34">
        <v>9530977</v>
      </c>
      <c r="L34">
        <v>9658174</v>
      </c>
      <c r="M34">
        <v>9640400</v>
      </c>
      <c r="N34">
        <v>9937587</v>
      </c>
      <c r="O34">
        <v>9616351</v>
      </c>
      <c r="P34">
        <v>9940169</v>
      </c>
      <c r="Q34">
        <v>9882843</v>
      </c>
      <c r="R34">
        <v>9882649</v>
      </c>
      <c r="S34">
        <v>10069855</v>
      </c>
      <c r="T34">
        <v>9891975</v>
      </c>
      <c r="U34">
        <v>9721681</v>
      </c>
    </row>
    <row r="35" spans="1:21">
      <c r="A35" s="11" t="s">
        <v>37</v>
      </c>
      <c r="B35">
        <v>1675090</v>
      </c>
      <c r="C35">
        <v>1688310</v>
      </c>
      <c r="D35">
        <v>1728503</v>
      </c>
      <c r="E35">
        <v>1849428</v>
      </c>
      <c r="F35">
        <v>1695315</v>
      </c>
      <c r="G35">
        <v>1851430</v>
      </c>
      <c r="H35">
        <v>1886118</v>
      </c>
      <c r="I35">
        <v>1961396</v>
      </c>
      <c r="J35">
        <v>1916237</v>
      </c>
      <c r="K35">
        <v>1990204</v>
      </c>
      <c r="L35">
        <v>2017554</v>
      </c>
      <c r="M35">
        <v>2032289</v>
      </c>
      <c r="N35">
        <v>2047886</v>
      </c>
      <c r="O35">
        <v>2120657</v>
      </c>
      <c r="P35">
        <v>2125631</v>
      </c>
      <c r="Q35">
        <v>2146880</v>
      </c>
      <c r="R35">
        <v>2155672</v>
      </c>
      <c r="S35">
        <v>2196715</v>
      </c>
      <c r="T35">
        <v>2248075</v>
      </c>
      <c r="U35">
        <v>2237754</v>
      </c>
    </row>
    <row r="36" spans="1:21">
      <c r="A36" s="11" t="s">
        <v>38</v>
      </c>
      <c r="B36">
        <v>1788759</v>
      </c>
      <c r="C36">
        <v>1798134</v>
      </c>
      <c r="D36">
        <v>1831155</v>
      </c>
      <c r="E36">
        <v>1935448</v>
      </c>
      <c r="F36">
        <v>1899531</v>
      </c>
      <c r="G36">
        <v>1982168</v>
      </c>
      <c r="H36">
        <v>1987547</v>
      </c>
      <c r="I36">
        <v>2029749</v>
      </c>
      <c r="J36">
        <v>2041196</v>
      </c>
      <c r="K36">
        <v>2176095</v>
      </c>
      <c r="L36">
        <v>2203912</v>
      </c>
      <c r="M36">
        <v>2243717</v>
      </c>
      <c r="N36">
        <v>2310925</v>
      </c>
      <c r="O36">
        <v>2328296</v>
      </c>
      <c r="P36">
        <v>2489555</v>
      </c>
      <c r="Q36">
        <v>2391335</v>
      </c>
      <c r="R36">
        <v>2437702</v>
      </c>
      <c r="S36">
        <v>2509220</v>
      </c>
      <c r="T36">
        <v>2502153</v>
      </c>
      <c r="U36">
        <v>2553431</v>
      </c>
    </row>
    <row r="37" spans="1:21">
      <c r="A37" s="11" t="s">
        <v>39</v>
      </c>
      <c r="B37">
        <v>5728021</v>
      </c>
      <c r="C37">
        <v>5710138</v>
      </c>
      <c r="D37">
        <v>6127653</v>
      </c>
      <c r="E37">
        <v>6791502</v>
      </c>
      <c r="F37">
        <v>6564046</v>
      </c>
      <c r="G37">
        <v>7000353</v>
      </c>
      <c r="H37">
        <v>6821826</v>
      </c>
      <c r="I37">
        <v>7126038</v>
      </c>
      <c r="J37">
        <v>7114939</v>
      </c>
      <c r="K37">
        <v>7382009</v>
      </c>
      <c r="L37">
        <v>7650568</v>
      </c>
      <c r="M37">
        <v>7819236</v>
      </c>
      <c r="N37">
        <v>7941169</v>
      </c>
      <c r="O37">
        <v>8173342</v>
      </c>
      <c r="P37">
        <v>8363342</v>
      </c>
      <c r="Q37">
        <v>8308792</v>
      </c>
      <c r="R37">
        <v>8487218</v>
      </c>
      <c r="S37">
        <v>8489796</v>
      </c>
      <c r="T37">
        <v>8596120</v>
      </c>
      <c r="U37">
        <v>8646823</v>
      </c>
    </row>
  </sheetData>
  <phoneticPr fontId="6" type="noConversion"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09A73-1EDE-4A48-B079-20195400B95D}">
  <dimension ref="A1:U37"/>
  <sheetViews>
    <sheetView workbookViewId="0">
      <selection activeCell="H30" sqref="H30"/>
    </sheetView>
  </sheetViews>
  <sheetFormatPr baseColWidth="10" defaultRowHeight="16"/>
  <cols>
    <col min="1" max="1" width="19" customWidth="1"/>
  </cols>
  <sheetData>
    <row r="1" spans="1:21" ht="17">
      <c r="A1" s="23" t="s">
        <v>42</v>
      </c>
      <c r="B1" s="23">
        <v>1997</v>
      </c>
      <c r="C1" s="23">
        <v>1998</v>
      </c>
      <c r="D1" s="23">
        <v>1999</v>
      </c>
      <c r="E1" s="23">
        <v>2000</v>
      </c>
      <c r="F1" s="23">
        <v>2001</v>
      </c>
      <c r="G1" s="23">
        <v>2002</v>
      </c>
      <c r="H1" s="23">
        <v>2003</v>
      </c>
      <c r="I1" s="23">
        <v>2004</v>
      </c>
      <c r="J1" s="23">
        <v>2005</v>
      </c>
      <c r="K1" s="23">
        <v>2006</v>
      </c>
      <c r="L1" s="23">
        <v>2007</v>
      </c>
      <c r="M1" s="23">
        <v>2008</v>
      </c>
      <c r="N1" s="23">
        <v>2009</v>
      </c>
      <c r="O1" s="23">
        <v>2010</v>
      </c>
      <c r="P1" s="23">
        <v>2011</v>
      </c>
      <c r="Q1" s="23">
        <v>2012</v>
      </c>
      <c r="R1" s="23">
        <v>2013</v>
      </c>
      <c r="S1" s="23">
        <v>2014</v>
      </c>
      <c r="T1" s="23">
        <v>2015</v>
      </c>
      <c r="U1" s="23">
        <v>2016</v>
      </c>
    </row>
    <row r="2" spans="1:21">
      <c r="A2" s="16" t="s">
        <v>9</v>
      </c>
      <c r="B2" s="24">
        <v>6359405</v>
      </c>
      <c r="C2" s="24">
        <v>6129702</v>
      </c>
      <c r="D2" s="24">
        <v>6248975</v>
      </c>
      <c r="E2" s="24">
        <v>6613389</v>
      </c>
      <c r="F2" s="24">
        <v>6494676</v>
      </c>
      <c r="G2" s="24">
        <v>6542510</v>
      </c>
      <c r="H2" s="24">
        <v>6952138</v>
      </c>
      <c r="I2" s="24">
        <v>7177018</v>
      </c>
      <c r="J2" s="24">
        <v>7581962</v>
      </c>
      <c r="K2" s="24">
        <v>7991179</v>
      </c>
      <c r="L2" s="24">
        <v>8123333</v>
      </c>
      <c r="M2" s="24">
        <v>8211950</v>
      </c>
      <c r="N2" s="24">
        <v>8465063</v>
      </c>
      <c r="O2" s="24">
        <v>9486000</v>
      </c>
      <c r="P2" s="24">
        <v>9941176</v>
      </c>
      <c r="Q2" s="24">
        <v>10126353</v>
      </c>
      <c r="R2" s="24">
        <v>10227493</v>
      </c>
      <c r="S2" s="24">
        <v>10681265</v>
      </c>
      <c r="T2" s="10">
        <v>10342903</v>
      </c>
      <c r="U2" s="10">
        <v>10523297</v>
      </c>
    </row>
    <row r="3" spans="1:21">
      <c r="A3" s="11" t="s">
        <v>10</v>
      </c>
      <c r="B3" s="24">
        <v>4787128</v>
      </c>
      <c r="C3" s="24">
        <v>4770297</v>
      </c>
      <c r="D3" s="24">
        <v>4851434</v>
      </c>
      <c r="E3" s="24">
        <v>4907103</v>
      </c>
      <c r="F3" s="24">
        <v>4832356</v>
      </c>
      <c r="G3" s="24">
        <v>5073886</v>
      </c>
      <c r="H3" s="24">
        <v>5135437</v>
      </c>
      <c r="I3" s="24">
        <v>5150103</v>
      </c>
      <c r="J3" s="24">
        <v>5188830</v>
      </c>
      <c r="K3" s="24">
        <v>5431091</v>
      </c>
      <c r="L3" s="24">
        <v>5488888</v>
      </c>
      <c r="M3" s="24">
        <v>5782412</v>
      </c>
      <c r="N3" s="24">
        <v>5927835</v>
      </c>
      <c r="O3" s="24">
        <v>6031366</v>
      </c>
      <c r="P3" s="24">
        <v>6849411</v>
      </c>
      <c r="Q3" s="24">
        <v>7144404</v>
      </c>
      <c r="R3" s="24">
        <v>7431873</v>
      </c>
      <c r="S3" s="24">
        <v>7600973</v>
      </c>
      <c r="T3" s="10">
        <v>7005935</v>
      </c>
      <c r="U3" s="10">
        <v>7270011</v>
      </c>
    </row>
    <row r="4" spans="1:21">
      <c r="A4" s="11" t="s">
        <v>11</v>
      </c>
      <c r="B4" s="24">
        <v>32395049</v>
      </c>
      <c r="C4" s="24">
        <v>32418811</v>
      </c>
      <c r="D4" s="24">
        <v>32588114</v>
      </c>
      <c r="E4" s="24">
        <v>33112387</v>
      </c>
      <c r="F4" s="24">
        <v>32748086</v>
      </c>
      <c r="G4" s="24">
        <v>33109311</v>
      </c>
      <c r="H4" s="24">
        <v>33201629</v>
      </c>
      <c r="I4" s="24">
        <v>33446169</v>
      </c>
      <c r="J4" s="24">
        <v>34064528</v>
      </c>
      <c r="K4" s="24">
        <v>34724366</v>
      </c>
      <c r="L4" s="24">
        <v>34634444</v>
      </c>
      <c r="M4" s="24">
        <v>34812852</v>
      </c>
      <c r="N4" s="24">
        <v>35019473</v>
      </c>
      <c r="O4" s="24">
        <v>35423899</v>
      </c>
      <c r="P4" s="24">
        <v>35032941</v>
      </c>
      <c r="Q4" s="24">
        <v>35762936</v>
      </c>
      <c r="R4" s="24">
        <v>35826034</v>
      </c>
      <c r="S4" s="24">
        <v>36177615</v>
      </c>
      <c r="T4" s="10">
        <v>36878967</v>
      </c>
      <c r="U4" s="10">
        <v>36640382</v>
      </c>
    </row>
    <row r="5" spans="1:21">
      <c r="A5" s="11" t="s">
        <v>12</v>
      </c>
      <c r="B5" s="24">
        <v>15369306</v>
      </c>
      <c r="C5" s="24">
        <v>15484158</v>
      </c>
      <c r="D5" s="24">
        <v>15570696</v>
      </c>
      <c r="E5" s="24">
        <v>15906020</v>
      </c>
      <c r="F5" s="24">
        <v>15670484</v>
      </c>
      <c r="G5" s="24">
        <v>15935222</v>
      </c>
      <c r="H5" s="24">
        <v>16172097</v>
      </c>
      <c r="I5" s="24">
        <v>16302277</v>
      </c>
      <c r="J5" s="24">
        <v>16513358</v>
      </c>
      <c r="K5" s="24">
        <v>16996692</v>
      </c>
      <c r="L5" s="24">
        <v>16933333</v>
      </c>
      <c r="M5" s="24">
        <v>17099210</v>
      </c>
      <c r="N5" s="24">
        <v>17038946</v>
      </c>
      <c r="O5" s="24">
        <v>17373343</v>
      </c>
      <c r="P5" s="24">
        <v>17623529</v>
      </c>
      <c r="Q5" s="24">
        <v>17732851</v>
      </c>
      <c r="R5" s="24">
        <v>17732360</v>
      </c>
      <c r="S5" s="24">
        <v>18015815</v>
      </c>
      <c r="T5" s="10">
        <v>17707161</v>
      </c>
      <c r="U5" s="10">
        <v>17923536</v>
      </c>
    </row>
    <row r="6" spans="1:21">
      <c r="A6" s="11" t="s">
        <v>13</v>
      </c>
      <c r="B6" s="24">
        <v>11380198</v>
      </c>
      <c r="C6" s="24">
        <v>11468316</v>
      </c>
      <c r="D6" s="24">
        <v>11468237</v>
      </c>
      <c r="E6" s="24">
        <v>11468842</v>
      </c>
      <c r="F6" s="24">
        <v>11261732</v>
      </c>
      <c r="G6" s="24">
        <v>11597165</v>
      </c>
      <c r="H6" s="24">
        <v>11715885</v>
      </c>
      <c r="I6" s="24">
        <v>11689440</v>
      </c>
      <c r="J6" s="24">
        <v>11647094</v>
      </c>
      <c r="K6" s="24">
        <v>11984564</v>
      </c>
      <c r="L6" s="24">
        <v>12072222</v>
      </c>
      <c r="M6" s="24">
        <v>11985343</v>
      </c>
      <c r="N6" s="24">
        <v>12012600</v>
      </c>
      <c r="O6" s="24">
        <v>11874962</v>
      </c>
      <c r="P6" s="24">
        <v>12544705</v>
      </c>
      <c r="Q6" s="24">
        <v>12228640</v>
      </c>
      <c r="R6" s="24">
        <v>12060827</v>
      </c>
      <c r="S6" s="24">
        <v>12333333</v>
      </c>
      <c r="T6" s="10">
        <v>12321483</v>
      </c>
      <c r="U6" s="10">
        <v>12498207</v>
      </c>
    </row>
    <row r="7" spans="1:21">
      <c r="A7" s="11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10"/>
      <c r="U7" s="10"/>
    </row>
    <row r="8" spans="1:21">
      <c r="A8" s="11" t="s">
        <v>14</v>
      </c>
      <c r="B8" s="24">
        <v>20559405</v>
      </c>
      <c r="C8" s="24">
        <v>20730693</v>
      </c>
      <c r="D8" s="24">
        <v>20610655</v>
      </c>
      <c r="E8" s="24">
        <v>20771928</v>
      </c>
      <c r="F8" s="24">
        <v>20501029</v>
      </c>
      <c r="G8" s="24">
        <v>20854251</v>
      </c>
      <c r="H8" s="24">
        <v>21150712</v>
      </c>
      <c r="I8" s="24">
        <v>21207039</v>
      </c>
      <c r="J8" s="24">
        <v>21027924</v>
      </c>
      <c r="K8" s="24">
        <v>21411245</v>
      </c>
      <c r="L8" s="24">
        <v>21710000</v>
      </c>
      <c r="M8" s="24">
        <v>21877113</v>
      </c>
      <c r="N8" s="24">
        <v>21861397</v>
      </c>
      <c r="O8" s="24">
        <v>21598578</v>
      </c>
      <c r="P8" s="24">
        <v>21883529</v>
      </c>
      <c r="Q8" s="24">
        <v>21977135</v>
      </c>
      <c r="R8" s="24">
        <v>21823600</v>
      </c>
      <c r="S8" s="24">
        <v>21743309</v>
      </c>
      <c r="T8" s="10">
        <v>21913935</v>
      </c>
      <c r="U8" s="10">
        <v>21702508</v>
      </c>
    </row>
    <row r="9" spans="1:21">
      <c r="A9" s="11" t="s">
        <v>15</v>
      </c>
      <c r="B9" s="24">
        <v>12971287</v>
      </c>
      <c r="C9" s="24">
        <v>12957425</v>
      </c>
      <c r="D9" s="24">
        <v>13007172</v>
      </c>
      <c r="E9" s="24">
        <v>13312640</v>
      </c>
      <c r="F9" s="24">
        <v>13081444</v>
      </c>
      <c r="G9" s="24">
        <v>13396761</v>
      </c>
      <c r="H9" s="24">
        <v>13540733</v>
      </c>
      <c r="I9" s="24">
        <v>13633540</v>
      </c>
      <c r="J9" s="24">
        <v>13356075</v>
      </c>
      <c r="K9" s="24">
        <v>13749724</v>
      </c>
      <c r="L9" s="24">
        <v>13744444</v>
      </c>
      <c r="M9" s="24">
        <v>13795941</v>
      </c>
      <c r="N9" s="24">
        <v>13612829</v>
      </c>
      <c r="O9" s="24">
        <v>13550278</v>
      </c>
      <c r="P9" s="24">
        <v>13515294</v>
      </c>
      <c r="Q9" s="24">
        <v>13572803</v>
      </c>
      <c r="R9" s="24">
        <v>13394160</v>
      </c>
      <c r="S9" s="24">
        <v>13569343</v>
      </c>
      <c r="T9" s="10">
        <v>13684645</v>
      </c>
      <c r="U9" s="10">
        <v>13476702</v>
      </c>
    </row>
    <row r="10" spans="1:21">
      <c r="A10" s="11" t="s">
        <v>16</v>
      </c>
      <c r="B10" s="24">
        <v>18497029</v>
      </c>
      <c r="C10" s="24">
        <v>18417821</v>
      </c>
      <c r="D10" s="24">
        <v>18528688</v>
      </c>
      <c r="E10" s="24">
        <v>18030303</v>
      </c>
      <c r="F10" s="24">
        <v>17716829</v>
      </c>
      <c r="G10" s="24">
        <v>18662955</v>
      </c>
      <c r="H10" s="24">
        <v>18860488</v>
      </c>
      <c r="I10" s="24">
        <v>18977225</v>
      </c>
      <c r="J10" s="24">
        <v>18851320</v>
      </c>
      <c r="K10" s="24">
        <v>19261300</v>
      </c>
      <c r="L10" s="24">
        <v>19346666</v>
      </c>
      <c r="M10" s="24">
        <v>19333709</v>
      </c>
      <c r="N10" s="24">
        <v>19192439</v>
      </c>
      <c r="O10" s="24">
        <v>18852461</v>
      </c>
      <c r="P10" s="24">
        <v>19144705</v>
      </c>
      <c r="Q10" s="24">
        <v>18901323</v>
      </c>
      <c r="R10" s="24">
        <v>18973236</v>
      </c>
      <c r="S10" s="24">
        <v>19225060</v>
      </c>
      <c r="T10" s="10">
        <v>18968387</v>
      </c>
      <c r="U10" s="10">
        <v>18841099</v>
      </c>
    </row>
    <row r="11" spans="1:21">
      <c r="A11" s="11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10"/>
      <c r="U11" s="10"/>
    </row>
    <row r="12" spans="1:21">
      <c r="A12" s="11" t="s">
        <v>17</v>
      </c>
      <c r="B12" s="24">
        <v>7500990</v>
      </c>
      <c r="C12" s="24">
        <v>7368316</v>
      </c>
      <c r="D12" s="24">
        <v>7461065</v>
      </c>
      <c r="E12" s="24">
        <v>8135692</v>
      </c>
      <c r="F12" s="24">
        <v>7977472</v>
      </c>
      <c r="G12" s="24">
        <v>8237854</v>
      </c>
      <c r="H12" s="24">
        <v>8185336</v>
      </c>
      <c r="I12" s="24">
        <v>8793995</v>
      </c>
      <c r="J12" s="24">
        <v>8825056</v>
      </c>
      <c r="K12" s="24">
        <v>9168687</v>
      </c>
      <c r="L12" s="24">
        <v>9315555</v>
      </c>
      <c r="M12" s="24">
        <v>9492671</v>
      </c>
      <c r="N12" s="24">
        <v>9681557</v>
      </c>
      <c r="O12" s="24">
        <v>11164396</v>
      </c>
      <c r="P12" s="24">
        <v>11072941</v>
      </c>
      <c r="Q12" s="24">
        <v>11447653</v>
      </c>
      <c r="R12" s="24">
        <v>11756690</v>
      </c>
      <c r="S12" s="24">
        <v>11782238</v>
      </c>
      <c r="T12" s="10">
        <v>11578774</v>
      </c>
      <c r="U12" s="10">
        <v>11715651</v>
      </c>
    </row>
    <row r="13" spans="1:21">
      <c r="A13" s="11" t="s">
        <v>18</v>
      </c>
      <c r="B13" s="24">
        <v>36059405</v>
      </c>
      <c r="C13" s="24">
        <v>36215841</v>
      </c>
      <c r="D13" s="24">
        <v>36211065</v>
      </c>
      <c r="E13" s="24">
        <v>36715759</v>
      </c>
      <c r="F13" s="24">
        <v>36061539</v>
      </c>
      <c r="G13" s="24">
        <v>36870445</v>
      </c>
      <c r="H13" s="24">
        <v>37529531</v>
      </c>
      <c r="I13" s="24">
        <v>37696687</v>
      </c>
      <c r="J13" s="24">
        <v>38034716</v>
      </c>
      <c r="K13" s="24">
        <v>39296582</v>
      </c>
      <c r="L13" s="24">
        <v>39484444</v>
      </c>
      <c r="M13" s="24">
        <v>39976324</v>
      </c>
      <c r="N13" s="24">
        <v>39694158</v>
      </c>
      <c r="O13" s="24">
        <v>39029670</v>
      </c>
      <c r="P13" s="24">
        <v>39525882</v>
      </c>
      <c r="Q13" s="24">
        <v>39981949</v>
      </c>
      <c r="R13" s="24">
        <v>39868613</v>
      </c>
      <c r="S13" s="24">
        <v>39630170</v>
      </c>
      <c r="T13" s="10">
        <v>39349483</v>
      </c>
      <c r="U13" s="10">
        <v>39737156</v>
      </c>
    </row>
    <row r="14" spans="1:21">
      <c r="A14" s="11" t="s">
        <v>19</v>
      </c>
      <c r="B14" s="24">
        <v>22009900</v>
      </c>
      <c r="C14" s="24">
        <v>21670297</v>
      </c>
      <c r="D14" s="24">
        <v>22122950</v>
      </c>
      <c r="E14" s="24">
        <v>22751297</v>
      </c>
      <c r="F14" s="24">
        <v>22349139</v>
      </c>
      <c r="G14" s="24">
        <v>22832995</v>
      </c>
      <c r="H14" s="24">
        <v>23110997</v>
      </c>
      <c r="I14" s="24">
        <v>23334368</v>
      </c>
      <c r="J14" s="24">
        <v>24110566</v>
      </c>
      <c r="K14" s="24">
        <v>24863285</v>
      </c>
      <c r="L14" s="24">
        <v>24885555</v>
      </c>
      <c r="M14" s="24">
        <v>25414881</v>
      </c>
      <c r="N14" s="24">
        <v>25794959</v>
      </c>
      <c r="O14" s="24">
        <v>26461200</v>
      </c>
      <c r="P14" s="24">
        <v>28049411</v>
      </c>
      <c r="Q14" s="24">
        <v>26880866</v>
      </c>
      <c r="R14" s="24">
        <v>26598540</v>
      </c>
      <c r="S14" s="24">
        <v>26335766</v>
      </c>
      <c r="T14" s="10">
        <v>26749548</v>
      </c>
      <c r="U14" s="10">
        <v>26826762</v>
      </c>
    </row>
    <row r="15" spans="1:21">
      <c r="A15" s="11" t="s">
        <v>20</v>
      </c>
      <c r="B15" s="24">
        <v>29936633</v>
      </c>
      <c r="C15" s="24">
        <v>30050495</v>
      </c>
      <c r="D15" s="24">
        <v>30241803</v>
      </c>
      <c r="E15" s="24">
        <v>28972460</v>
      </c>
      <c r="F15" s="24">
        <v>28562128</v>
      </c>
      <c r="G15" s="24">
        <v>30862348</v>
      </c>
      <c r="H15" s="24">
        <v>30966395</v>
      </c>
      <c r="I15" s="24">
        <v>31539337</v>
      </c>
      <c r="J15" s="24">
        <v>30448603</v>
      </c>
      <c r="K15" s="24">
        <v>30791620</v>
      </c>
      <c r="L15" s="24">
        <v>30870000</v>
      </c>
      <c r="M15" s="24">
        <v>30472378</v>
      </c>
      <c r="N15" s="24">
        <v>30289805</v>
      </c>
      <c r="O15" s="24">
        <v>29255000</v>
      </c>
      <c r="P15" s="24">
        <v>29594117</v>
      </c>
      <c r="Q15" s="24">
        <v>28797833</v>
      </c>
      <c r="R15" s="24">
        <v>29661800</v>
      </c>
      <c r="S15" s="24">
        <v>30750608</v>
      </c>
      <c r="T15" s="10">
        <v>30095870</v>
      </c>
      <c r="U15" s="10">
        <v>30261648</v>
      </c>
    </row>
    <row r="16" spans="1:21">
      <c r="A16" s="11" t="s">
        <v>21</v>
      </c>
      <c r="B16" s="24">
        <v>16283168</v>
      </c>
      <c r="C16" s="24">
        <v>16383168</v>
      </c>
      <c r="D16" s="24">
        <v>16395491</v>
      </c>
      <c r="E16" s="24">
        <v>16820535</v>
      </c>
      <c r="F16" s="24">
        <v>16529412</v>
      </c>
      <c r="G16" s="24">
        <v>16572874</v>
      </c>
      <c r="H16" s="24">
        <v>17051934</v>
      </c>
      <c r="I16" s="24">
        <v>17551759</v>
      </c>
      <c r="J16" s="24">
        <v>17559924</v>
      </c>
      <c r="K16" s="24">
        <v>17929437</v>
      </c>
      <c r="L16" s="24">
        <v>18101111</v>
      </c>
      <c r="M16" s="24">
        <v>18198421</v>
      </c>
      <c r="N16" s="24">
        <v>18383734</v>
      </c>
      <c r="O16" s="24">
        <v>17913156</v>
      </c>
      <c r="P16" s="24">
        <v>18944705</v>
      </c>
      <c r="Q16" s="24">
        <v>18640192</v>
      </c>
      <c r="R16" s="24">
        <v>18226277</v>
      </c>
      <c r="S16" s="24">
        <v>18321167</v>
      </c>
      <c r="T16" s="10">
        <v>18699096</v>
      </c>
      <c r="U16" s="10">
        <v>19037037</v>
      </c>
    </row>
    <row r="17" spans="1:21">
      <c r="A17" s="11" t="s">
        <v>22</v>
      </c>
      <c r="B17" s="24">
        <v>20275247</v>
      </c>
      <c r="C17" s="24">
        <v>20542574</v>
      </c>
      <c r="D17" s="24">
        <v>20452868</v>
      </c>
      <c r="E17" s="24">
        <v>19873843</v>
      </c>
      <c r="F17" s="24">
        <v>19407358</v>
      </c>
      <c r="G17" s="24">
        <v>20394736</v>
      </c>
      <c r="H17" s="24">
        <v>20717922</v>
      </c>
      <c r="I17" s="24">
        <v>20845755</v>
      </c>
      <c r="J17" s="24">
        <v>21148905</v>
      </c>
      <c r="K17" s="24">
        <v>21536934</v>
      </c>
      <c r="L17" s="24">
        <v>21687777</v>
      </c>
      <c r="M17" s="24">
        <v>21837655</v>
      </c>
      <c r="N17" s="24">
        <v>21919816</v>
      </c>
      <c r="O17" s="24">
        <v>21482829</v>
      </c>
      <c r="P17" s="24">
        <v>21361176</v>
      </c>
      <c r="Q17" s="24">
        <v>21779783</v>
      </c>
      <c r="R17" s="24">
        <v>21773722</v>
      </c>
      <c r="S17" s="24">
        <v>21791970</v>
      </c>
      <c r="T17" s="10">
        <v>22240838</v>
      </c>
      <c r="U17" s="10">
        <v>22109916</v>
      </c>
    </row>
    <row r="18" spans="1:21">
      <c r="A18" s="11" t="s">
        <v>23</v>
      </c>
      <c r="B18" s="24">
        <v>43853465</v>
      </c>
      <c r="C18" s="24">
        <v>43996039</v>
      </c>
      <c r="D18" s="24">
        <v>44347336</v>
      </c>
      <c r="E18" s="24">
        <v>44827179</v>
      </c>
      <c r="F18" s="24">
        <v>44429729</v>
      </c>
      <c r="G18" s="24">
        <v>44865384</v>
      </c>
      <c r="H18" s="24">
        <v>45614052</v>
      </c>
      <c r="I18" s="24">
        <v>45950310</v>
      </c>
      <c r="J18" s="24">
        <v>46201283</v>
      </c>
      <c r="K18" s="24">
        <v>47176405</v>
      </c>
      <c r="L18" s="24">
        <v>47402222</v>
      </c>
      <c r="M18" s="24">
        <v>47865839</v>
      </c>
      <c r="N18" s="24">
        <v>47486827</v>
      </c>
      <c r="O18" s="24">
        <v>47345900</v>
      </c>
      <c r="P18" s="24">
        <v>48255294</v>
      </c>
      <c r="Q18" s="24">
        <v>48108303</v>
      </c>
      <c r="R18" s="24">
        <v>47935523</v>
      </c>
      <c r="S18" s="24">
        <v>48497566</v>
      </c>
      <c r="T18" s="10">
        <v>48304000</v>
      </c>
      <c r="U18" s="10">
        <v>48848267</v>
      </c>
    </row>
    <row r="19" spans="1:21">
      <c r="A19" s="11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10"/>
      <c r="U19" s="10"/>
    </row>
    <row r="20" spans="1:21">
      <c r="A20" s="11" t="s">
        <v>24</v>
      </c>
      <c r="B20" s="24">
        <v>45413861</v>
      </c>
      <c r="C20" s="24">
        <v>45335643</v>
      </c>
      <c r="D20" s="24">
        <v>45816598</v>
      </c>
      <c r="E20" s="24">
        <v>44805886</v>
      </c>
      <c r="F20" s="24">
        <v>44190255</v>
      </c>
      <c r="G20" s="24">
        <v>47068825</v>
      </c>
      <c r="H20" s="24">
        <v>46670061</v>
      </c>
      <c r="I20" s="24">
        <v>47419254</v>
      </c>
      <c r="J20" s="24">
        <v>46113433</v>
      </c>
      <c r="K20" s="24">
        <v>47396912</v>
      </c>
      <c r="L20" s="24">
        <v>47124444</v>
      </c>
      <c r="M20" s="24">
        <v>47325817</v>
      </c>
      <c r="N20" s="24">
        <v>47494845</v>
      </c>
      <c r="O20" s="24">
        <v>46533629</v>
      </c>
      <c r="P20" s="24">
        <v>45405882</v>
      </c>
      <c r="Q20" s="24">
        <v>46694344</v>
      </c>
      <c r="R20" s="24">
        <v>46998783</v>
      </c>
      <c r="S20" s="24">
        <v>46822384</v>
      </c>
      <c r="T20" s="10">
        <v>46687612</v>
      </c>
      <c r="U20" s="10">
        <v>46960573</v>
      </c>
    </row>
    <row r="21" spans="1:21">
      <c r="A21" s="11" t="s">
        <v>25</v>
      </c>
      <c r="B21" s="24">
        <v>28735643</v>
      </c>
      <c r="C21" s="24">
        <v>28826732</v>
      </c>
      <c r="D21" s="24">
        <v>29117827</v>
      </c>
      <c r="E21" s="24">
        <v>28898796</v>
      </c>
      <c r="F21" s="24">
        <v>28526629</v>
      </c>
      <c r="G21" s="24">
        <v>29327935</v>
      </c>
      <c r="H21" s="24">
        <v>29426680</v>
      </c>
      <c r="I21" s="24">
        <v>29873706</v>
      </c>
      <c r="J21" s="24">
        <v>28025207</v>
      </c>
      <c r="K21" s="24">
        <v>28898566</v>
      </c>
      <c r="L21" s="24">
        <v>28630000</v>
      </c>
      <c r="M21" s="24">
        <v>28728297</v>
      </c>
      <c r="N21" s="24">
        <v>28398625</v>
      </c>
      <c r="O21" s="24">
        <v>27844820</v>
      </c>
      <c r="P21" s="24">
        <v>28137647</v>
      </c>
      <c r="Q21" s="24">
        <v>28468110</v>
      </c>
      <c r="R21" s="24">
        <v>28635036</v>
      </c>
      <c r="S21" s="24">
        <v>28636253</v>
      </c>
      <c r="T21" s="10">
        <v>28739612</v>
      </c>
      <c r="U21" s="10">
        <v>28712066</v>
      </c>
    </row>
    <row r="22" spans="1:21">
      <c r="A22" s="11" t="s">
        <v>26</v>
      </c>
      <c r="B22" s="24">
        <v>31652475</v>
      </c>
      <c r="C22" s="24">
        <v>31428712</v>
      </c>
      <c r="D22" s="24">
        <v>31835040</v>
      </c>
      <c r="E22" s="24">
        <v>30810448</v>
      </c>
      <c r="F22" s="24">
        <v>30280469</v>
      </c>
      <c r="G22" s="24">
        <v>31843117</v>
      </c>
      <c r="H22" s="24">
        <v>32014256</v>
      </c>
      <c r="I22" s="24">
        <v>32805383</v>
      </c>
      <c r="J22" s="24">
        <v>30877433</v>
      </c>
      <c r="K22" s="24">
        <v>31799338</v>
      </c>
      <c r="L22" s="24">
        <v>31452222</v>
      </c>
      <c r="M22" s="24">
        <v>31381059</v>
      </c>
      <c r="N22" s="24">
        <v>31766323</v>
      </c>
      <c r="O22" s="24">
        <v>31915474</v>
      </c>
      <c r="P22" s="24">
        <v>32185882</v>
      </c>
      <c r="Q22" s="24">
        <v>32270758</v>
      </c>
      <c r="R22" s="24">
        <v>32658150</v>
      </c>
      <c r="S22" s="24">
        <v>32948905</v>
      </c>
      <c r="T22" s="10">
        <v>33569419</v>
      </c>
      <c r="U22" s="10">
        <v>33481481</v>
      </c>
    </row>
    <row r="23" spans="1:21">
      <c r="A23" s="11" t="s">
        <v>27</v>
      </c>
      <c r="B23" s="24">
        <v>34750495</v>
      </c>
      <c r="C23" s="24">
        <v>35094059</v>
      </c>
      <c r="D23" s="24">
        <v>35511270</v>
      </c>
      <c r="E23" s="24">
        <v>42400157</v>
      </c>
      <c r="F23" s="24">
        <v>41843287</v>
      </c>
      <c r="G23" s="24">
        <v>38009109</v>
      </c>
      <c r="H23" s="24">
        <v>38669042</v>
      </c>
      <c r="I23" s="24">
        <v>39116977</v>
      </c>
      <c r="J23" s="24">
        <v>45333358</v>
      </c>
      <c r="K23" s="24">
        <v>45943770</v>
      </c>
      <c r="L23" s="24">
        <v>46714444</v>
      </c>
      <c r="M23" s="24">
        <v>47118376</v>
      </c>
      <c r="N23" s="24">
        <v>48134020</v>
      </c>
      <c r="O23" s="24">
        <v>49905724</v>
      </c>
      <c r="P23" s="24">
        <v>49058823</v>
      </c>
      <c r="Q23" s="24">
        <v>50188929</v>
      </c>
      <c r="R23" s="24">
        <v>50687347</v>
      </c>
      <c r="S23" s="24">
        <v>49248175</v>
      </c>
      <c r="T23" s="10">
        <v>50815032</v>
      </c>
      <c r="U23" s="10">
        <v>51658303</v>
      </c>
    </row>
    <row r="24" spans="1:21">
      <c r="A24" s="11" t="s">
        <v>28</v>
      </c>
      <c r="B24" s="24">
        <v>22245544</v>
      </c>
      <c r="C24" s="24">
        <v>22720792</v>
      </c>
      <c r="D24" s="24">
        <v>22792008</v>
      </c>
      <c r="E24" s="24">
        <v>21106827</v>
      </c>
      <c r="F24" s="24">
        <v>20615162</v>
      </c>
      <c r="G24" s="24">
        <v>23071862</v>
      </c>
      <c r="H24" s="24">
        <v>23130346</v>
      </c>
      <c r="I24" s="24">
        <v>23644927</v>
      </c>
      <c r="J24" s="24">
        <v>22422415</v>
      </c>
      <c r="K24" s="24">
        <v>22828004</v>
      </c>
      <c r="L24" s="24">
        <v>23137777</v>
      </c>
      <c r="M24" s="24">
        <v>23307779</v>
      </c>
      <c r="N24" s="24">
        <v>23310423</v>
      </c>
      <c r="O24" s="24">
        <v>22100400</v>
      </c>
      <c r="P24" s="24">
        <v>22235294</v>
      </c>
      <c r="Q24" s="24">
        <v>22631768</v>
      </c>
      <c r="R24" s="24">
        <v>22621654</v>
      </c>
      <c r="S24" s="24">
        <v>22906326</v>
      </c>
      <c r="T24" s="10">
        <v>23446709</v>
      </c>
      <c r="U24" s="10">
        <v>23316606</v>
      </c>
    </row>
    <row r="25" spans="1:21">
      <c r="A25" s="11" t="s">
        <v>29</v>
      </c>
      <c r="B25" s="24">
        <v>3597029</v>
      </c>
      <c r="C25" s="24">
        <v>3575247</v>
      </c>
      <c r="D25" s="24">
        <v>3594262</v>
      </c>
      <c r="E25" s="24">
        <v>3751728</v>
      </c>
      <c r="F25" s="24">
        <v>3556590</v>
      </c>
      <c r="G25" s="24">
        <v>3802631</v>
      </c>
      <c r="H25" s="24">
        <v>3789205</v>
      </c>
      <c r="I25" s="24">
        <v>3919254</v>
      </c>
      <c r="J25" s="24">
        <v>3930264</v>
      </c>
      <c r="K25" s="24">
        <v>4041896</v>
      </c>
      <c r="L25" s="24">
        <v>4073333</v>
      </c>
      <c r="M25" s="24">
        <v>4118376</v>
      </c>
      <c r="N25" s="24">
        <v>4067583</v>
      </c>
      <c r="O25" s="24">
        <v>4111585</v>
      </c>
      <c r="P25" s="24">
        <v>4234117</v>
      </c>
      <c r="Q25" s="24">
        <v>4167268</v>
      </c>
      <c r="R25" s="24">
        <v>4245742</v>
      </c>
      <c r="S25" s="24">
        <v>4211678</v>
      </c>
      <c r="T25" s="10">
        <v>4340258</v>
      </c>
      <c r="U25" s="10">
        <v>4350059</v>
      </c>
    </row>
    <row r="26" spans="1:21">
      <c r="A26" s="11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10"/>
      <c r="U26" s="10"/>
    </row>
    <row r="27" spans="1:21">
      <c r="A27" s="11" t="s">
        <v>30</v>
      </c>
      <c r="B27" s="24">
        <v>15005940</v>
      </c>
      <c r="C27" s="24">
        <v>14942574</v>
      </c>
      <c r="D27" s="24">
        <v>15119877</v>
      </c>
      <c r="E27" s="24">
        <v>14852912</v>
      </c>
      <c r="F27" s="24">
        <v>14671334</v>
      </c>
      <c r="G27" s="24">
        <v>15216599</v>
      </c>
      <c r="H27" s="24">
        <v>15364562</v>
      </c>
      <c r="I27" s="24">
        <v>15869565</v>
      </c>
      <c r="J27" s="24">
        <v>13867471</v>
      </c>
      <c r="K27" s="24">
        <v>14154355</v>
      </c>
      <c r="L27" s="24">
        <v>14180000</v>
      </c>
      <c r="M27" s="24">
        <v>14280721</v>
      </c>
      <c r="N27" s="24">
        <v>14434135</v>
      </c>
      <c r="O27" s="24">
        <v>14250300</v>
      </c>
      <c r="P27" s="24">
        <v>14380000</v>
      </c>
      <c r="Q27" s="24">
        <v>14684717</v>
      </c>
      <c r="R27" s="24">
        <v>14620437</v>
      </c>
      <c r="S27" s="24">
        <v>14587591</v>
      </c>
      <c r="T27" s="10">
        <v>15069483</v>
      </c>
      <c r="U27" s="10">
        <v>15015531</v>
      </c>
    </row>
    <row r="28" spans="1:21">
      <c r="A28" s="11" t="s">
        <v>31</v>
      </c>
      <c r="B28" s="24">
        <v>41806930</v>
      </c>
      <c r="C28" s="24">
        <v>41946534</v>
      </c>
      <c r="D28" s="24">
        <v>41871926</v>
      </c>
      <c r="E28" s="24">
        <v>40240602</v>
      </c>
      <c r="F28" s="24">
        <v>39786676</v>
      </c>
      <c r="G28" s="24">
        <v>43248987</v>
      </c>
      <c r="H28" s="24">
        <v>43020366</v>
      </c>
      <c r="I28" s="24">
        <v>43552795</v>
      </c>
      <c r="J28" s="24">
        <v>41134415</v>
      </c>
      <c r="K28" s="24">
        <v>41405733</v>
      </c>
      <c r="L28" s="24">
        <v>41542222</v>
      </c>
      <c r="M28" s="24">
        <v>41015783</v>
      </c>
      <c r="N28" s="24">
        <v>41316151</v>
      </c>
      <c r="O28" s="24">
        <v>39587255</v>
      </c>
      <c r="P28" s="24">
        <v>39580000</v>
      </c>
      <c r="Q28" s="24">
        <v>38620938</v>
      </c>
      <c r="R28" s="24">
        <v>39894160</v>
      </c>
      <c r="S28" s="24">
        <v>41228710</v>
      </c>
      <c r="T28" s="10">
        <v>41020387</v>
      </c>
      <c r="U28" s="10">
        <v>41547192</v>
      </c>
    </row>
    <row r="29" spans="1:21">
      <c r="A29" s="11" t="s">
        <v>32</v>
      </c>
      <c r="B29" s="24">
        <v>17338613</v>
      </c>
      <c r="C29" s="24">
        <v>17235643</v>
      </c>
      <c r="D29" s="24">
        <v>17551229</v>
      </c>
      <c r="E29" s="24">
        <v>16777724</v>
      </c>
      <c r="F29" s="24">
        <v>16783218</v>
      </c>
      <c r="G29" s="24">
        <v>18417004</v>
      </c>
      <c r="H29" s="24">
        <v>18604887</v>
      </c>
      <c r="I29" s="24">
        <v>18849896</v>
      </c>
      <c r="J29" s="24">
        <v>18076452</v>
      </c>
      <c r="K29" s="24">
        <v>18464167</v>
      </c>
      <c r="L29" s="24">
        <v>18554444</v>
      </c>
      <c r="M29" s="24">
        <v>18478015</v>
      </c>
      <c r="N29" s="24">
        <v>18689576</v>
      </c>
      <c r="O29" s="24">
        <v>16795017</v>
      </c>
      <c r="P29" s="24">
        <v>16444705</v>
      </c>
      <c r="Q29" s="24">
        <v>17009626</v>
      </c>
      <c r="R29" s="24">
        <v>16982968</v>
      </c>
      <c r="S29" s="24">
        <v>17206812</v>
      </c>
      <c r="T29" s="10">
        <v>17137032</v>
      </c>
      <c r="U29" s="10">
        <v>17295101</v>
      </c>
    </row>
    <row r="30" spans="1:21">
      <c r="A30" s="11" t="s">
        <v>33</v>
      </c>
      <c r="B30" s="24">
        <v>20298019</v>
      </c>
      <c r="C30" s="24">
        <v>20550495</v>
      </c>
      <c r="D30" s="24">
        <v>20723360</v>
      </c>
      <c r="E30" s="24">
        <v>20408452</v>
      </c>
      <c r="F30" s="24">
        <v>20165746</v>
      </c>
      <c r="G30" s="24">
        <v>20834008</v>
      </c>
      <c r="H30" s="24">
        <v>20837067</v>
      </c>
      <c r="I30" s="24">
        <v>21844720</v>
      </c>
      <c r="J30" s="24">
        <v>21520452</v>
      </c>
      <c r="K30" s="24">
        <v>22012127</v>
      </c>
      <c r="L30" s="24">
        <v>22225555</v>
      </c>
      <c r="M30" s="24">
        <v>22162344</v>
      </c>
      <c r="N30" s="24">
        <v>22280641</v>
      </c>
      <c r="O30" s="24">
        <v>22116000</v>
      </c>
      <c r="P30" s="24">
        <v>22805882</v>
      </c>
      <c r="Q30" s="24">
        <v>22722021</v>
      </c>
      <c r="R30" s="24">
        <v>22670316</v>
      </c>
      <c r="S30" s="24">
        <v>23041362</v>
      </c>
      <c r="T30" s="10">
        <v>23247548</v>
      </c>
      <c r="U30" s="10">
        <v>23721624</v>
      </c>
    </row>
    <row r="31" spans="1:21">
      <c r="A31" s="11" t="s">
        <v>34</v>
      </c>
      <c r="B31" s="24">
        <v>1259405</v>
      </c>
      <c r="C31" s="24">
        <v>1270297</v>
      </c>
      <c r="D31" s="24">
        <v>1282786</v>
      </c>
      <c r="E31" s="24">
        <v>1293060</v>
      </c>
      <c r="F31" s="24">
        <v>1290958</v>
      </c>
      <c r="G31" s="24">
        <v>1369433</v>
      </c>
      <c r="H31" s="24">
        <v>1397148</v>
      </c>
      <c r="I31" s="24">
        <v>1398550</v>
      </c>
      <c r="J31" s="24">
        <v>1397509</v>
      </c>
      <c r="K31" s="24">
        <v>1449834</v>
      </c>
      <c r="L31" s="24">
        <v>1463333</v>
      </c>
      <c r="M31" s="24">
        <v>1491544</v>
      </c>
      <c r="N31" s="24">
        <v>1489117</v>
      </c>
      <c r="O31" s="24">
        <v>1459533</v>
      </c>
      <c r="P31" s="24">
        <v>1491764</v>
      </c>
      <c r="Q31" s="24">
        <v>1554753</v>
      </c>
      <c r="R31" s="24">
        <v>1541362</v>
      </c>
      <c r="S31" s="24">
        <v>1585158</v>
      </c>
      <c r="T31" s="10">
        <v>1614516</v>
      </c>
      <c r="U31" s="10">
        <v>1648745</v>
      </c>
    </row>
    <row r="32" spans="1:21">
      <c r="A32" s="11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10"/>
      <c r="U32" s="10"/>
    </row>
    <row r="33" spans="1:21">
      <c r="A33" s="11" t="s">
        <v>35</v>
      </c>
      <c r="B33" s="24">
        <v>17460396</v>
      </c>
      <c r="C33" s="24">
        <v>17364356</v>
      </c>
      <c r="D33" s="24">
        <v>17549180</v>
      </c>
      <c r="E33" s="24">
        <v>17300000</v>
      </c>
      <c r="F33" s="24">
        <v>16986313</v>
      </c>
      <c r="G33" s="24">
        <v>17854251</v>
      </c>
      <c r="H33" s="24">
        <v>18021384</v>
      </c>
      <c r="I33" s="24">
        <v>18112836</v>
      </c>
      <c r="J33" s="24">
        <v>18396226</v>
      </c>
      <c r="K33" s="24">
        <v>18947078</v>
      </c>
      <c r="L33" s="24">
        <v>18954444</v>
      </c>
      <c r="M33" s="24">
        <v>18901916</v>
      </c>
      <c r="N33" s="24">
        <v>18945017</v>
      </c>
      <c r="O33" s="24">
        <v>18039807</v>
      </c>
      <c r="P33" s="24">
        <v>18312941</v>
      </c>
      <c r="Q33" s="24">
        <v>18198555</v>
      </c>
      <c r="R33" s="24">
        <v>18431873</v>
      </c>
      <c r="S33" s="24">
        <v>18305352</v>
      </c>
      <c r="T33" s="10">
        <v>18768000</v>
      </c>
      <c r="U33" s="10">
        <v>18941457</v>
      </c>
    </row>
    <row r="34" spans="1:21">
      <c r="A34" s="11" t="s">
        <v>36</v>
      </c>
      <c r="B34" s="24">
        <v>12285148</v>
      </c>
      <c r="C34" s="24">
        <v>12300000</v>
      </c>
      <c r="D34" s="24">
        <v>12481557</v>
      </c>
      <c r="E34" s="24">
        <v>12341634</v>
      </c>
      <c r="F34" s="24">
        <v>12102628</v>
      </c>
      <c r="G34" s="24">
        <v>12581983</v>
      </c>
      <c r="H34" s="24">
        <v>12711812</v>
      </c>
      <c r="I34" s="24">
        <v>12747412</v>
      </c>
      <c r="J34" s="24">
        <v>12839924</v>
      </c>
      <c r="K34" s="24">
        <v>13124586</v>
      </c>
      <c r="L34" s="24">
        <v>13142222</v>
      </c>
      <c r="M34" s="24">
        <v>13224351</v>
      </c>
      <c r="N34" s="24">
        <v>13154639</v>
      </c>
      <c r="O34" s="24">
        <v>12511127</v>
      </c>
      <c r="P34" s="24">
        <v>12380000</v>
      </c>
      <c r="Q34" s="24">
        <v>12563176</v>
      </c>
      <c r="R34" s="24">
        <v>12607055</v>
      </c>
      <c r="S34" s="24">
        <v>12529197</v>
      </c>
      <c r="T34" s="10">
        <v>12668580</v>
      </c>
      <c r="U34" s="10">
        <v>12934289</v>
      </c>
    </row>
    <row r="35" spans="1:21">
      <c r="A35" s="11" t="s">
        <v>37</v>
      </c>
      <c r="B35" s="24">
        <v>2474257</v>
      </c>
      <c r="C35" s="24">
        <v>2503960</v>
      </c>
      <c r="D35" s="24">
        <v>2488729</v>
      </c>
      <c r="E35" s="24">
        <v>2501717</v>
      </c>
      <c r="F35" s="24">
        <v>2333373</v>
      </c>
      <c r="G35" s="24">
        <v>2558704</v>
      </c>
      <c r="H35" s="24">
        <v>2605906</v>
      </c>
      <c r="I35" s="24">
        <v>2627329</v>
      </c>
      <c r="J35" s="24">
        <v>2684830</v>
      </c>
      <c r="K35" s="24">
        <v>2739801</v>
      </c>
      <c r="L35" s="24">
        <v>2764444</v>
      </c>
      <c r="M35" s="24">
        <v>2800450</v>
      </c>
      <c r="N35" s="24">
        <v>2808705</v>
      </c>
      <c r="O35" s="24">
        <v>2712931</v>
      </c>
      <c r="P35" s="24">
        <v>2818823</v>
      </c>
      <c r="Q35" s="24">
        <v>2789410</v>
      </c>
      <c r="R35" s="24">
        <v>2845498</v>
      </c>
      <c r="S35" s="24">
        <v>2912408</v>
      </c>
      <c r="T35" s="10">
        <v>2823935</v>
      </c>
      <c r="U35" s="10">
        <v>2894862</v>
      </c>
    </row>
    <row r="36" spans="1:21">
      <c r="A36" s="11" t="s">
        <v>38</v>
      </c>
      <c r="B36" s="24">
        <v>2626732</v>
      </c>
      <c r="C36" s="24">
        <v>2637623</v>
      </c>
      <c r="D36" s="24">
        <v>2672131</v>
      </c>
      <c r="E36" s="24">
        <v>2737724</v>
      </c>
      <c r="F36" s="24">
        <v>2672876</v>
      </c>
      <c r="G36" s="24">
        <v>2760121</v>
      </c>
      <c r="H36" s="24">
        <v>2829938</v>
      </c>
      <c r="I36" s="24">
        <v>2898550</v>
      </c>
      <c r="J36" s="24">
        <v>2955396</v>
      </c>
      <c r="K36" s="24">
        <v>2996692</v>
      </c>
      <c r="L36" s="24">
        <v>3042222</v>
      </c>
      <c r="M36" s="24">
        <v>3062006</v>
      </c>
      <c r="N36" s="24">
        <v>3087056</v>
      </c>
      <c r="O36" s="24">
        <v>3072538</v>
      </c>
      <c r="P36" s="24">
        <v>3044705</v>
      </c>
      <c r="Q36" s="24">
        <v>3176895</v>
      </c>
      <c r="R36" s="24">
        <v>3214111</v>
      </c>
      <c r="S36" s="24">
        <v>3227493</v>
      </c>
      <c r="T36" s="10">
        <v>3248903</v>
      </c>
      <c r="U36" s="10">
        <v>3274790</v>
      </c>
    </row>
    <row r="37" spans="1:21">
      <c r="A37" s="11" t="s">
        <v>39</v>
      </c>
      <c r="B37" s="24">
        <v>8493069</v>
      </c>
      <c r="C37" s="24">
        <v>8570297</v>
      </c>
      <c r="D37" s="24">
        <v>8616803</v>
      </c>
      <c r="E37" s="24">
        <v>9287402</v>
      </c>
      <c r="F37" s="24">
        <v>8907330</v>
      </c>
      <c r="G37" s="24">
        <v>9907894</v>
      </c>
      <c r="H37" s="24">
        <v>9412423</v>
      </c>
      <c r="I37" s="24">
        <v>9601449</v>
      </c>
      <c r="J37" s="24">
        <v>9894113</v>
      </c>
      <c r="K37" s="24">
        <v>10175303</v>
      </c>
      <c r="L37" s="24">
        <v>10305555</v>
      </c>
      <c r="M37" s="24">
        <v>10546786</v>
      </c>
      <c r="N37" s="24">
        <v>10729667</v>
      </c>
      <c r="O37" s="24">
        <v>10623106</v>
      </c>
      <c r="P37" s="24">
        <v>10812941</v>
      </c>
      <c r="Q37" s="24">
        <v>10991576</v>
      </c>
      <c r="R37" s="24">
        <v>11076642</v>
      </c>
      <c r="S37" s="24">
        <v>11284671</v>
      </c>
      <c r="T37" s="10">
        <v>11619677</v>
      </c>
      <c r="U37" s="10">
        <v>11781362</v>
      </c>
    </row>
  </sheetData>
  <phoneticPr fontId="6" type="noConversion"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F2E8D-407F-0C48-857A-83726328A271}">
  <dimension ref="A1:V38"/>
  <sheetViews>
    <sheetView workbookViewId="0">
      <selection sqref="A1:A1048576"/>
    </sheetView>
  </sheetViews>
  <sheetFormatPr baseColWidth="10" defaultRowHeight="16"/>
  <cols>
    <col min="1" max="1" width="19" customWidth="1"/>
  </cols>
  <sheetData>
    <row r="1" spans="1:22" ht="17" customHeight="1">
      <c r="A1" s="23" t="s">
        <v>42</v>
      </c>
      <c r="B1" s="23">
        <v>1997</v>
      </c>
      <c r="C1" s="23">
        <v>1998</v>
      </c>
      <c r="D1" s="23">
        <v>1999</v>
      </c>
      <c r="E1" s="23">
        <v>2000</v>
      </c>
      <c r="F1" s="23">
        <v>2001</v>
      </c>
      <c r="G1" s="23">
        <v>2002</v>
      </c>
      <c r="H1" s="23">
        <v>2003</v>
      </c>
      <c r="I1" s="23">
        <v>2004</v>
      </c>
      <c r="J1" s="23">
        <v>2005</v>
      </c>
      <c r="K1" s="23">
        <v>2006</v>
      </c>
      <c r="L1" s="23">
        <v>2007</v>
      </c>
      <c r="M1" s="23">
        <v>2008</v>
      </c>
      <c r="N1" s="23">
        <v>2009</v>
      </c>
      <c r="O1" s="23">
        <v>2010</v>
      </c>
      <c r="P1" s="23">
        <v>2011</v>
      </c>
      <c r="Q1" s="23">
        <v>2012</v>
      </c>
      <c r="R1" s="23">
        <v>2013</v>
      </c>
      <c r="S1" s="23">
        <v>2014</v>
      </c>
      <c r="T1" s="23">
        <v>2015</v>
      </c>
      <c r="U1" s="23">
        <v>2016</v>
      </c>
    </row>
    <row r="2" spans="1:22">
      <c r="A2" s="16" t="s">
        <v>9</v>
      </c>
      <c r="B2" s="27">
        <v>4750006</v>
      </c>
      <c r="C2" s="27">
        <v>4613305</v>
      </c>
      <c r="D2" s="27">
        <v>4672569</v>
      </c>
      <c r="E2" s="27">
        <v>5161089</v>
      </c>
      <c r="F2" s="27">
        <v>5114613</v>
      </c>
      <c r="G2" s="27">
        <v>5089360</v>
      </c>
      <c r="H2" s="27">
        <v>5439171</v>
      </c>
      <c r="I2" s="27">
        <v>5664153</v>
      </c>
      <c r="J2" s="27">
        <v>5982533</v>
      </c>
      <c r="K2" s="27">
        <v>6296673</v>
      </c>
      <c r="L2" s="27">
        <v>6513066</v>
      </c>
      <c r="M2" s="27">
        <v>6570447</v>
      </c>
      <c r="N2" s="27">
        <v>6771041</v>
      </c>
      <c r="O2" s="27">
        <v>7843024</v>
      </c>
      <c r="P2" s="27">
        <v>8194582</v>
      </c>
      <c r="Q2" s="27">
        <v>8306472</v>
      </c>
      <c r="R2" s="27">
        <v>8335401</v>
      </c>
      <c r="S2" s="27">
        <v>8682400</v>
      </c>
      <c r="T2" s="27">
        <v>8193834</v>
      </c>
      <c r="U2" s="27">
        <v>8143193</v>
      </c>
      <c r="V2" s="10"/>
    </row>
    <row r="3" spans="1:22">
      <c r="A3" s="11" t="s">
        <v>10</v>
      </c>
      <c r="B3" s="27">
        <v>3427362</v>
      </c>
      <c r="C3" s="27">
        <v>3381901</v>
      </c>
      <c r="D3" s="27">
        <v>3493754</v>
      </c>
      <c r="E3" s="27">
        <v>3676892</v>
      </c>
      <c r="F3" s="27">
        <v>3556233</v>
      </c>
      <c r="G3" s="27">
        <v>3790261</v>
      </c>
      <c r="H3" s="27">
        <v>3857252</v>
      </c>
      <c r="I3" s="27">
        <v>3919464</v>
      </c>
      <c r="J3" s="27">
        <v>4028803</v>
      </c>
      <c r="K3" s="27">
        <v>4201896</v>
      </c>
      <c r="L3" s="27">
        <v>4270306</v>
      </c>
      <c r="M3" s="27">
        <v>4450868</v>
      </c>
      <c r="N3" s="27">
        <v>4676950</v>
      </c>
      <c r="O3" s="27">
        <v>4926619</v>
      </c>
      <c r="P3" s="27">
        <v>5450775</v>
      </c>
      <c r="Q3" s="27">
        <v>5559317</v>
      </c>
      <c r="R3" s="27">
        <v>5749150</v>
      </c>
      <c r="S3" s="27">
        <v>5894595</v>
      </c>
      <c r="T3" s="27">
        <v>5574894</v>
      </c>
      <c r="U3" s="27">
        <v>5651729</v>
      </c>
      <c r="V3" s="10"/>
    </row>
    <row r="4" spans="1:22">
      <c r="A4" s="11" t="s">
        <v>11</v>
      </c>
      <c r="B4" s="27">
        <v>21973191</v>
      </c>
      <c r="C4" s="27">
        <v>22373697</v>
      </c>
      <c r="D4" s="27">
        <v>22552812</v>
      </c>
      <c r="E4" s="27">
        <v>23284631</v>
      </c>
      <c r="F4" s="27">
        <v>23001341</v>
      </c>
      <c r="G4" s="27">
        <v>23571510</v>
      </c>
      <c r="H4" s="27">
        <v>24319299</v>
      </c>
      <c r="I4" s="27">
        <v>24938599</v>
      </c>
      <c r="J4" s="27">
        <v>25259722</v>
      </c>
      <c r="K4" s="27">
        <v>26005509</v>
      </c>
      <c r="L4" s="27">
        <v>25762712</v>
      </c>
      <c r="M4" s="27">
        <v>26179424</v>
      </c>
      <c r="N4" s="27">
        <v>26137873</v>
      </c>
      <c r="O4" s="27">
        <v>26543658</v>
      </c>
      <c r="P4" s="27">
        <v>26004147</v>
      </c>
      <c r="Q4" s="27">
        <v>26093780</v>
      </c>
      <c r="R4" s="27">
        <v>26165194</v>
      </c>
      <c r="S4" s="27">
        <v>26067522</v>
      </c>
      <c r="T4" s="27">
        <v>26403902</v>
      </c>
      <c r="U4" s="27">
        <v>25879496</v>
      </c>
      <c r="V4" s="10"/>
    </row>
    <row r="5" spans="1:22">
      <c r="A5" s="11" t="s">
        <v>12</v>
      </c>
      <c r="B5" s="27">
        <v>10233199</v>
      </c>
      <c r="C5" s="27">
        <v>10295379</v>
      </c>
      <c r="D5" s="27">
        <v>10428397</v>
      </c>
      <c r="E5" s="27">
        <v>10816094</v>
      </c>
      <c r="F5" s="27">
        <v>10772216</v>
      </c>
      <c r="G5" s="27">
        <v>11093036</v>
      </c>
      <c r="H5" s="27">
        <v>11309739</v>
      </c>
      <c r="I5" s="27">
        <v>11699625</v>
      </c>
      <c r="J5" s="27">
        <v>11723437</v>
      </c>
      <c r="K5" s="27">
        <v>12395669</v>
      </c>
      <c r="L5" s="27">
        <v>12390017</v>
      </c>
      <c r="M5" s="27">
        <v>12639827</v>
      </c>
      <c r="N5" s="27">
        <v>12721156</v>
      </c>
      <c r="O5" s="27">
        <v>13087339</v>
      </c>
      <c r="P5" s="27">
        <v>13406810</v>
      </c>
      <c r="Q5" s="27">
        <v>13535661</v>
      </c>
      <c r="R5" s="27">
        <v>13531453</v>
      </c>
      <c r="S5" s="27">
        <v>13805522</v>
      </c>
      <c r="T5" s="27">
        <v>13415524</v>
      </c>
      <c r="U5" s="27">
        <v>13612261</v>
      </c>
      <c r="V5" s="10"/>
    </row>
    <row r="6" spans="1:22">
      <c r="A6" s="11" t="s">
        <v>13</v>
      </c>
      <c r="B6" s="27">
        <v>7986526</v>
      </c>
      <c r="C6" s="27">
        <v>8196497</v>
      </c>
      <c r="D6" s="27">
        <v>8250444</v>
      </c>
      <c r="E6" s="27">
        <v>8414689</v>
      </c>
      <c r="F6" s="27">
        <v>8173401</v>
      </c>
      <c r="G6" s="27">
        <v>8509308</v>
      </c>
      <c r="H6" s="27">
        <v>8684506</v>
      </c>
      <c r="I6" s="27">
        <v>8815004</v>
      </c>
      <c r="J6" s="27">
        <v>8736500</v>
      </c>
      <c r="K6" s="27">
        <v>9106215</v>
      </c>
      <c r="L6" s="27">
        <v>9192308</v>
      </c>
      <c r="M6" s="27">
        <v>9226890</v>
      </c>
      <c r="N6" s="27">
        <v>9287010</v>
      </c>
      <c r="O6" s="27">
        <v>9303149</v>
      </c>
      <c r="P6" s="27">
        <v>9964530</v>
      </c>
      <c r="Q6" s="27">
        <v>9571596</v>
      </c>
      <c r="R6" s="27">
        <v>9373427</v>
      </c>
      <c r="S6" s="27">
        <v>9510586</v>
      </c>
      <c r="T6" s="27">
        <v>9533707</v>
      </c>
      <c r="U6" s="27">
        <v>9718988</v>
      </c>
      <c r="V6" s="10"/>
    </row>
    <row r="7" spans="1:22">
      <c r="A7" s="11"/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10"/>
    </row>
    <row r="8" spans="1:22">
      <c r="A8" s="11" t="s">
        <v>14</v>
      </c>
      <c r="B8" s="27">
        <v>15048728</v>
      </c>
      <c r="C8" s="27">
        <v>15329127</v>
      </c>
      <c r="D8" s="27">
        <v>15190700</v>
      </c>
      <c r="E8" s="27">
        <v>15473691</v>
      </c>
      <c r="F8" s="27">
        <v>15226391</v>
      </c>
      <c r="G8" s="27">
        <v>15892294</v>
      </c>
      <c r="H8" s="27">
        <v>15988898</v>
      </c>
      <c r="I8" s="27">
        <v>16252022</v>
      </c>
      <c r="J8" s="27">
        <v>15979396</v>
      </c>
      <c r="K8" s="27">
        <v>16461624</v>
      </c>
      <c r="L8" s="27">
        <v>16649284</v>
      </c>
      <c r="M8" s="27">
        <v>16743948</v>
      </c>
      <c r="N8" s="27">
        <v>16933779</v>
      </c>
      <c r="O8" s="27">
        <v>16905037</v>
      </c>
      <c r="P8" s="27">
        <v>17040132</v>
      </c>
      <c r="Q8" s="27">
        <v>17512214</v>
      </c>
      <c r="R8" s="27">
        <v>17321063</v>
      </c>
      <c r="S8" s="27">
        <v>16867925</v>
      </c>
      <c r="T8" s="27">
        <v>16770175</v>
      </c>
      <c r="U8" s="27">
        <v>16524281</v>
      </c>
      <c r="V8" s="10"/>
    </row>
    <row r="9" spans="1:22">
      <c r="A9" s="11" t="s">
        <v>15</v>
      </c>
      <c r="B9" s="27">
        <v>9459414</v>
      </c>
      <c r="C9" s="27">
        <v>9575138</v>
      </c>
      <c r="D9" s="27">
        <v>9706456</v>
      </c>
      <c r="E9" s="27">
        <v>10009774</v>
      </c>
      <c r="F9" s="27">
        <v>9953360</v>
      </c>
      <c r="G9" s="27">
        <v>10320720</v>
      </c>
      <c r="H9" s="27">
        <v>10522434</v>
      </c>
      <c r="I9" s="27">
        <v>10723171</v>
      </c>
      <c r="J9" s="27">
        <v>10396623</v>
      </c>
      <c r="K9" s="27">
        <v>10810007</v>
      </c>
      <c r="L9" s="27">
        <v>10732038</v>
      </c>
      <c r="M9" s="27">
        <v>10849457</v>
      </c>
      <c r="N9" s="27">
        <v>10746470</v>
      </c>
      <c r="O9" s="27">
        <v>10789484</v>
      </c>
      <c r="P9" s="27">
        <v>10620063</v>
      </c>
      <c r="Q9" s="27">
        <v>10860490</v>
      </c>
      <c r="R9" s="27">
        <v>10525626</v>
      </c>
      <c r="S9" s="27">
        <v>10531100</v>
      </c>
      <c r="T9" s="27">
        <v>10551117</v>
      </c>
      <c r="U9" s="27">
        <v>10309134</v>
      </c>
      <c r="V9" s="10"/>
    </row>
    <row r="10" spans="1:22">
      <c r="A10" s="11" t="s">
        <v>16</v>
      </c>
      <c r="B10" s="27">
        <v>13595132</v>
      </c>
      <c r="C10" s="27">
        <v>13681492</v>
      </c>
      <c r="D10" s="27">
        <v>13703956</v>
      </c>
      <c r="E10" s="27">
        <v>13645333</v>
      </c>
      <c r="F10" s="27">
        <v>13395392</v>
      </c>
      <c r="G10" s="27">
        <v>14304020</v>
      </c>
      <c r="H10" s="27">
        <v>14619343</v>
      </c>
      <c r="I10" s="27">
        <v>14929131</v>
      </c>
      <c r="J10" s="27">
        <v>14626832</v>
      </c>
      <c r="K10" s="27">
        <v>15009644</v>
      </c>
      <c r="L10" s="27">
        <v>15071962</v>
      </c>
      <c r="M10" s="27">
        <v>15113378</v>
      </c>
      <c r="N10" s="27">
        <v>15162957</v>
      </c>
      <c r="O10" s="27">
        <v>15029181</v>
      </c>
      <c r="P10" s="27">
        <v>15366845</v>
      </c>
      <c r="Q10" s="27">
        <v>14939667</v>
      </c>
      <c r="R10" s="27">
        <v>15003668</v>
      </c>
      <c r="S10" s="27">
        <v>15191882</v>
      </c>
      <c r="T10" s="27">
        <v>14906779</v>
      </c>
      <c r="U10" s="27">
        <v>14697996</v>
      </c>
      <c r="V10" s="10"/>
    </row>
    <row r="11" spans="1:22">
      <c r="A11" s="11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10"/>
    </row>
    <row r="12" spans="1:22">
      <c r="A12" s="11" t="s">
        <v>17</v>
      </c>
      <c r="B12" s="27">
        <v>5415118</v>
      </c>
      <c r="C12" s="27">
        <v>5354093</v>
      </c>
      <c r="D12" s="27">
        <v>5430706</v>
      </c>
      <c r="E12" s="27">
        <v>6206259</v>
      </c>
      <c r="F12" s="27">
        <v>5892296</v>
      </c>
      <c r="G12" s="27">
        <v>6247845</v>
      </c>
      <c r="H12" s="27">
        <v>6124349</v>
      </c>
      <c r="I12" s="27">
        <v>6666314</v>
      </c>
      <c r="J12" s="27">
        <v>6974896</v>
      </c>
      <c r="K12" s="27">
        <v>7104692</v>
      </c>
      <c r="L12" s="27">
        <v>7246485</v>
      </c>
      <c r="M12" s="27">
        <v>7504471</v>
      </c>
      <c r="N12" s="27">
        <v>7586785</v>
      </c>
      <c r="O12" s="27">
        <v>9071370</v>
      </c>
      <c r="P12" s="27">
        <v>9284133</v>
      </c>
      <c r="Q12" s="27">
        <v>9447109</v>
      </c>
      <c r="R12" s="27">
        <v>9404998</v>
      </c>
      <c r="S12" s="27">
        <v>9450392</v>
      </c>
      <c r="T12" s="27">
        <v>9012876</v>
      </c>
      <c r="U12" s="27">
        <v>9063554</v>
      </c>
      <c r="V12" s="10"/>
    </row>
    <row r="13" spans="1:22">
      <c r="A13" s="11" t="s">
        <v>18</v>
      </c>
      <c r="B13" s="27">
        <v>25123112</v>
      </c>
      <c r="C13" s="27">
        <v>25097893</v>
      </c>
      <c r="D13" s="27">
        <v>25414719</v>
      </c>
      <c r="E13" s="27">
        <v>26284155</v>
      </c>
      <c r="F13" s="27">
        <v>25508870</v>
      </c>
      <c r="G13" s="27">
        <v>26294813</v>
      </c>
      <c r="H13" s="27">
        <v>26884840</v>
      </c>
      <c r="I13" s="27">
        <v>27499627</v>
      </c>
      <c r="J13" s="27">
        <v>27992354</v>
      </c>
      <c r="K13" s="27">
        <v>29068859</v>
      </c>
      <c r="L13" s="27">
        <v>29450715</v>
      </c>
      <c r="M13" s="27">
        <v>29785159</v>
      </c>
      <c r="N13" s="27">
        <v>29485994</v>
      </c>
      <c r="O13" s="27">
        <v>29702437</v>
      </c>
      <c r="P13" s="27">
        <v>30117217</v>
      </c>
      <c r="Q13" s="27">
        <v>30121836</v>
      </c>
      <c r="R13" s="27">
        <v>29668731</v>
      </c>
      <c r="S13" s="27">
        <v>29395050</v>
      </c>
      <c r="T13" s="27">
        <v>29020002</v>
      </c>
      <c r="U13" s="27">
        <v>28914092</v>
      </c>
      <c r="V13" s="10"/>
    </row>
    <row r="14" spans="1:22">
      <c r="A14" s="11" t="s">
        <v>19</v>
      </c>
      <c r="B14" s="27">
        <v>15720241</v>
      </c>
      <c r="C14" s="27">
        <v>15612115</v>
      </c>
      <c r="D14" s="27">
        <v>15814950</v>
      </c>
      <c r="E14" s="27">
        <v>16628923</v>
      </c>
      <c r="F14" s="27">
        <v>16191851</v>
      </c>
      <c r="G14" s="27">
        <v>16534702</v>
      </c>
      <c r="H14" s="27">
        <v>16731247</v>
      </c>
      <c r="I14" s="27">
        <v>17409087</v>
      </c>
      <c r="J14" s="27">
        <v>17726587</v>
      </c>
      <c r="K14" s="27">
        <v>18639681</v>
      </c>
      <c r="L14" s="27">
        <v>18591427</v>
      </c>
      <c r="M14" s="27">
        <v>19144770</v>
      </c>
      <c r="N14" s="27">
        <v>19366074</v>
      </c>
      <c r="O14" s="27">
        <v>20494199</v>
      </c>
      <c r="P14" s="27">
        <v>22109479</v>
      </c>
      <c r="Q14" s="27">
        <v>21212356</v>
      </c>
      <c r="R14" s="27">
        <v>20976480</v>
      </c>
      <c r="S14" s="27">
        <v>20634202</v>
      </c>
      <c r="T14" s="27">
        <v>20281697</v>
      </c>
      <c r="U14" s="27">
        <v>20232205</v>
      </c>
      <c r="V14" s="10"/>
    </row>
    <row r="15" spans="1:22">
      <c r="A15" s="11" t="s">
        <v>20</v>
      </c>
      <c r="B15" s="27">
        <v>20410662</v>
      </c>
      <c r="C15" s="27">
        <v>19782460</v>
      </c>
      <c r="D15" s="27">
        <v>20365152</v>
      </c>
      <c r="E15" s="27">
        <v>19420240</v>
      </c>
      <c r="F15" s="27">
        <v>19311676</v>
      </c>
      <c r="G15" s="27">
        <v>20852964</v>
      </c>
      <c r="H15" s="27">
        <v>21674796</v>
      </c>
      <c r="I15" s="27">
        <v>22010752</v>
      </c>
      <c r="J15" s="27">
        <v>20344573</v>
      </c>
      <c r="K15" s="27">
        <v>21078834</v>
      </c>
      <c r="L15" s="27">
        <v>21184809</v>
      </c>
      <c r="M15" s="27">
        <v>21068977</v>
      </c>
      <c r="N15" s="27">
        <v>21382702</v>
      </c>
      <c r="O15" s="27">
        <v>21016792</v>
      </c>
      <c r="P15" s="27">
        <v>21160876</v>
      </c>
      <c r="Q15" s="27">
        <v>20611463</v>
      </c>
      <c r="R15" s="27">
        <v>21062173</v>
      </c>
      <c r="S15" s="27">
        <v>22048114</v>
      </c>
      <c r="T15" s="27">
        <v>21381640</v>
      </c>
      <c r="U15" s="27">
        <v>21484747</v>
      </c>
      <c r="V15" s="10"/>
    </row>
    <row r="16" spans="1:22">
      <c r="A16" s="11" t="s">
        <v>21</v>
      </c>
      <c r="B16" s="27">
        <v>10512883</v>
      </c>
      <c r="C16" s="27">
        <v>10721207</v>
      </c>
      <c r="D16" s="27">
        <v>10861741</v>
      </c>
      <c r="E16" s="27">
        <v>11848153</v>
      </c>
      <c r="F16" s="27">
        <v>11516496</v>
      </c>
      <c r="G16" s="27">
        <v>11818134</v>
      </c>
      <c r="H16" s="27">
        <v>12049980</v>
      </c>
      <c r="I16" s="27">
        <v>12676671</v>
      </c>
      <c r="J16" s="27">
        <v>12777387</v>
      </c>
      <c r="K16" s="27">
        <v>13034927</v>
      </c>
      <c r="L16" s="27">
        <v>13089788</v>
      </c>
      <c r="M16" s="27">
        <v>13150213</v>
      </c>
      <c r="N16" s="27">
        <v>13400188</v>
      </c>
      <c r="O16" s="27">
        <v>13730434</v>
      </c>
      <c r="P16" s="27">
        <v>14505220</v>
      </c>
      <c r="Q16" s="27">
        <v>13921880</v>
      </c>
      <c r="R16" s="27">
        <v>13666197</v>
      </c>
      <c r="S16" s="27">
        <v>13708356</v>
      </c>
      <c r="T16" s="27">
        <v>13729357</v>
      </c>
      <c r="U16" s="27">
        <v>13660777</v>
      </c>
      <c r="V16" s="10"/>
    </row>
    <row r="17" spans="1:22">
      <c r="A17" s="11" t="s">
        <v>22</v>
      </c>
      <c r="B17" s="27">
        <v>13604682</v>
      </c>
      <c r="C17" s="27">
        <v>13532286</v>
      </c>
      <c r="D17" s="27">
        <v>13640872</v>
      </c>
      <c r="E17" s="27">
        <v>13494326</v>
      </c>
      <c r="F17" s="27">
        <v>13086890</v>
      </c>
      <c r="G17" s="27">
        <v>13887931</v>
      </c>
      <c r="H17" s="27">
        <v>14463483</v>
      </c>
      <c r="I17" s="27">
        <v>14673456</v>
      </c>
      <c r="J17" s="27">
        <v>14056837</v>
      </c>
      <c r="K17" s="27">
        <v>14426935</v>
      </c>
      <c r="L17" s="27">
        <v>14834776</v>
      </c>
      <c r="M17" s="27">
        <v>15049314</v>
      </c>
      <c r="N17" s="27">
        <v>15326419</v>
      </c>
      <c r="O17" s="27">
        <v>15150567</v>
      </c>
      <c r="P17" s="27">
        <v>15146337</v>
      </c>
      <c r="Q17" s="27">
        <v>15332202</v>
      </c>
      <c r="R17" s="27">
        <v>15523571</v>
      </c>
      <c r="S17" s="27">
        <v>15257169</v>
      </c>
      <c r="T17" s="27">
        <v>15450789</v>
      </c>
      <c r="U17" s="27">
        <v>15295710</v>
      </c>
      <c r="V17" s="10"/>
    </row>
    <row r="18" spans="1:22">
      <c r="A18" s="11" t="s">
        <v>23</v>
      </c>
      <c r="B18" s="27">
        <v>30202428</v>
      </c>
      <c r="C18" s="27">
        <v>30668364</v>
      </c>
      <c r="D18" s="27">
        <v>31029814</v>
      </c>
      <c r="E18" s="27">
        <v>31880508</v>
      </c>
      <c r="F18" s="27">
        <v>31710744</v>
      </c>
      <c r="G18" s="27">
        <v>32599541</v>
      </c>
      <c r="H18" s="27">
        <v>33109375</v>
      </c>
      <c r="I18" s="27">
        <v>33845742</v>
      </c>
      <c r="J18" s="27">
        <v>34247899</v>
      </c>
      <c r="K18" s="27">
        <v>35462575</v>
      </c>
      <c r="L18" s="27">
        <v>35478651</v>
      </c>
      <c r="M18" s="27">
        <v>35737423</v>
      </c>
      <c r="N18" s="27">
        <v>35424163</v>
      </c>
      <c r="O18" s="27">
        <v>35234735</v>
      </c>
      <c r="P18" s="27">
        <v>35572572</v>
      </c>
      <c r="Q18" s="27">
        <v>35286764</v>
      </c>
      <c r="R18" s="27">
        <v>35252728</v>
      </c>
      <c r="S18" s="27">
        <v>35279416</v>
      </c>
      <c r="T18" s="27">
        <v>34772715</v>
      </c>
      <c r="U18" s="27">
        <v>34881001</v>
      </c>
      <c r="V18" s="10"/>
    </row>
    <row r="19" spans="1:22">
      <c r="A19" s="11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10"/>
    </row>
    <row r="20" spans="1:22">
      <c r="A20" s="11" t="s">
        <v>24</v>
      </c>
      <c r="B20" s="27">
        <v>30174037</v>
      </c>
      <c r="C20" s="27">
        <v>30229876</v>
      </c>
      <c r="D20" s="27">
        <v>30598095</v>
      </c>
      <c r="E20" s="27">
        <v>30064749</v>
      </c>
      <c r="F20" s="27">
        <v>29782875</v>
      </c>
      <c r="G20" s="27">
        <v>32342345</v>
      </c>
      <c r="H20" s="27">
        <v>32374227</v>
      </c>
      <c r="I20" s="27">
        <v>33496770</v>
      </c>
      <c r="J20" s="27">
        <v>32569532</v>
      </c>
      <c r="K20" s="27">
        <v>33668770</v>
      </c>
      <c r="L20" s="27">
        <v>33956198</v>
      </c>
      <c r="M20" s="27">
        <v>34232151</v>
      </c>
      <c r="N20" s="27">
        <v>34175769</v>
      </c>
      <c r="O20" s="27">
        <v>32871649</v>
      </c>
      <c r="P20" s="27">
        <v>31995500</v>
      </c>
      <c r="Q20" s="27">
        <v>32979297</v>
      </c>
      <c r="R20" s="27">
        <v>33043372</v>
      </c>
      <c r="S20" s="27">
        <v>32922317</v>
      </c>
      <c r="T20" s="27">
        <v>32290446</v>
      </c>
      <c r="U20" s="27">
        <v>32466316</v>
      </c>
      <c r="V20" s="10"/>
    </row>
    <row r="21" spans="1:22">
      <c r="A21" s="11" t="s">
        <v>25</v>
      </c>
      <c r="B21" s="27">
        <v>19186628</v>
      </c>
      <c r="C21" s="27">
        <v>19784608</v>
      </c>
      <c r="D21" s="27">
        <v>19707042</v>
      </c>
      <c r="E21" s="27">
        <v>20466127</v>
      </c>
      <c r="F21" s="27">
        <v>20205762</v>
      </c>
      <c r="G21" s="27">
        <v>19975357</v>
      </c>
      <c r="H21" s="27">
        <v>20883675</v>
      </c>
      <c r="I21" s="27">
        <v>21669797</v>
      </c>
      <c r="J21" s="27">
        <v>20162565</v>
      </c>
      <c r="K21" s="27">
        <v>21161788</v>
      </c>
      <c r="L21" s="27">
        <v>21304242</v>
      </c>
      <c r="M21" s="27">
        <v>21599709</v>
      </c>
      <c r="N21" s="27">
        <v>21401425</v>
      </c>
      <c r="O21" s="27">
        <v>21440511</v>
      </c>
      <c r="P21" s="27">
        <v>21267690</v>
      </c>
      <c r="Q21" s="27">
        <v>21395214</v>
      </c>
      <c r="R21" s="27">
        <v>21518757</v>
      </c>
      <c r="S21" s="27">
        <v>21124733</v>
      </c>
      <c r="T21" s="27">
        <v>21148516</v>
      </c>
      <c r="U21" s="27">
        <v>20943924</v>
      </c>
      <c r="V21" s="10"/>
    </row>
    <row r="22" spans="1:22">
      <c r="A22" s="11" t="s">
        <v>26</v>
      </c>
      <c r="B22" s="27">
        <v>21552795</v>
      </c>
      <c r="C22" s="27">
        <v>21467200</v>
      </c>
      <c r="D22" s="27">
        <v>21912489</v>
      </c>
      <c r="E22" s="27">
        <v>21733690</v>
      </c>
      <c r="F22" s="27">
        <v>21195372</v>
      </c>
      <c r="G22" s="27">
        <v>22628497</v>
      </c>
      <c r="H22" s="27">
        <v>22940268</v>
      </c>
      <c r="I22" s="27">
        <v>23844062</v>
      </c>
      <c r="J22" s="27">
        <v>21972584</v>
      </c>
      <c r="K22" s="27">
        <v>22716285</v>
      </c>
      <c r="L22" s="27">
        <v>22926257</v>
      </c>
      <c r="M22" s="27">
        <v>22850994</v>
      </c>
      <c r="N22" s="27">
        <v>22745738</v>
      </c>
      <c r="O22" s="27">
        <v>23170421</v>
      </c>
      <c r="P22" s="27">
        <v>23051194</v>
      </c>
      <c r="Q22" s="27">
        <v>22669458</v>
      </c>
      <c r="R22" s="27">
        <v>23239634</v>
      </c>
      <c r="S22" s="27">
        <v>23336239</v>
      </c>
      <c r="T22" s="27">
        <v>23621496</v>
      </c>
      <c r="U22" s="27">
        <v>23406657</v>
      </c>
      <c r="V22" s="10"/>
    </row>
    <row r="23" spans="1:22">
      <c r="A23" s="11" t="s">
        <v>27</v>
      </c>
      <c r="B23" s="27">
        <v>22259153</v>
      </c>
      <c r="C23" s="27">
        <v>22318255</v>
      </c>
      <c r="D23" s="27">
        <v>22841316</v>
      </c>
      <c r="E23" s="27">
        <v>29586829</v>
      </c>
      <c r="F23" s="27">
        <v>27058223</v>
      </c>
      <c r="G23" s="27">
        <v>25483961</v>
      </c>
      <c r="H23" s="27">
        <v>25289004</v>
      </c>
      <c r="I23" s="27">
        <v>26183613</v>
      </c>
      <c r="J23" s="27">
        <v>32278298</v>
      </c>
      <c r="K23" s="27">
        <v>33385057</v>
      </c>
      <c r="L23" s="27">
        <v>34338926</v>
      </c>
      <c r="M23" s="27">
        <v>34853108</v>
      </c>
      <c r="N23" s="27">
        <v>36188450</v>
      </c>
      <c r="O23" s="27">
        <v>38108010</v>
      </c>
      <c r="P23" s="27">
        <v>37389109</v>
      </c>
      <c r="Q23" s="27">
        <v>38468810</v>
      </c>
      <c r="R23" s="27">
        <v>38560627</v>
      </c>
      <c r="S23" s="27">
        <v>37062308</v>
      </c>
      <c r="T23" s="27">
        <v>38930292</v>
      </c>
      <c r="U23" s="27">
        <v>39036912</v>
      </c>
      <c r="V23" s="10"/>
    </row>
    <row r="24" spans="1:22">
      <c r="A24" s="11" t="s">
        <v>28</v>
      </c>
      <c r="B24" s="27">
        <v>14198148</v>
      </c>
      <c r="C24" s="27">
        <v>14781431</v>
      </c>
      <c r="D24" s="27">
        <v>14777933</v>
      </c>
      <c r="E24" s="27">
        <v>14065589</v>
      </c>
      <c r="F24" s="27">
        <v>13839148</v>
      </c>
      <c r="G24" s="27">
        <v>15985754</v>
      </c>
      <c r="H24" s="27">
        <v>16033662</v>
      </c>
      <c r="I24" s="27">
        <v>16695788</v>
      </c>
      <c r="J24" s="27">
        <v>14956104</v>
      </c>
      <c r="K24" s="27">
        <v>15700940</v>
      </c>
      <c r="L24" s="27">
        <v>15943240</v>
      </c>
      <c r="M24" s="27">
        <v>16033393</v>
      </c>
      <c r="N24" s="27">
        <v>16182676</v>
      </c>
      <c r="O24" s="27">
        <v>15260326</v>
      </c>
      <c r="P24" s="27">
        <v>15230106</v>
      </c>
      <c r="Q24" s="27">
        <v>15408790</v>
      </c>
      <c r="R24" s="27">
        <v>15662709</v>
      </c>
      <c r="S24" s="27">
        <v>15707228</v>
      </c>
      <c r="T24" s="27">
        <v>15852867</v>
      </c>
      <c r="U24" s="27">
        <v>16077493</v>
      </c>
      <c r="V24" s="10"/>
    </row>
    <row r="25" spans="1:22">
      <c r="A25" s="11" t="s">
        <v>29</v>
      </c>
      <c r="B25" s="27">
        <v>2243385</v>
      </c>
      <c r="C25" s="27">
        <v>2287592</v>
      </c>
      <c r="D25" s="27">
        <v>2331584</v>
      </c>
      <c r="E25" s="27">
        <v>2474264</v>
      </c>
      <c r="F25" s="27">
        <v>2329648</v>
      </c>
      <c r="G25" s="27">
        <v>2535408</v>
      </c>
      <c r="H25" s="27">
        <v>2579752</v>
      </c>
      <c r="I25" s="27">
        <v>2687927</v>
      </c>
      <c r="J25" s="27">
        <v>2663554</v>
      </c>
      <c r="K25" s="27">
        <v>2794559</v>
      </c>
      <c r="L25" s="27">
        <v>2842759</v>
      </c>
      <c r="M25" s="27">
        <v>2863252</v>
      </c>
      <c r="N25" s="27">
        <v>2879823</v>
      </c>
      <c r="O25" s="27">
        <v>2968564</v>
      </c>
      <c r="P25" s="27">
        <v>3099333</v>
      </c>
      <c r="Q25" s="27">
        <v>3068128</v>
      </c>
      <c r="R25" s="27">
        <v>3104005</v>
      </c>
      <c r="S25" s="27">
        <v>3087020</v>
      </c>
      <c r="T25" s="27">
        <v>3113824</v>
      </c>
      <c r="U25" s="27">
        <v>3132291</v>
      </c>
      <c r="V25" s="10"/>
    </row>
    <row r="26" spans="1:22">
      <c r="A26" s="11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10"/>
    </row>
    <row r="27" spans="1:22">
      <c r="A27" s="11" t="s">
        <v>30</v>
      </c>
      <c r="B27" s="27">
        <v>10265842</v>
      </c>
      <c r="C27" s="27">
        <v>10282448</v>
      </c>
      <c r="D27" s="27">
        <v>10296373</v>
      </c>
      <c r="E27" s="27">
        <v>10422288</v>
      </c>
      <c r="F27" s="27">
        <v>10422842</v>
      </c>
      <c r="G27" s="27">
        <v>10838929</v>
      </c>
      <c r="H27" s="27">
        <v>11062304</v>
      </c>
      <c r="I27" s="27">
        <v>10740381</v>
      </c>
      <c r="J27" s="27">
        <v>9480519</v>
      </c>
      <c r="K27" s="27">
        <v>9780411</v>
      </c>
      <c r="L27" s="27">
        <v>9839329</v>
      </c>
      <c r="M27" s="27">
        <v>9857583</v>
      </c>
      <c r="N27" s="27">
        <v>10109146</v>
      </c>
      <c r="O27" s="27">
        <v>10183575</v>
      </c>
      <c r="P27" s="27">
        <v>10287244</v>
      </c>
      <c r="Q27" s="27">
        <v>10377845</v>
      </c>
      <c r="R27" s="27">
        <v>10402269</v>
      </c>
      <c r="S27" s="27">
        <v>10301780</v>
      </c>
      <c r="T27" s="27">
        <v>10715422</v>
      </c>
      <c r="U27" s="27">
        <v>10598404</v>
      </c>
      <c r="V27" s="10"/>
    </row>
    <row r="28" spans="1:22">
      <c r="A28" s="11" t="s">
        <v>31</v>
      </c>
      <c r="B28" s="27">
        <v>28730610</v>
      </c>
      <c r="C28" s="27">
        <v>29038892</v>
      </c>
      <c r="D28" s="27">
        <v>28526014</v>
      </c>
      <c r="E28" s="27">
        <v>28128181</v>
      </c>
      <c r="F28" s="27">
        <v>27490719</v>
      </c>
      <c r="G28" s="27">
        <v>30431837</v>
      </c>
      <c r="H28" s="27">
        <v>30672062</v>
      </c>
      <c r="I28" s="27">
        <v>31190466</v>
      </c>
      <c r="J28" s="27">
        <v>27655607</v>
      </c>
      <c r="K28" s="27">
        <v>28490989</v>
      </c>
      <c r="L28" s="27">
        <v>29027794</v>
      </c>
      <c r="M28" s="27">
        <v>29202089</v>
      </c>
      <c r="N28" s="27">
        <v>29167192</v>
      </c>
      <c r="O28" s="27">
        <v>28534870</v>
      </c>
      <c r="P28" s="27">
        <v>28405269</v>
      </c>
      <c r="Q28" s="27">
        <v>27789927</v>
      </c>
      <c r="R28" s="27">
        <v>28201517</v>
      </c>
      <c r="S28" s="27">
        <v>28775834</v>
      </c>
      <c r="T28" s="27">
        <v>29198654</v>
      </c>
      <c r="U28" s="27">
        <v>29225459</v>
      </c>
      <c r="V28" s="10"/>
    </row>
    <row r="29" spans="1:22">
      <c r="A29" s="11" t="s">
        <v>32</v>
      </c>
      <c r="B29" s="27">
        <v>11293694</v>
      </c>
      <c r="C29" s="27">
        <v>11370169</v>
      </c>
      <c r="D29" s="27">
        <v>11552602</v>
      </c>
      <c r="E29" s="27">
        <v>10724321</v>
      </c>
      <c r="F29" s="27">
        <v>10904994</v>
      </c>
      <c r="G29" s="27">
        <v>12173421</v>
      </c>
      <c r="H29" s="27">
        <v>12375955</v>
      </c>
      <c r="I29" s="27">
        <v>12619651</v>
      </c>
      <c r="J29" s="27">
        <v>11471333</v>
      </c>
      <c r="K29" s="27">
        <v>11937846</v>
      </c>
      <c r="L29" s="27">
        <v>11964068</v>
      </c>
      <c r="M29" s="27">
        <v>12161291</v>
      </c>
      <c r="N29" s="27">
        <v>12509512</v>
      </c>
      <c r="O29" s="27">
        <v>11119513</v>
      </c>
      <c r="P29" s="27">
        <v>10973495</v>
      </c>
      <c r="Q29" s="27">
        <v>11544733</v>
      </c>
      <c r="R29" s="27">
        <v>11655704</v>
      </c>
      <c r="S29" s="27">
        <v>11817722</v>
      </c>
      <c r="T29" s="27">
        <v>11666950</v>
      </c>
      <c r="U29" s="27">
        <v>11778475</v>
      </c>
      <c r="V29" s="10"/>
    </row>
    <row r="30" spans="1:22">
      <c r="A30" s="11" t="s">
        <v>33</v>
      </c>
      <c r="B30" s="27">
        <v>13508586</v>
      </c>
      <c r="C30" s="27">
        <v>13685812</v>
      </c>
      <c r="D30" s="27">
        <v>13606334</v>
      </c>
      <c r="E30" s="27">
        <v>13874089</v>
      </c>
      <c r="F30" s="27">
        <v>13580479</v>
      </c>
      <c r="G30" s="27">
        <v>14276995</v>
      </c>
      <c r="H30" s="27">
        <v>14239992</v>
      </c>
      <c r="I30" s="27">
        <v>15247328</v>
      </c>
      <c r="J30" s="27">
        <v>14711196</v>
      </c>
      <c r="K30" s="27">
        <v>15359897</v>
      </c>
      <c r="L30" s="27">
        <v>15563112</v>
      </c>
      <c r="M30" s="27">
        <v>15511530</v>
      </c>
      <c r="N30" s="27">
        <v>15574421</v>
      </c>
      <c r="O30" s="27">
        <v>15843902</v>
      </c>
      <c r="P30" s="27">
        <v>16589659</v>
      </c>
      <c r="Q30" s="27">
        <v>16516339</v>
      </c>
      <c r="R30" s="27">
        <v>16314070</v>
      </c>
      <c r="S30" s="27">
        <v>16664149</v>
      </c>
      <c r="T30" s="27">
        <v>16849257</v>
      </c>
      <c r="U30" s="27">
        <v>17101718</v>
      </c>
      <c r="V30" s="10"/>
    </row>
    <row r="31" spans="1:22">
      <c r="A31" s="11" t="s">
        <v>34</v>
      </c>
      <c r="B31" s="27">
        <v>771697</v>
      </c>
      <c r="C31" s="27">
        <v>794685</v>
      </c>
      <c r="D31" s="27">
        <v>779631</v>
      </c>
      <c r="E31" s="27">
        <v>831438</v>
      </c>
      <c r="F31" s="27">
        <v>858564</v>
      </c>
      <c r="G31" s="27">
        <v>935350</v>
      </c>
      <c r="H31" s="27">
        <v>935845</v>
      </c>
      <c r="I31" s="27">
        <v>961901</v>
      </c>
      <c r="J31" s="27">
        <v>929881</v>
      </c>
      <c r="K31" s="27">
        <v>1002041</v>
      </c>
      <c r="L31" s="27">
        <v>1048147</v>
      </c>
      <c r="M31" s="27">
        <v>1064809</v>
      </c>
      <c r="N31" s="27">
        <v>1090621</v>
      </c>
      <c r="O31" s="27">
        <v>1029480</v>
      </c>
      <c r="P31" s="27">
        <v>1075498</v>
      </c>
      <c r="Q31" s="27">
        <v>1126545</v>
      </c>
      <c r="R31" s="27">
        <v>1103196</v>
      </c>
      <c r="S31" s="27">
        <v>1109005</v>
      </c>
      <c r="T31" s="27">
        <v>1141901</v>
      </c>
      <c r="U31" s="27">
        <v>1170496</v>
      </c>
      <c r="V31" s="10"/>
    </row>
    <row r="32" spans="1:22">
      <c r="A32" s="11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10"/>
    </row>
    <row r="33" spans="1:22">
      <c r="A33" s="11" t="s">
        <v>35</v>
      </c>
      <c r="B33" s="27">
        <v>11615070</v>
      </c>
      <c r="C33" s="27">
        <v>11487182</v>
      </c>
      <c r="D33" s="27">
        <v>11683897</v>
      </c>
      <c r="E33" s="27">
        <v>11947713</v>
      </c>
      <c r="F33" s="27">
        <v>11683221</v>
      </c>
      <c r="G33" s="27">
        <v>12433586</v>
      </c>
      <c r="H33" s="27">
        <v>12858735</v>
      </c>
      <c r="I33" s="27">
        <v>13139373</v>
      </c>
      <c r="J33" s="27">
        <v>13211427</v>
      </c>
      <c r="K33" s="27">
        <v>13753538</v>
      </c>
      <c r="L33" s="27">
        <v>13837521</v>
      </c>
      <c r="M33" s="27">
        <v>13980602</v>
      </c>
      <c r="N33" s="27">
        <v>14070791</v>
      </c>
      <c r="O33" s="27">
        <v>13848151</v>
      </c>
      <c r="P33" s="27">
        <v>14006742</v>
      </c>
      <c r="Q33" s="27">
        <v>13951548</v>
      </c>
      <c r="R33" s="27">
        <v>13839777</v>
      </c>
      <c r="S33" s="27">
        <v>13633683</v>
      </c>
      <c r="T33" s="27">
        <v>14001306</v>
      </c>
      <c r="U33" s="27">
        <v>14096931</v>
      </c>
      <c r="V33" s="10"/>
    </row>
    <row r="34" spans="1:22">
      <c r="A34" s="11" t="s">
        <v>36</v>
      </c>
      <c r="B34" s="27">
        <v>8322291</v>
      </c>
      <c r="C34" s="27">
        <v>8242183</v>
      </c>
      <c r="D34" s="27">
        <v>8370590</v>
      </c>
      <c r="E34" s="27">
        <v>8392311</v>
      </c>
      <c r="F34" s="27">
        <v>8278809</v>
      </c>
      <c r="G34" s="27">
        <v>8750157</v>
      </c>
      <c r="H34" s="27">
        <v>8942612</v>
      </c>
      <c r="I34" s="27">
        <v>9089598</v>
      </c>
      <c r="J34" s="27">
        <v>8907219</v>
      </c>
      <c r="K34" s="27">
        <v>9295924</v>
      </c>
      <c r="L34" s="27">
        <v>9392936</v>
      </c>
      <c r="M34" s="27">
        <v>9415644</v>
      </c>
      <c r="N34" s="27">
        <v>9573294</v>
      </c>
      <c r="O34" s="27">
        <v>9209294</v>
      </c>
      <c r="P34" s="27">
        <v>9188369</v>
      </c>
      <c r="Q34" s="27">
        <v>9322932</v>
      </c>
      <c r="R34" s="27">
        <v>9354576</v>
      </c>
      <c r="S34" s="27">
        <v>9358368</v>
      </c>
      <c r="T34" s="27">
        <v>9316153</v>
      </c>
      <c r="U34" s="27">
        <v>9452750</v>
      </c>
      <c r="V34" s="10"/>
    </row>
    <row r="35" spans="1:22">
      <c r="A35" s="11" t="s">
        <v>37</v>
      </c>
      <c r="B35" s="27">
        <v>1650651</v>
      </c>
      <c r="C35" s="27">
        <v>1679016</v>
      </c>
      <c r="D35" s="27">
        <v>1670061</v>
      </c>
      <c r="E35" s="27">
        <v>1727505</v>
      </c>
      <c r="F35" s="27">
        <v>1588938</v>
      </c>
      <c r="G35" s="27">
        <v>1758893</v>
      </c>
      <c r="H35" s="27">
        <v>1810419</v>
      </c>
      <c r="I35" s="27">
        <v>1860247</v>
      </c>
      <c r="J35" s="27">
        <v>1876464</v>
      </c>
      <c r="K35" s="27">
        <v>1929636</v>
      </c>
      <c r="L35" s="27">
        <v>1963878</v>
      </c>
      <c r="M35" s="27">
        <v>2000082</v>
      </c>
      <c r="N35" s="27">
        <v>2023133</v>
      </c>
      <c r="O35" s="27">
        <v>1974471</v>
      </c>
      <c r="P35" s="27">
        <v>2072015</v>
      </c>
      <c r="Q35" s="27">
        <v>2018851</v>
      </c>
      <c r="R35" s="27">
        <v>2075800</v>
      </c>
      <c r="S35" s="27">
        <v>2173114</v>
      </c>
      <c r="T35" s="27">
        <v>2056909</v>
      </c>
      <c r="U35" s="27">
        <v>2114695</v>
      </c>
      <c r="V35" s="10"/>
    </row>
    <row r="36" spans="1:22">
      <c r="A36" s="11" t="s">
        <v>38</v>
      </c>
      <c r="B36" s="27">
        <v>1738307</v>
      </c>
      <c r="C36" s="27">
        <v>1744439</v>
      </c>
      <c r="D36" s="27">
        <v>1784623</v>
      </c>
      <c r="E36" s="27">
        <v>1838381</v>
      </c>
      <c r="F36" s="27">
        <v>1804578</v>
      </c>
      <c r="G36" s="27">
        <v>1891313</v>
      </c>
      <c r="H36" s="27">
        <v>1923857</v>
      </c>
      <c r="I36" s="27">
        <v>1985778</v>
      </c>
      <c r="J36" s="27">
        <v>2011708</v>
      </c>
      <c r="K36" s="27">
        <v>2095899</v>
      </c>
      <c r="L36" s="27">
        <v>2138310</v>
      </c>
      <c r="M36" s="27">
        <v>2163272</v>
      </c>
      <c r="N36" s="27">
        <v>2217138</v>
      </c>
      <c r="O36" s="27">
        <v>2215607</v>
      </c>
      <c r="P36" s="27">
        <v>2241032</v>
      </c>
      <c r="Q36" s="27">
        <v>2287364</v>
      </c>
      <c r="R36" s="27">
        <v>2336020</v>
      </c>
      <c r="S36" s="27">
        <v>2371557</v>
      </c>
      <c r="T36" s="27">
        <v>2356878</v>
      </c>
      <c r="U36" s="27">
        <v>2392805</v>
      </c>
      <c r="V36" s="10"/>
    </row>
    <row r="37" spans="1:22">
      <c r="A37" s="11" t="s">
        <v>39</v>
      </c>
      <c r="B37" s="27">
        <v>5536334</v>
      </c>
      <c r="C37" s="27">
        <v>5566099</v>
      </c>
      <c r="D37" s="27">
        <v>5876119</v>
      </c>
      <c r="E37" s="27">
        <v>6331222</v>
      </c>
      <c r="F37" s="27">
        <v>6120919</v>
      </c>
      <c r="G37" s="27">
        <v>6845800</v>
      </c>
      <c r="H37" s="27">
        <v>6574303</v>
      </c>
      <c r="I37" s="27">
        <v>6881208</v>
      </c>
      <c r="J37" s="27">
        <v>6923701</v>
      </c>
      <c r="K37" s="27">
        <v>7207846</v>
      </c>
      <c r="L37" s="27">
        <v>7393875</v>
      </c>
      <c r="M37" s="27">
        <v>7580988</v>
      </c>
      <c r="N37" s="27">
        <v>7739562</v>
      </c>
      <c r="O37" s="27">
        <v>7759116</v>
      </c>
      <c r="P37" s="27">
        <v>7941675</v>
      </c>
      <c r="Q37" s="27">
        <v>7992050</v>
      </c>
      <c r="R37" s="27">
        <v>8063876</v>
      </c>
      <c r="S37" s="27">
        <v>8124558</v>
      </c>
      <c r="T37" s="27">
        <v>8255944</v>
      </c>
      <c r="U37" s="27">
        <v>8275873</v>
      </c>
      <c r="V37" s="10"/>
    </row>
    <row r="38" spans="1:22"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</row>
  </sheetData>
  <phoneticPr fontId="6" type="noConversion"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1F130-2EB2-524A-B810-01688875245D}">
  <dimension ref="A1:V38"/>
  <sheetViews>
    <sheetView workbookViewId="0">
      <selection sqref="A1:A37"/>
    </sheetView>
  </sheetViews>
  <sheetFormatPr baseColWidth="10" defaultRowHeight="16"/>
  <cols>
    <col min="1" max="1" width="22.1640625" style="10" customWidth="1"/>
  </cols>
  <sheetData>
    <row r="1" spans="1:22" ht="17">
      <c r="A1" s="23" t="s">
        <v>1</v>
      </c>
      <c r="B1" s="23">
        <v>1997</v>
      </c>
      <c r="C1" s="23">
        <v>1998</v>
      </c>
      <c r="D1" s="23">
        <v>1999</v>
      </c>
      <c r="E1" s="23">
        <v>2000</v>
      </c>
      <c r="F1" s="23">
        <v>2001</v>
      </c>
      <c r="G1" s="23">
        <v>2002</v>
      </c>
      <c r="H1" s="23">
        <v>2003</v>
      </c>
      <c r="I1" s="23">
        <v>2004</v>
      </c>
      <c r="J1" s="23">
        <v>2005</v>
      </c>
      <c r="K1" s="23">
        <v>2006</v>
      </c>
      <c r="L1" s="23">
        <v>2007</v>
      </c>
      <c r="M1" s="23">
        <v>2008</v>
      </c>
      <c r="N1" s="23">
        <v>2009</v>
      </c>
      <c r="O1" s="23">
        <v>2010</v>
      </c>
      <c r="P1" s="23">
        <v>2011</v>
      </c>
      <c r="Q1" s="23">
        <v>2012</v>
      </c>
      <c r="R1" s="23">
        <v>2013</v>
      </c>
      <c r="S1" s="23">
        <v>2014</v>
      </c>
      <c r="T1" s="23">
        <v>2015</v>
      </c>
      <c r="U1" s="23">
        <v>2016</v>
      </c>
    </row>
    <row r="2" spans="1:22">
      <c r="A2" s="16" t="s">
        <v>9</v>
      </c>
      <c r="B2" s="11">
        <v>5</v>
      </c>
      <c r="C2" s="11">
        <v>3.7</v>
      </c>
      <c r="D2" s="11">
        <v>8.6999999999999993</v>
      </c>
      <c r="E2" s="26">
        <v>9.1999999999999993</v>
      </c>
      <c r="F2" s="11">
        <v>3.15</v>
      </c>
      <c r="G2" s="11">
        <v>3.56</v>
      </c>
      <c r="H2" s="11">
        <v>2.97</v>
      </c>
      <c r="I2" s="11">
        <v>3.6</v>
      </c>
      <c r="J2" s="11">
        <v>0.6</v>
      </c>
      <c r="K2" s="11">
        <v>5.3</v>
      </c>
      <c r="L2" s="11">
        <v>6.9</v>
      </c>
      <c r="M2" s="26">
        <v>7.4</v>
      </c>
      <c r="N2" s="26">
        <v>4.5</v>
      </c>
      <c r="O2" s="11">
        <v>2.1</v>
      </c>
      <c r="P2" s="11">
        <v>14.7</v>
      </c>
      <c r="Q2" s="11">
        <v>171.1</v>
      </c>
      <c r="R2" s="11">
        <v>4.8</v>
      </c>
      <c r="S2" s="11">
        <v>10.5</v>
      </c>
      <c r="T2" s="11">
        <v>1.3</v>
      </c>
      <c r="U2" s="11">
        <v>16.7</v>
      </c>
      <c r="V2" s="11"/>
    </row>
    <row r="3" spans="1:22">
      <c r="A3" s="11" t="s">
        <v>10</v>
      </c>
      <c r="B3" s="11">
        <v>6</v>
      </c>
      <c r="C3" s="11">
        <v>0.6</v>
      </c>
      <c r="D3" s="11">
        <v>12.2</v>
      </c>
      <c r="E3" s="26">
        <v>11.2</v>
      </c>
      <c r="F3" s="11">
        <v>5.26</v>
      </c>
      <c r="G3" s="11">
        <v>2</v>
      </c>
      <c r="H3" s="11">
        <v>1.24</v>
      </c>
      <c r="I3" s="11">
        <v>2.9</v>
      </c>
      <c r="J3" s="11">
        <v>2.2000000000000002</v>
      </c>
      <c r="K3" s="11">
        <v>4.5999999999999996</v>
      </c>
      <c r="L3" s="11">
        <v>5.4</v>
      </c>
      <c r="M3" s="26">
        <v>2.9</v>
      </c>
      <c r="N3" s="26">
        <v>1.7</v>
      </c>
      <c r="O3" s="11">
        <v>0.5</v>
      </c>
      <c r="P3" s="11">
        <v>0.9</v>
      </c>
      <c r="Q3" s="11">
        <v>32.5</v>
      </c>
      <c r="R3" s="11">
        <v>1</v>
      </c>
      <c r="S3" s="11">
        <v>1.3</v>
      </c>
      <c r="T3" s="11"/>
      <c r="U3" s="11">
        <v>3.6</v>
      </c>
      <c r="V3" s="11"/>
    </row>
    <row r="4" spans="1:22">
      <c r="A4" s="11" t="s">
        <v>11</v>
      </c>
      <c r="B4" s="11">
        <v>78</v>
      </c>
      <c r="C4" s="11">
        <v>78.400000000000006</v>
      </c>
      <c r="D4" s="11">
        <v>101.8</v>
      </c>
      <c r="E4" s="26">
        <v>73</v>
      </c>
      <c r="F4" s="11">
        <v>78.06</v>
      </c>
      <c r="G4" s="11">
        <v>92.45</v>
      </c>
      <c r="H4" s="11">
        <v>128.71</v>
      </c>
      <c r="I4" s="11">
        <v>74.900000000000006</v>
      </c>
      <c r="J4" s="11">
        <v>30</v>
      </c>
      <c r="K4" s="11">
        <v>84.7</v>
      </c>
      <c r="L4" s="11">
        <v>80</v>
      </c>
      <c r="M4" s="26">
        <v>45.3</v>
      </c>
      <c r="N4" s="26">
        <v>137.61000000000001</v>
      </c>
      <c r="O4" s="11">
        <v>97.5</v>
      </c>
      <c r="P4" s="11">
        <v>69.2</v>
      </c>
      <c r="Q4" s="11">
        <v>397.2</v>
      </c>
      <c r="R4" s="11">
        <v>113.3</v>
      </c>
      <c r="S4" s="11">
        <v>135.1</v>
      </c>
      <c r="T4" s="11">
        <v>107.5</v>
      </c>
      <c r="U4" s="11">
        <v>618.9</v>
      </c>
      <c r="V4" s="11"/>
    </row>
    <row r="5" spans="1:22">
      <c r="A5" s="11" t="s">
        <v>12</v>
      </c>
      <c r="B5" s="11">
        <v>76</v>
      </c>
      <c r="C5" s="11">
        <v>80</v>
      </c>
      <c r="D5" s="11">
        <v>134.19999999999999</v>
      </c>
      <c r="E5" s="26">
        <v>65.8</v>
      </c>
      <c r="F5" s="11">
        <v>68.41</v>
      </c>
      <c r="G5" s="11">
        <v>57</v>
      </c>
      <c r="H5" s="11">
        <v>31.53</v>
      </c>
      <c r="I5" s="11">
        <v>41.9</v>
      </c>
      <c r="J5" s="11">
        <v>39.4</v>
      </c>
      <c r="K5" s="11">
        <v>75.7</v>
      </c>
      <c r="L5" s="11">
        <v>114.7</v>
      </c>
      <c r="M5" s="26">
        <v>80.099999999999994</v>
      </c>
      <c r="N5" s="26">
        <v>80.900000000000006</v>
      </c>
      <c r="O5" s="11">
        <v>123</v>
      </c>
      <c r="P5" s="11">
        <v>74.2</v>
      </c>
      <c r="Q5" s="11">
        <v>64.900000000000006</v>
      </c>
      <c r="R5" s="11">
        <v>146.9</v>
      </c>
      <c r="S5" s="11">
        <v>50.8</v>
      </c>
      <c r="T5" s="11">
        <v>103.3</v>
      </c>
      <c r="U5" s="11">
        <v>109</v>
      </c>
      <c r="V5" s="11"/>
    </row>
    <row r="6" spans="1:22">
      <c r="A6" s="11" t="s">
        <v>13</v>
      </c>
      <c r="B6" s="11">
        <v>60</v>
      </c>
      <c r="C6" s="11">
        <v>165.1</v>
      </c>
      <c r="D6" s="11">
        <v>83.8</v>
      </c>
      <c r="E6" s="26">
        <v>97</v>
      </c>
      <c r="F6" s="11">
        <v>86.05</v>
      </c>
      <c r="G6" s="11">
        <v>52.16</v>
      </c>
      <c r="H6" s="11">
        <v>46.47</v>
      </c>
      <c r="I6" s="11">
        <v>85</v>
      </c>
      <c r="J6" s="11">
        <v>24.6</v>
      </c>
      <c r="K6" s="11">
        <v>130.19999999999999</v>
      </c>
      <c r="L6" s="11">
        <v>143.69999999999999</v>
      </c>
      <c r="M6" s="26">
        <v>97.6</v>
      </c>
      <c r="N6" s="26">
        <v>249.7</v>
      </c>
      <c r="O6" s="11">
        <v>138.30000000000001</v>
      </c>
      <c r="P6" s="11">
        <v>103.1</v>
      </c>
      <c r="Q6" s="11">
        <v>152.80000000000001</v>
      </c>
      <c r="R6" s="11">
        <v>128.9</v>
      </c>
      <c r="S6" s="11">
        <v>113.1</v>
      </c>
      <c r="T6" s="11">
        <v>113.5</v>
      </c>
      <c r="U6" s="11">
        <v>179.8</v>
      </c>
      <c r="V6" s="11"/>
    </row>
    <row r="7" spans="1:22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</row>
    <row r="8" spans="1:22">
      <c r="A8" s="11" t="s">
        <v>14</v>
      </c>
      <c r="B8" s="11">
        <v>88</v>
      </c>
      <c r="C8" s="11">
        <v>6</v>
      </c>
      <c r="D8" s="11">
        <v>39</v>
      </c>
      <c r="E8" s="26">
        <v>82.5</v>
      </c>
      <c r="F8" s="11">
        <v>107.17</v>
      </c>
      <c r="G8" s="11">
        <v>16.100000000000001</v>
      </c>
      <c r="H8" s="11">
        <v>9</v>
      </c>
      <c r="I8" s="11">
        <v>23.1</v>
      </c>
      <c r="J8" s="11">
        <v>61.7</v>
      </c>
      <c r="K8" s="11">
        <v>58.5</v>
      </c>
      <c r="L8" s="11">
        <v>173.7</v>
      </c>
      <c r="M8" s="26">
        <v>8.3000000000000007</v>
      </c>
      <c r="N8" s="26">
        <v>166.6</v>
      </c>
      <c r="O8" s="11">
        <v>168.8</v>
      </c>
      <c r="P8" s="11">
        <v>36.6</v>
      </c>
      <c r="Q8" s="11">
        <v>206.6</v>
      </c>
      <c r="R8" s="11">
        <v>125.2</v>
      </c>
      <c r="S8" s="11">
        <v>169.6</v>
      </c>
      <c r="T8" s="11">
        <v>65.099999999999994</v>
      </c>
      <c r="U8" s="11">
        <v>45.9</v>
      </c>
      <c r="V8" s="11"/>
    </row>
    <row r="9" spans="1:22">
      <c r="A9" s="11" t="s">
        <v>15</v>
      </c>
      <c r="B9" s="11">
        <v>90</v>
      </c>
      <c r="C9" s="11">
        <v>140</v>
      </c>
      <c r="D9" s="11">
        <v>34.5</v>
      </c>
      <c r="E9" s="26">
        <v>110</v>
      </c>
      <c r="F9" s="11">
        <v>76.73</v>
      </c>
      <c r="G9" s="11">
        <v>37.92</v>
      </c>
      <c r="H9" s="11">
        <v>11.42</v>
      </c>
      <c r="I9" s="11">
        <v>61</v>
      </c>
      <c r="J9" s="11">
        <v>36.700000000000003</v>
      </c>
      <c r="K9" s="11">
        <v>23.3</v>
      </c>
      <c r="L9" s="11">
        <v>96.4</v>
      </c>
      <c r="M9" s="26">
        <v>2.9</v>
      </c>
      <c r="N9" s="26">
        <v>167.15</v>
      </c>
      <c r="O9" s="11">
        <v>523.70000000000005</v>
      </c>
      <c r="P9" s="11">
        <v>41.4</v>
      </c>
      <c r="Q9" s="11">
        <v>52.1</v>
      </c>
      <c r="R9" s="11">
        <v>133.30000000000001</v>
      </c>
      <c r="S9" s="11">
        <v>117.4</v>
      </c>
      <c r="T9" s="11">
        <v>81.900000000000006</v>
      </c>
      <c r="U9" s="11">
        <v>98.7</v>
      </c>
      <c r="V9" s="11"/>
    </row>
    <row r="10" spans="1:22">
      <c r="A10" s="11" t="s">
        <v>16</v>
      </c>
      <c r="B10" s="11">
        <v>50</v>
      </c>
      <c r="C10" s="11">
        <v>218</v>
      </c>
      <c r="D10" s="11">
        <v>47.3</v>
      </c>
      <c r="E10" s="26">
        <v>98</v>
      </c>
      <c r="F10" s="11">
        <v>86.3</v>
      </c>
      <c r="G10" s="11">
        <v>32.04</v>
      </c>
      <c r="H10" s="11">
        <v>67.7</v>
      </c>
      <c r="I10" s="11">
        <v>99.8</v>
      </c>
      <c r="J10" s="11">
        <v>36.1</v>
      </c>
      <c r="K10" s="11">
        <v>58.1</v>
      </c>
      <c r="L10" s="11">
        <v>171.1</v>
      </c>
      <c r="M10" s="26">
        <v>94.6</v>
      </c>
      <c r="N10" s="26">
        <v>108.11</v>
      </c>
      <c r="O10" s="11">
        <v>60.1</v>
      </c>
      <c r="P10" s="11">
        <v>90.3</v>
      </c>
      <c r="Q10" s="11">
        <v>69.900000000000006</v>
      </c>
      <c r="R10" s="11">
        <v>325.2</v>
      </c>
      <c r="S10" s="11">
        <v>55.8</v>
      </c>
      <c r="T10" s="11">
        <v>39.5</v>
      </c>
      <c r="U10" s="11">
        <v>160.4</v>
      </c>
      <c r="V10" s="11"/>
    </row>
    <row r="11" spans="1:22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</row>
    <row r="12" spans="1:22">
      <c r="A12" s="11" t="s">
        <v>17</v>
      </c>
      <c r="B12" s="11">
        <v>0</v>
      </c>
      <c r="C12" s="11">
        <v>0</v>
      </c>
      <c r="D12" s="11">
        <v>9.1999999999999993</v>
      </c>
      <c r="E12" s="26">
        <v>2</v>
      </c>
      <c r="F12" s="11">
        <v>3.24</v>
      </c>
      <c r="G12" s="11">
        <v>4.05</v>
      </c>
      <c r="H12" s="11">
        <v>0.18</v>
      </c>
      <c r="I12" s="11">
        <v>0.5</v>
      </c>
      <c r="J12" s="11">
        <v>17</v>
      </c>
      <c r="K12" s="11">
        <v>0</v>
      </c>
      <c r="L12" s="11">
        <v>1.6</v>
      </c>
      <c r="M12" s="26">
        <v>0</v>
      </c>
      <c r="N12" s="26">
        <v>3.32</v>
      </c>
      <c r="O12" s="11">
        <v>0</v>
      </c>
      <c r="P12" s="11">
        <v>3.6</v>
      </c>
      <c r="Q12" s="11">
        <v>5.2</v>
      </c>
      <c r="R12" s="11">
        <v>3.7</v>
      </c>
      <c r="S12" s="11">
        <v>0</v>
      </c>
      <c r="T12" s="11">
        <v>3.5</v>
      </c>
      <c r="U12" s="11">
        <v>0.2</v>
      </c>
      <c r="V12" s="11"/>
    </row>
    <row r="13" spans="1:22">
      <c r="A13" s="11" t="s">
        <v>18</v>
      </c>
      <c r="B13" s="11">
        <v>65</v>
      </c>
      <c r="C13" s="11">
        <v>88.4</v>
      </c>
      <c r="D13" s="11">
        <v>28.7</v>
      </c>
      <c r="E13" s="26">
        <v>96</v>
      </c>
      <c r="F13" s="11">
        <v>34.19</v>
      </c>
      <c r="G13" s="11">
        <v>35.06</v>
      </c>
      <c r="H13" s="11">
        <v>234.06</v>
      </c>
      <c r="I13" s="11">
        <v>33.799999999999997</v>
      </c>
      <c r="J13" s="11">
        <v>84.5</v>
      </c>
      <c r="K13" s="11">
        <v>78.599999999999994</v>
      </c>
      <c r="L13" s="11">
        <v>68.3</v>
      </c>
      <c r="M13" s="26">
        <v>54.9</v>
      </c>
      <c r="N13" s="26">
        <v>44.06</v>
      </c>
      <c r="O13" s="11">
        <v>54.5</v>
      </c>
      <c r="P13" s="11">
        <v>90.5</v>
      </c>
      <c r="Q13" s="11">
        <v>107.8</v>
      </c>
      <c r="R13" s="11">
        <v>32.700000000000003</v>
      </c>
      <c r="S13" s="11">
        <v>14</v>
      </c>
      <c r="T13" s="11">
        <v>84.9</v>
      </c>
      <c r="U13" s="11">
        <v>120.9</v>
      </c>
      <c r="V13" s="11"/>
    </row>
    <row r="14" spans="1:22">
      <c r="A14" s="11" t="s">
        <v>19</v>
      </c>
      <c r="B14" s="11">
        <v>262</v>
      </c>
      <c r="C14" s="11">
        <v>66.400000000000006</v>
      </c>
      <c r="D14" s="11">
        <v>147.9</v>
      </c>
      <c r="E14" s="26">
        <v>84.8</v>
      </c>
      <c r="F14" s="11">
        <v>28.3</v>
      </c>
      <c r="G14" s="11">
        <v>125.51</v>
      </c>
      <c r="H14" s="11">
        <v>41.38</v>
      </c>
      <c r="I14" s="11">
        <v>251.7</v>
      </c>
      <c r="J14" s="11">
        <v>345.9</v>
      </c>
      <c r="K14" s="11">
        <v>161</v>
      </c>
      <c r="L14" s="11">
        <v>167.7</v>
      </c>
      <c r="M14" s="26">
        <v>240.5</v>
      </c>
      <c r="N14" s="26">
        <v>119.3</v>
      </c>
      <c r="O14" s="11">
        <v>75.400000000000006</v>
      </c>
      <c r="P14" s="11">
        <v>163.9</v>
      </c>
      <c r="Q14" s="11">
        <v>309.89999999999998</v>
      </c>
      <c r="R14" s="11">
        <v>695.9</v>
      </c>
      <c r="S14" s="11">
        <v>64.400000000000006</v>
      </c>
      <c r="T14" s="11">
        <v>228.2</v>
      </c>
      <c r="U14" s="11">
        <v>167.3</v>
      </c>
      <c r="V14" s="11"/>
    </row>
    <row r="15" spans="1:22">
      <c r="A15" s="11" t="s">
        <v>20</v>
      </c>
      <c r="B15" s="11">
        <v>63</v>
      </c>
      <c r="C15" s="11">
        <v>151.4</v>
      </c>
      <c r="D15" s="11">
        <v>188.1</v>
      </c>
      <c r="E15" s="26">
        <v>94.3</v>
      </c>
      <c r="F15" s="11">
        <v>78.599999999999994</v>
      </c>
      <c r="G15" s="11">
        <v>35.270000000000003</v>
      </c>
      <c r="H15" s="11">
        <v>228.55</v>
      </c>
      <c r="I15" s="11">
        <v>47.1</v>
      </c>
      <c r="J15" s="11">
        <v>151.1</v>
      </c>
      <c r="K15" s="11">
        <v>42.1</v>
      </c>
      <c r="L15" s="11">
        <v>130.30000000000001</v>
      </c>
      <c r="M15" s="26">
        <v>189.7</v>
      </c>
      <c r="N15" s="26">
        <v>132.5</v>
      </c>
      <c r="O15" s="11">
        <v>104.1</v>
      </c>
      <c r="P15" s="11">
        <v>115.2</v>
      </c>
      <c r="Q15" s="11">
        <v>87.2</v>
      </c>
      <c r="R15" s="11">
        <v>206.4</v>
      </c>
      <c r="S15" s="11">
        <v>29.4</v>
      </c>
      <c r="T15" s="11">
        <v>118.9</v>
      </c>
      <c r="U15" s="11">
        <v>564</v>
      </c>
      <c r="V15" s="11"/>
    </row>
    <row r="16" spans="1:22">
      <c r="A16" s="11" t="s">
        <v>21</v>
      </c>
      <c r="B16" s="11">
        <v>61</v>
      </c>
      <c r="C16" s="11">
        <v>95.6</v>
      </c>
      <c r="D16" s="11">
        <v>122.3</v>
      </c>
      <c r="E16" s="26">
        <v>74.5</v>
      </c>
      <c r="F16" s="11">
        <v>60.48</v>
      </c>
      <c r="G16" s="11">
        <v>125.25</v>
      </c>
      <c r="H16" s="11">
        <v>37.44</v>
      </c>
      <c r="I16" s="11">
        <v>54.5</v>
      </c>
      <c r="J16" s="11">
        <v>237.8</v>
      </c>
      <c r="K16" s="11">
        <v>269.60000000000002</v>
      </c>
      <c r="L16" s="11">
        <v>53.2</v>
      </c>
      <c r="M16" s="26">
        <v>62.8</v>
      </c>
      <c r="N16" s="26">
        <v>39.409999999999997</v>
      </c>
      <c r="O16" s="11">
        <v>158.9</v>
      </c>
      <c r="P16" s="11">
        <v>15.1</v>
      </c>
      <c r="Q16" s="11">
        <v>47.3</v>
      </c>
      <c r="R16" s="11">
        <v>120.8</v>
      </c>
      <c r="S16" s="11">
        <v>45.4</v>
      </c>
      <c r="T16" s="11">
        <v>189.1</v>
      </c>
      <c r="U16" s="11">
        <v>473.5</v>
      </c>
      <c r="V16" s="11"/>
    </row>
    <row r="17" spans="1:22">
      <c r="A17" s="11" t="s">
        <v>22</v>
      </c>
      <c r="B17" s="11">
        <v>97</v>
      </c>
      <c r="C17" s="11">
        <v>448.6</v>
      </c>
      <c r="D17" s="11">
        <v>109.3</v>
      </c>
      <c r="E17" s="26">
        <v>98.5</v>
      </c>
      <c r="F17" s="11">
        <v>19.899999999999999</v>
      </c>
      <c r="G17" s="11">
        <v>85.77</v>
      </c>
      <c r="H17" s="11">
        <v>69.7</v>
      </c>
      <c r="I17" s="11">
        <v>41.9</v>
      </c>
      <c r="J17" s="11">
        <v>96.1</v>
      </c>
      <c r="K17" s="11">
        <v>103.7</v>
      </c>
      <c r="L17" s="11">
        <v>68.099999999999994</v>
      </c>
      <c r="M17" s="26">
        <v>329.7</v>
      </c>
      <c r="N17" s="26">
        <v>85.8</v>
      </c>
      <c r="O17" s="11">
        <v>520</v>
      </c>
      <c r="P17" s="11">
        <v>135.69999999999999</v>
      </c>
      <c r="Q17" s="11">
        <v>113.3</v>
      </c>
      <c r="R17" s="11">
        <v>90.2</v>
      </c>
      <c r="S17" s="11">
        <v>72.8</v>
      </c>
      <c r="T17" s="11">
        <v>69.7</v>
      </c>
      <c r="U17" s="11">
        <v>106</v>
      </c>
      <c r="V17" s="11"/>
    </row>
    <row r="18" spans="1:22">
      <c r="A18" s="11" t="s">
        <v>23</v>
      </c>
      <c r="B18" s="11">
        <v>190</v>
      </c>
      <c r="C18" s="11">
        <v>80.2</v>
      </c>
      <c r="D18" s="11">
        <v>108.1</v>
      </c>
      <c r="E18" s="26">
        <v>115.5</v>
      </c>
      <c r="F18" s="11">
        <v>190.7</v>
      </c>
      <c r="G18" s="11">
        <v>288.01</v>
      </c>
      <c r="H18" s="11">
        <v>112.4</v>
      </c>
      <c r="I18" s="11">
        <v>121.3</v>
      </c>
      <c r="J18" s="11">
        <v>75.900000000000006</v>
      </c>
      <c r="K18" s="11">
        <v>89.9</v>
      </c>
      <c r="L18" s="11">
        <v>127.3</v>
      </c>
      <c r="M18" s="26">
        <v>28.2</v>
      </c>
      <c r="N18" s="26">
        <v>162.66</v>
      </c>
      <c r="O18" s="11">
        <v>205.4</v>
      </c>
      <c r="P18" s="11">
        <v>147.5</v>
      </c>
      <c r="Q18" s="11">
        <v>244.8</v>
      </c>
      <c r="R18" s="11">
        <v>89.7</v>
      </c>
      <c r="S18" s="11">
        <v>82.4</v>
      </c>
      <c r="T18" s="11">
        <v>80.7</v>
      </c>
      <c r="U18" s="11">
        <v>72.599999999999994</v>
      </c>
      <c r="V18" s="11"/>
    </row>
    <row r="19" spans="1:22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</row>
    <row r="20" spans="1:22">
      <c r="A20" s="11" t="s">
        <v>24</v>
      </c>
      <c r="B20" s="11">
        <v>89</v>
      </c>
      <c r="C20" s="11">
        <v>47.7</v>
      </c>
      <c r="D20" s="11">
        <v>66.099999999999994</v>
      </c>
      <c r="E20" s="26">
        <v>192.3</v>
      </c>
      <c r="F20" s="11">
        <v>74.39</v>
      </c>
      <c r="G20" s="11">
        <v>36.83</v>
      </c>
      <c r="H20" s="11">
        <v>201.1</v>
      </c>
      <c r="I20" s="11">
        <v>101.6</v>
      </c>
      <c r="J20" s="11">
        <v>81.5</v>
      </c>
      <c r="K20" s="11">
        <v>32.200000000000003</v>
      </c>
      <c r="L20" s="11">
        <v>82.1</v>
      </c>
      <c r="M20" s="26">
        <v>32.799999999999997</v>
      </c>
      <c r="N20" s="26">
        <v>99.28</v>
      </c>
      <c r="O20" s="11">
        <v>195.2</v>
      </c>
      <c r="P20" s="11">
        <v>62</v>
      </c>
      <c r="Q20" s="11">
        <v>26.8</v>
      </c>
      <c r="R20" s="11">
        <v>109.6</v>
      </c>
      <c r="S20" s="11">
        <v>118.7</v>
      </c>
      <c r="T20" s="11">
        <v>44</v>
      </c>
      <c r="U20" s="11">
        <v>124.6</v>
      </c>
      <c r="V20" s="11"/>
    </row>
    <row r="21" spans="1:22">
      <c r="A21" s="11" t="s">
        <v>25</v>
      </c>
      <c r="B21" s="11">
        <v>38</v>
      </c>
      <c r="C21" s="11">
        <v>379.5</v>
      </c>
      <c r="D21" s="11">
        <v>113.7</v>
      </c>
      <c r="E21" s="26">
        <v>75.599999999999994</v>
      </c>
      <c r="F21" s="11">
        <v>109.36</v>
      </c>
      <c r="G21" s="11">
        <v>50.9</v>
      </c>
      <c r="H21" s="11">
        <v>81.09</v>
      </c>
      <c r="I21" s="11">
        <v>55.3</v>
      </c>
      <c r="J21" s="11">
        <v>70.099999999999994</v>
      </c>
      <c r="K21" s="11">
        <v>72.900000000000006</v>
      </c>
      <c r="L21" s="11">
        <v>87.3</v>
      </c>
      <c r="M21" s="26">
        <v>222.1</v>
      </c>
      <c r="N21" s="26">
        <v>68.3</v>
      </c>
      <c r="O21" s="11">
        <v>238.7</v>
      </c>
      <c r="P21" s="11">
        <v>216.2</v>
      </c>
      <c r="Q21" s="11">
        <v>131.69999999999999</v>
      </c>
      <c r="R21" s="11">
        <v>145</v>
      </c>
      <c r="S21" s="11">
        <v>68.400000000000006</v>
      </c>
      <c r="T21" s="11">
        <v>82.2</v>
      </c>
      <c r="U21" s="11">
        <v>837.7</v>
      </c>
      <c r="V21" s="11"/>
    </row>
    <row r="22" spans="1:22">
      <c r="A22" s="11" t="s">
        <v>26</v>
      </c>
      <c r="B22" s="11">
        <v>65</v>
      </c>
      <c r="C22" s="11">
        <v>440</v>
      </c>
      <c r="D22" s="11">
        <v>88.5</v>
      </c>
      <c r="E22" s="26">
        <v>45.2</v>
      </c>
      <c r="F22" s="11">
        <v>114.81</v>
      </c>
      <c r="G22" s="11">
        <v>150.5</v>
      </c>
      <c r="H22" s="11">
        <v>122</v>
      </c>
      <c r="I22" s="11">
        <v>88.4</v>
      </c>
      <c r="J22" s="11">
        <v>87.3</v>
      </c>
      <c r="K22" s="11">
        <v>225</v>
      </c>
      <c r="L22" s="11">
        <v>124.3</v>
      </c>
      <c r="M22" s="26">
        <v>313.10000000000002</v>
      </c>
      <c r="N22" s="26">
        <v>142.94</v>
      </c>
      <c r="O22" s="11">
        <v>273.8</v>
      </c>
      <c r="P22" s="11">
        <v>266.89999999999998</v>
      </c>
      <c r="Q22" s="11">
        <v>149.1</v>
      </c>
      <c r="R22" s="11">
        <v>282.7</v>
      </c>
      <c r="S22" s="11">
        <v>206.5</v>
      </c>
      <c r="T22" s="11">
        <v>126.7</v>
      </c>
      <c r="U22" s="11">
        <v>265.5</v>
      </c>
      <c r="V22" s="11"/>
    </row>
    <row r="23" spans="1:22">
      <c r="A23" s="11" t="s">
        <v>27</v>
      </c>
      <c r="B23" s="11">
        <v>92</v>
      </c>
      <c r="C23" s="11">
        <v>36.1</v>
      </c>
      <c r="D23" s="11">
        <v>83.7</v>
      </c>
      <c r="E23" s="26">
        <v>34.1</v>
      </c>
      <c r="F23" s="11">
        <v>94.11</v>
      </c>
      <c r="G23" s="11">
        <v>58.49</v>
      </c>
      <c r="H23" s="11">
        <v>68.94</v>
      </c>
      <c r="I23" s="11">
        <v>17.399999999999999</v>
      </c>
      <c r="J23" s="11">
        <v>63.1</v>
      </c>
      <c r="K23" s="11">
        <v>316.39999999999998</v>
      </c>
      <c r="L23" s="11">
        <v>55.3</v>
      </c>
      <c r="M23" s="26">
        <v>239.3</v>
      </c>
      <c r="N23" s="26">
        <v>62.84</v>
      </c>
      <c r="O23" s="11">
        <v>178.2</v>
      </c>
      <c r="P23" s="11">
        <v>57.3</v>
      </c>
      <c r="Q23" s="11">
        <v>75.7</v>
      </c>
      <c r="R23" s="11">
        <v>489.8</v>
      </c>
      <c r="S23" s="11">
        <v>337.1</v>
      </c>
      <c r="T23" s="11">
        <v>315.3</v>
      </c>
      <c r="U23" s="11">
        <v>146.9</v>
      </c>
      <c r="V23" s="11"/>
    </row>
    <row r="24" spans="1:22">
      <c r="A24" s="11" t="s">
        <v>28</v>
      </c>
      <c r="B24" s="11">
        <v>97</v>
      </c>
      <c r="C24" s="11">
        <v>132.30000000000001</v>
      </c>
      <c r="D24" s="11">
        <v>84.5</v>
      </c>
      <c r="E24" s="26">
        <v>66.099999999999994</v>
      </c>
      <c r="F24" s="11">
        <v>162.91</v>
      </c>
      <c r="G24" s="11">
        <v>101.71</v>
      </c>
      <c r="H24" s="11">
        <v>77.599999999999994</v>
      </c>
      <c r="I24" s="11">
        <v>69.2</v>
      </c>
      <c r="J24" s="11">
        <v>91.2</v>
      </c>
      <c r="K24" s="11">
        <v>108.3</v>
      </c>
      <c r="L24" s="11">
        <v>49.1</v>
      </c>
      <c r="M24" s="26">
        <v>356.5</v>
      </c>
      <c r="N24" s="26">
        <v>66.2</v>
      </c>
      <c r="O24" s="11">
        <v>108.7</v>
      </c>
      <c r="P24" s="11">
        <v>76.5</v>
      </c>
      <c r="Q24" s="11">
        <v>45.6</v>
      </c>
      <c r="R24" s="11">
        <v>63.1</v>
      </c>
      <c r="S24" s="11">
        <v>191.7</v>
      </c>
      <c r="T24" s="11">
        <v>48.5</v>
      </c>
      <c r="U24" s="11">
        <v>28.5</v>
      </c>
      <c r="V24" s="11"/>
    </row>
    <row r="25" spans="1:22">
      <c r="A25" s="11" t="s">
        <v>29</v>
      </c>
      <c r="B25" s="11">
        <v>33</v>
      </c>
      <c r="C25" s="11">
        <v>6.6</v>
      </c>
      <c r="D25" s="11">
        <v>11.3</v>
      </c>
      <c r="E25" s="26">
        <v>56.3</v>
      </c>
      <c r="F25" s="11">
        <v>20.059999999999999</v>
      </c>
      <c r="G25" s="11">
        <v>16.32</v>
      </c>
      <c r="H25" s="11">
        <v>29.58</v>
      </c>
      <c r="I25" s="11">
        <v>2.6</v>
      </c>
      <c r="J25" s="11">
        <v>117.2</v>
      </c>
      <c r="K25" s="11">
        <v>5.2</v>
      </c>
      <c r="L25" s="11">
        <v>11.7</v>
      </c>
      <c r="M25" s="26">
        <v>23.3</v>
      </c>
      <c r="N25" s="26">
        <v>10.8</v>
      </c>
      <c r="O25" s="11">
        <v>131.9</v>
      </c>
      <c r="P25" s="11">
        <v>85.8</v>
      </c>
      <c r="Q25" s="11">
        <v>15.5</v>
      </c>
      <c r="R25" s="11">
        <v>37.5</v>
      </c>
      <c r="S25" s="11">
        <v>177.4</v>
      </c>
      <c r="T25" s="11">
        <v>14.2</v>
      </c>
      <c r="U25" s="11">
        <v>79.3</v>
      </c>
      <c r="V25" s="11"/>
    </row>
    <row r="26" spans="1:22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</row>
    <row r="27" spans="1:22">
      <c r="A27" s="11" t="s">
        <v>30</v>
      </c>
      <c r="B27" s="11">
        <v>26</v>
      </c>
      <c r="C27" s="11">
        <v>97.6</v>
      </c>
      <c r="D27" s="11">
        <v>44.2</v>
      </c>
      <c r="E27" s="26">
        <v>44.4</v>
      </c>
      <c r="F27" s="11">
        <v>41.33</v>
      </c>
      <c r="G27" s="11">
        <v>35.770000000000003</v>
      </c>
      <c r="H27" s="11">
        <v>24.15</v>
      </c>
      <c r="I27" s="11">
        <v>53</v>
      </c>
      <c r="J27" s="11">
        <v>32.799999999999997</v>
      </c>
      <c r="K27" s="11">
        <v>101.4</v>
      </c>
      <c r="L27" s="11">
        <v>74.599999999999994</v>
      </c>
      <c r="M27" s="26">
        <v>84.6</v>
      </c>
      <c r="N27" s="26">
        <v>48.46</v>
      </c>
      <c r="O27" s="11">
        <v>68.3</v>
      </c>
      <c r="P27" s="11">
        <v>71.900000000000006</v>
      </c>
      <c r="Q27" s="11">
        <v>56</v>
      </c>
      <c r="R27" s="11">
        <v>51.1</v>
      </c>
      <c r="S27" s="11">
        <v>98.5</v>
      </c>
      <c r="T27" s="11">
        <v>22</v>
      </c>
      <c r="U27" s="11">
        <v>47.9</v>
      </c>
      <c r="V27" s="11"/>
    </row>
    <row r="28" spans="1:22">
      <c r="A28" s="11" t="s">
        <v>31</v>
      </c>
      <c r="B28" s="11">
        <v>50</v>
      </c>
      <c r="C28" s="11">
        <v>72.400000000000006</v>
      </c>
      <c r="D28" s="11">
        <v>38.200000000000003</v>
      </c>
      <c r="E28" s="26">
        <v>80.8</v>
      </c>
      <c r="F28" s="11">
        <v>148.55000000000001</v>
      </c>
      <c r="G28" s="11">
        <v>48.59</v>
      </c>
      <c r="H28" s="11">
        <v>57.64</v>
      </c>
      <c r="I28" s="11">
        <v>91.4</v>
      </c>
      <c r="J28" s="11">
        <v>108.1</v>
      </c>
      <c r="K28" s="11">
        <v>154.1</v>
      </c>
      <c r="L28" s="11">
        <v>121.8</v>
      </c>
      <c r="M28" s="26">
        <v>7865</v>
      </c>
      <c r="N28" s="26">
        <v>143.32</v>
      </c>
      <c r="O28" s="11">
        <v>489.9</v>
      </c>
      <c r="P28" s="11">
        <v>360.4</v>
      </c>
      <c r="Q28" s="11">
        <v>402.4</v>
      </c>
      <c r="R28" s="11">
        <v>1202.5999999999999</v>
      </c>
      <c r="S28" s="11">
        <v>205.4</v>
      </c>
      <c r="T28" s="11">
        <v>132</v>
      </c>
      <c r="U28" s="11">
        <v>77.5</v>
      </c>
      <c r="V28" s="11"/>
    </row>
    <row r="29" spans="1:22">
      <c r="A29" s="11" t="s">
        <v>32</v>
      </c>
      <c r="B29" s="11">
        <v>66</v>
      </c>
      <c r="C29" s="11">
        <v>19.7</v>
      </c>
      <c r="D29" s="11">
        <v>36.700000000000003</v>
      </c>
      <c r="E29" s="26">
        <v>48.6</v>
      </c>
      <c r="F29" s="11">
        <v>33.06</v>
      </c>
      <c r="G29" s="11">
        <v>40.65</v>
      </c>
      <c r="H29" s="11">
        <v>28.64</v>
      </c>
      <c r="I29" s="11">
        <v>23.7</v>
      </c>
      <c r="J29" s="11">
        <v>23.1</v>
      </c>
      <c r="K29" s="11">
        <v>55.5</v>
      </c>
      <c r="L29" s="11">
        <v>38.200000000000003</v>
      </c>
      <c r="M29" s="26">
        <v>223.5</v>
      </c>
      <c r="N29" s="26">
        <v>34</v>
      </c>
      <c r="O29" s="11">
        <v>178.6</v>
      </c>
      <c r="P29" s="11">
        <v>249.2</v>
      </c>
      <c r="Q29" s="11">
        <v>65.8</v>
      </c>
      <c r="R29" s="11">
        <v>129</v>
      </c>
      <c r="S29" s="11">
        <v>198</v>
      </c>
      <c r="T29" s="11">
        <v>72.599999999999994</v>
      </c>
      <c r="U29" s="11">
        <v>173.3</v>
      </c>
      <c r="V29" s="11"/>
    </row>
    <row r="30" spans="1:22">
      <c r="A30" s="11" t="s">
        <v>33</v>
      </c>
      <c r="B30" s="11">
        <v>83</v>
      </c>
      <c r="C30" s="11">
        <v>39.5</v>
      </c>
      <c r="D30" s="11">
        <v>76.099999999999994</v>
      </c>
      <c r="E30" s="26">
        <v>120.7</v>
      </c>
      <c r="F30" s="11">
        <v>71.16</v>
      </c>
      <c r="G30" s="11">
        <v>55.08</v>
      </c>
      <c r="H30" s="11">
        <v>33.64</v>
      </c>
      <c r="I30" s="11">
        <v>68.900000000000006</v>
      </c>
      <c r="J30" s="11">
        <v>37.4</v>
      </c>
      <c r="K30" s="11">
        <v>71.2</v>
      </c>
      <c r="L30" s="11">
        <v>72.7</v>
      </c>
      <c r="M30" s="26">
        <v>165.1</v>
      </c>
      <c r="N30" s="26">
        <v>107.85</v>
      </c>
      <c r="O30" s="11">
        <v>344.6</v>
      </c>
      <c r="P30" s="11">
        <v>191.2</v>
      </c>
      <c r="Q30" s="11">
        <v>164.2</v>
      </c>
      <c r="R30" s="11">
        <v>154.19999999999999</v>
      </c>
      <c r="S30" s="11">
        <v>444.2</v>
      </c>
      <c r="T30" s="11">
        <v>141.9</v>
      </c>
      <c r="U30" s="11">
        <v>141</v>
      </c>
      <c r="V30" s="11"/>
    </row>
    <row r="31" spans="1:22">
      <c r="A31" s="11" t="s">
        <v>34</v>
      </c>
      <c r="B31" s="11">
        <v>4</v>
      </c>
      <c r="C31" s="11">
        <v>4.7</v>
      </c>
      <c r="D31" s="11">
        <v>4.2</v>
      </c>
      <c r="E31" s="26">
        <v>1.2</v>
      </c>
      <c r="F31" s="11">
        <v>1.75</v>
      </c>
      <c r="G31" s="11">
        <v>4.97</v>
      </c>
      <c r="H31" s="11">
        <v>2.17</v>
      </c>
      <c r="I31" s="11">
        <v>2.2000000000000002</v>
      </c>
      <c r="J31" s="11">
        <v>2.2999999999999998</v>
      </c>
      <c r="K31" s="11">
        <v>1.3</v>
      </c>
      <c r="L31" s="11">
        <v>3.3</v>
      </c>
      <c r="M31" s="26">
        <v>8.6</v>
      </c>
      <c r="N31" s="26">
        <v>7.08</v>
      </c>
      <c r="O31" s="11">
        <v>5.9</v>
      </c>
      <c r="P31" s="11">
        <v>16</v>
      </c>
      <c r="Q31" s="11">
        <v>2.9</v>
      </c>
      <c r="R31" s="11">
        <v>42</v>
      </c>
      <c r="S31" s="11">
        <v>1.9</v>
      </c>
      <c r="T31" s="11">
        <v>107.2</v>
      </c>
      <c r="U31" s="11">
        <v>33</v>
      </c>
      <c r="V31" s="11"/>
    </row>
    <row r="32" spans="1:2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</row>
    <row r="33" spans="1:22">
      <c r="A33" s="11" t="s">
        <v>35</v>
      </c>
      <c r="B33" s="11">
        <v>58</v>
      </c>
      <c r="C33" s="11">
        <v>44</v>
      </c>
      <c r="D33" s="11">
        <v>53.1</v>
      </c>
      <c r="E33" s="26">
        <v>76.5</v>
      </c>
      <c r="F33" s="11">
        <v>50.15</v>
      </c>
      <c r="G33" s="11">
        <v>81.3</v>
      </c>
      <c r="H33" s="11">
        <v>88.36</v>
      </c>
      <c r="I33" s="11">
        <v>3.3</v>
      </c>
      <c r="J33" s="11">
        <v>53</v>
      </c>
      <c r="K33" s="11">
        <v>70.099999999999994</v>
      </c>
      <c r="L33" s="11">
        <v>114.7</v>
      </c>
      <c r="M33" s="26">
        <v>260.39999999999998</v>
      </c>
      <c r="N33" s="26">
        <v>64.56</v>
      </c>
      <c r="O33" s="11">
        <v>297.10000000000002</v>
      </c>
      <c r="P33" s="11">
        <v>156.30000000000001</v>
      </c>
      <c r="Q33" s="11">
        <v>86.4</v>
      </c>
      <c r="R33" s="11">
        <v>231.7</v>
      </c>
      <c r="S33" s="11">
        <v>93.4</v>
      </c>
      <c r="T33" s="11">
        <v>72.7</v>
      </c>
      <c r="U33" s="11">
        <v>78.400000000000006</v>
      </c>
      <c r="V33" s="11"/>
    </row>
    <row r="34" spans="1:22">
      <c r="A34" s="11" t="s">
        <v>36</v>
      </c>
      <c r="B34" s="11">
        <v>30</v>
      </c>
      <c r="C34" s="11">
        <v>3.8</v>
      </c>
      <c r="D34" s="11">
        <v>9.1</v>
      </c>
      <c r="E34" s="26">
        <v>28.3</v>
      </c>
      <c r="F34" s="11">
        <v>32</v>
      </c>
      <c r="G34" s="11">
        <v>5.27</v>
      </c>
      <c r="H34" s="11">
        <v>16</v>
      </c>
      <c r="I34" s="11">
        <v>39.700000000000003</v>
      </c>
      <c r="J34" s="11">
        <v>8.8000000000000007</v>
      </c>
      <c r="K34" s="11">
        <v>61.5</v>
      </c>
      <c r="L34" s="11">
        <v>41.9</v>
      </c>
      <c r="M34" s="26">
        <v>625.4</v>
      </c>
      <c r="N34" s="26">
        <v>92.18</v>
      </c>
      <c r="O34" s="11">
        <v>222.7</v>
      </c>
      <c r="P34" s="11">
        <v>79</v>
      </c>
      <c r="Q34" s="11">
        <v>134</v>
      </c>
      <c r="R34" s="11">
        <v>542.70000000000005</v>
      </c>
      <c r="S34" s="11">
        <v>74.599999999999994</v>
      </c>
      <c r="T34" s="11">
        <v>61.6</v>
      </c>
      <c r="U34" s="11">
        <v>91.3</v>
      </c>
      <c r="V34" s="11"/>
    </row>
    <row r="35" spans="1:22">
      <c r="A35" s="11" t="s">
        <v>37</v>
      </c>
      <c r="B35" s="11">
        <v>4</v>
      </c>
      <c r="C35" s="11">
        <v>7.5</v>
      </c>
      <c r="D35" s="11">
        <v>11.3</v>
      </c>
      <c r="E35" s="26">
        <v>11</v>
      </c>
      <c r="F35" s="11">
        <v>8.74</v>
      </c>
      <c r="G35" s="11">
        <v>6.89</v>
      </c>
      <c r="H35" s="11">
        <v>2.84</v>
      </c>
      <c r="I35" s="11">
        <v>10.6</v>
      </c>
      <c r="J35" s="11">
        <v>5.6</v>
      </c>
      <c r="K35" s="11">
        <v>16.600000000000001</v>
      </c>
      <c r="L35" s="11">
        <v>14.7</v>
      </c>
      <c r="M35" s="26">
        <v>17.3</v>
      </c>
      <c r="N35" s="26">
        <v>17.899999999999999</v>
      </c>
      <c r="O35" s="11">
        <v>237.7</v>
      </c>
      <c r="P35" s="11">
        <v>21.5</v>
      </c>
      <c r="Q35" s="11">
        <v>15.1</v>
      </c>
      <c r="R35" s="11">
        <v>13.6</v>
      </c>
      <c r="S35" s="11">
        <v>9.3000000000000007</v>
      </c>
      <c r="T35" s="11">
        <v>12</v>
      </c>
      <c r="U35" s="11">
        <v>32.1</v>
      </c>
      <c r="V35" s="11"/>
    </row>
    <row r="36" spans="1:22">
      <c r="A36" s="11" t="s">
        <v>38</v>
      </c>
      <c r="B36" s="11">
        <v>5</v>
      </c>
      <c r="C36" s="11">
        <v>3.2</v>
      </c>
      <c r="D36" s="11">
        <v>4.9000000000000004</v>
      </c>
      <c r="E36" s="26">
        <v>7.1</v>
      </c>
      <c r="F36" s="11">
        <v>7.22</v>
      </c>
      <c r="G36" s="11">
        <v>8.64</v>
      </c>
      <c r="H36" s="11">
        <v>2.59</v>
      </c>
      <c r="I36" s="11">
        <v>16.5</v>
      </c>
      <c r="J36" s="11">
        <v>4.5999999999999996</v>
      </c>
      <c r="K36" s="11">
        <v>16.8</v>
      </c>
      <c r="L36" s="11">
        <v>19.600000000000001</v>
      </c>
      <c r="M36" s="26">
        <v>16.7</v>
      </c>
      <c r="N36" s="26">
        <v>17.73</v>
      </c>
      <c r="O36" s="11">
        <v>13.6</v>
      </c>
      <c r="P36" s="11">
        <v>16.399999999999999</v>
      </c>
      <c r="Q36" s="11">
        <v>8.3000000000000007</v>
      </c>
      <c r="R36" s="11">
        <v>15.4</v>
      </c>
      <c r="S36" s="11">
        <v>16.600000000000001</v>
      </c>
      <c r="T36" s="11">
        <v>8.3000000000000007</v>
      </c>
      <c r="U36" s="11">
        <v>17.399999999999999</v>
      </c>
      <c r="V36" s="11"/>
    </row>
    <row r="37" spans="1:22">
      <c r="A37" s="11" t="s">
        <v>39</v>
      </c>
      <c r="B37" s="11">
        <v>44</v>
      </c>
      <c r="C37" s="11">
        <v>37.700000000000003</v>
      </c>
      <c r="D37" s="11">
        <v>61.7</v>
      </c>
      <c r="E37" s="26">
        <v>44.8</v>
      </c>
      <c r="F37" s="11">
        <v>30.09</v>
      </c>
      <c r="G37" s="11">
        <v>18.850000000000001</v>
      </c>
      <c r="H37" s="11">
        <v>20.260000000000002</v>
      </c>
      <c r="I37" s="11">
        <v>7.5</v>
      </c>
      <c r="J37" s="11">
        <v>8.5</v>
      </c>
      <c r="K37" s="11">
        <v>24.2</v>
      </c>
      <c r="L37" s="11">
        <v>29.3</v>
      </c>
      <c r="M37" s="26">
        <v>43.3</v>
      </c>
      <c r="N37" s="26">
        <v>27</v>
      </c>
      <c r="O37" s="11">
        <v>86.7</v>
      </c>
      <c r="P37" s="11">
        <v>36.5</v>
      </c>
      <c r="Q37" s="11">
        <v>91.3</v>
      </c>
      <c r="R37" s="11">
        <v>80.400000000000006</v>
      </c>
      <c r="S37" s="11">
        <v>170.1</v>
      </c>
      <c r="T37" s="11">
        <v>155.80000000000001</v>
      </c>
      <c r="U37" s="11">
        <v>121.2</v>
      </c>
      <c r="V37" s="11"/>
    </row>
    <row r="38" spans="1:22"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</row>
  </sheetData>
  <phoneticPr fontId="6" type="noConversion"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66778-00AE-0341-8B14-EC02126C0FAE}">
  <dimension ref="A1:U38"/>
  <sheetViews>
    <sheetView workbookViewId="0">
      <selection activeCell="A2" sqref="A2"/>
    </sheetView>
  </sheetViews>
  <sheetFormatPr baseColWidth="10" defaultRowHeight="16"/>
  <cols>
    <col min="1" max="1" width="22.1640625" style="10" customWidth="1"/>
  </cols>
  <sheetData>
    <row r="1" spans="1:21" ht="17">
      <c r="A1" s="23" t="s">
        <v>40</v>
      </c>
      <c r="B1" s="23">
        <v>1997</v>
      </c>
      <c r="C1" s="23">
        <v>1998</v>
      </c>
      <c r="D1" s="23">
        <v>1999</v>
      </c>
      <c r="E1" s="23">
        <v>2000</v>
      </c>
      <c r="F1" s="23">
        <v>2001</v>
      </c>
      <c r="G1" s="23">
        <v>2002</v>
      </c>
      <c r="H1" s="23">
        <v>2003</v>
      </c>
      <c r="I1" s="23">
        <v>2004</v>
      </c>
      <c r="J1" s="23">
        <v>2005</v>
      </c>
      <c r="K1" s="23">
        <v>2006</v>
      </c>
      <c r="L1" s="23">
        <v>2007</v>
      </c>
      <c r="M1" s="23">
        <v>2008</v>
      </c>
      <c r="N1" s="23">
        <v>2009</v>
      </c>
      <c r="O1" s="23">
        <v>2010</v>
      </c>
      <c r="P1" s="23">
        <v>2011</v>
      </c>
      <c r="Q1" s="23">
        <v>2012</v>
      </c>
      <c r="R1" s="23">
        <v>2013</v>
      </c>
      <c r="S1" s="23">
        <v>2014</v>
      </c>
      <c r="T1" s="23">
        <v>2015</v>
      </c>
      <c r="U1" s="23">
        <v>2016</v>
      </c>
    </row>
    <row r="2" spans="1:21">
      <c r="A2" s="16" t="s">
        <v>9</v>
      </c>
      <c r="B2" s="25">
        <v>140723.31896551725</v>
      </c>
      <c r="C2" s="25">
        <v>131345.1077586207</v>
      </c>
      <c r="D2" s="25">
        <v>108345.15086206897</v>
      </c>
      <c r="E2" s="25">
        <v>89500</v>
      </c>
      <c r="F2" s="25">
        <v>90000</v>
      </c>
      <c r="G2" s="25">
        <v>94000</v>
      </c>
      <c r="H2" s="25">
        <v>94000</v>
      </c>
      <c r="I2" s="25">
        <v>98063</v>
      </c>
      <c r="J2" s="25">
        <v>101009</v>
      </c>
      <c r="K2" s="25">
        <v>104922</v>
      </c>
      <c r="L2" s="25">
        <v>107816.69</v>
      </c>
      <c r="M2" s="25">
        <v>113259</v>
      </c>
      <c r="N2" s="25">
        <v>140812.88</v>
      </c>
      <c r="O2" s="25">
        <v>136415</v>
      </c>
      <c r="P2" s="25">
        <v>145468.95000000001</v>
      </c>
      <c r="Q2" s="25">
        <v>140273.72</v>
      </c>
      <c r="R2" s="25">
        <v>144579.93</v>
      </c>
      <c r="S2" s="25">
        <v>150713.57</v>
      </c>
      <c r="T2" s="25">
        <v>151733.34</v>
      </c>
      <c r="U2" s="25">
        <v>166419.28</v>
      </c>
    </row>
    <row r="3" spans="1:21">
      <c r="A3" s="11" t="s">
        <v>10</v>
      </c>
      <c r="B3" s="25">
        <v>46799.454545454544</v>
      </c>
      <c r="C3" s="25">
        <v>44805.818181818177</v>
      </c>
      <c r="D3" s="25">
        <v>32883.409090909088</v>
      </c>
      <c r="E3" s="25">
        <v>40800</v>
      </c>
      <c r="F3" s="25">
        <v>47000</v>
      </c>
      <c r="G3" s="25">
        <v>50000</v>
      </c>
      <c r="H3" s="25">
        <v>46000</v>
      </c>
      <c r="I3" s="25">
        <v>48671</v>
      </c>
      <c r="J3" s="25">
        <v>60361</v>
      </c>
      <c r="K3" s="25">
        <v>58834</v>
      </c>
      <c r="L3" s="25">
        <v>56928.160000000003</v>
      </c>
      <c r="M3" s="25">
        <v>61229</v>
      </c>
      <c r="N3" s="25">
        <v>59647.38</v>
      </c>
      <c r="O3" s="25">
        <v>68196</v>
      </c>
      <c r="P3" s="25">
        <v>67146.94</v>
      </c>
      <c r="Q3" s="25">
        <v>82813.16</v>
      </c>
      <c r="R3" s="25">
        <v>84210</v>
      </c>
      <c r="S3" s="25">
        <v>89361.44</v>
      </c>
      <c r="T3" s="25">
        <v>93008.03</v>
      </c>
      <c r="U3" s="25">
        <v>91534.42</v>
      </c>
    </row>
    <row r="4" spans="1:21">
      <c r="A4" s="11" t="s">
        <v>11</v>
      </c>
      <c r="B4" s="25">
        <v>124716.34486607141</v>
      </c>
      <c r="C4" s="25">
        <v>175682.42075892855</v>
      </c>
      <c r="D4" s="25">
        <v>160808.23660714284</v>
      </c>
      <c r="E4" s="25">
        <v>147900</v>
      </c>
      <c r="F4" s="25">
        <v>167000</v>
      </c>
      <c r="G4" s="25">
        <v>174000</v>
      </c>
      <c r="H4" s="25">
        <v>181000</v>
      </c>
      <c r="I4" s="25">
        <v>206736</v>
      </c>
      <c r="J4" s="25">
        <v>208524</v>
      </c>
      <c r="K4" s="25">
        <v>213672</v>
      </c>
      <c r="L4" s="25">
        <v>222914.35</v>
      </c>
      <c r="M4" s="25">
        <v>234697</v>
      </c>
      <c r="N4" s="25">
        <v>244988.51</v>
      </c>
      <c r="O4" s="25">
        <v>262543</v>
      </c>
      <c r="P4" s="25">
        <v>278551.26</v>
      </c>
      <c r="Q4" s="25">
        <v>305773.5</v>
      </c>
      <c r="R4" s="25">
        <v>310920.53999999998</v>
      </c>
      <c r="S4" s="25">
        <v>309823.96000000002</v>
      </c>
      <c r="T4" s="25">
        <v>310567.56</v>
      </c>
      <c r="U4" s="25">
        <v>288794.55</v>
      </c>
    </row>
    <row r="5" spans="1:21">
      <c r="A5" s="11" t="s">
        <v>12</v>
      </c>
      <c r="B5" s="25">
        <v>118165.18518518518</v>
      </c>
      <c r="C5" s="25">
        <v>132918.98148148149</v>
      </c>
      <c r="D5" s="25">
        <v>119614.44444444444</v>
      </c>
      <c r="E5" s="25">
        <v>91000</v>
      </c>
      <c r="F5" s="25">
        <v>90000</v>
      </c>
      <c r="G5" s="25">
        <v>91000</v>
      </c>
      <c r="H5" s="25">
        <v>93000</v>
      </c>
      <c r="I5" s="25">
        <v>93738</v>
      </c>
      <c r="J5" s="25">
        <v>95096</v>
      </c>
      <c r="K5" s="25">
        <v>89142</v>
      </c>
      <c r="L5" s="25">
        <v>104594.39</v>
      </c>
      <c r="M5" s="25">
        <v>106911</v>
      </c>
      <c r="N5" s="25">
        <v>105875.05</v>
      </c>
      <c r="O5" s="25">
        <v>118299</v>
      </c>
      <c r="P5" s="25">
        <v>116132.01</v>
      </c>
      <c r="Q5" s="25">
        <v>134298.48000000001</v>
      </c>
      <c r="R5" s="25">
        <v>138030.43</v>
      </c>
      <c r="S5" s="25">
        <v>145033.49</v>
      </c>
      <c r="T5" s="25">
        <v>145252.20000000001</v>
      </c>
      <c r="U5" s="25">
        <v>139291.06</v>
      </c>
    </row>
    <row r="6" spans="1:21">
      <c r="A6" s="11" t="s">
        <v>13</v>
      </c>
      <c r="B6" s="25">
        <v>53496.633027522934</v>
      </c>
      <c r="C6" s="25">
        <v>50872.981651376147</v>
      </c>
      <c r="D6" s="25">
        <v>48645.633027522934</v>
      </c>
      <c r="E6" s="25">
        <v>46200</v>
      </c>
      <c r="F6" s="25">
        <v>47000</v>
      </c>
      <c r="G6" s="25">
        <v>48000</v>
      </c>
      <c r="H6" s="25">
        <v>51000</v>
      </c>
      <c r="I6" s="25">
        <v>52568</v>
      </c>
      <c r="J6" s="25">
        <v>56241</v>
      </c>
      <c r="K6" s="25">
        <v>55102</v>
      </c>
      <c r="L6" s="25">
        <v>60405.23</v>
      </c>
      <c r="M6" s="25">
        <v>70421</v>
      </c>
      <c r="N6" s="25">
        <v>73154.740000000005</v>
      </c>
      <c r="O6" s="25">
        <v>92548</v>
      </c>
      <c r="P6" s="25">
        <v>100388.99</v>
      </c>
      <c r="Q6" s="25">
        <v>102424.49</v>
      </c>
      <c r="R6" s="25">
        <v>106920.47</v>
      </c>
      <c r="S6" s="25">
        <v>111916.93</v>
      </c>
      <c r="T6" s="25">
        <v>110861.37</v>
      </c>
      <c r="U6" s="25">
        <v>104695.97</v>
      </c>
    </row>
    <row r="7" spans="1:21">
      <c r="A7" s="11"/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</row>
    <row r="8" spans="1:21">
      <c r="A8" s="11" t="s">
        <v>14</v>
      </c>
      <c r="B8" s="25">
        <v>229696.69724770641</v>
      </c>
      <c r="C8" s="25">
        <v>230009.8128440367</v>
      </c>
      <c r="D8" s="25">
        <v>218879.11926605506</v>
      </c>
      <c r="E8" s="25">
        <v>205600</v>
      </c>
      <c r="F8" s="25">
        <v>196000</v>
      </c>
      <c r="G8" s="25">
        <v>189000</v>
      </c>
      <c r="H8" s="25">
        <v>192000</v>
      </c>
      <c r="I8" s="25">
        <v>195257</v>
      </c>
      <c r="J8" s="25">
        <v>218705</v>
      </c>
      <c r="K8" s="25">
        <v>206236</v>
      </c>
      <c r="L8" s="25">
        <v>220996.73</v>
      </c>
      <c r="M8" s="25">
        <v>212021</v>
      </c>
      <c r="N8" s="25">
        <v>217154.68</v>
      </c>
      <c r="O8" s="25">
        <v>218189</v>
      </c>
      <c r="P8" s="25">
        <v>232247.02</v>
      </c>
      <c r="Q8" s="25">
        <v>238768.79</v>
      </c>
      <c r="R8" s="25">
        <v>234508.18</v>
      </c>
      <c r="S8" s="25">
        <v>262878.96000000002</v>
      </c>
      <c r="T8" s="25">
        <v>260044.58</v>
      </c>
      <c r="U8" s="25">
        <v>228201.74</v>
      </c>
    </row>
    <row r="9" spans="1:21">
      <c r="A9" s="11" t="s">
        <v>15</v>
      </c>
      <c r="B9" s="25">
        <v>94998.34759358289</v>
      </c>
      <c r="C9" s="25">
        <v>88426.935828877002</v>
      </c>
      <c r="D9" s="25">
        <v>89830.133689839568</v>
      </c>
      <c r="E9" s="25">
        <v>86600</v>
      </c>
      <c r="F9" s="25">
        <v>79000</v>
      </c>
      <c r="G9" s="25">
        <v>86000</v>
      </c>
      <c r="H9" s="25">
        <v>83000</v>
      </c>
      <c r="I9" s="25">
        <v>86923</v>
      </c>
      <c r="J9" s="25">
        <v>98005</v>
      </c>
      <c r="K9" s="25">
        <v>89855</v>
      </c>
      <c r="L9" s="25">
        <v>97857.83</v>
      </c>
      <c r="M9" s="25">
        <v>107781</v>
      </c>
      <c r="N9" s="25">
        <v>109714.74</v>
      </c>
      <c r="O9" s="25">
        <v>114431</v>
      </c>
      <c r="P9" s="25">
        <v>116162.36</v>
      </c>
      <c r="Q9" s="25">
        <v>119509.2</v>
      </c>
      <c r="R9" s="25">
        <v>117702.53</v>
      </c>
      <c r="S9" s="25">
        <v>122170.66</v>
      </c>
      <c r="T9" s="25">
        <v>126908.02</v>
      </c>
      <c r="U9" s="25">
        <v>97073.31</v>
      </c>
    </row>
    <row r="10" spans="1:21">
      <c r="A10" s="11" t="s">
        <v>16</v>
      </c>
      <c r="B10" s="25">
        <v>140585.94296577945</v>
      </c>
      <c r="C10" s="25">
        <v>131317.01520912547</v>
      </c>
      <c r="D10" s="25">
        <v>116155.57414448669</v>
      </c>
      <c r="E10" s="25">
        <v>113699.99999999999</v>
      </c>
      <c r="F10" s="25">
        <v>119000</v>
      </c>
      <c r="G10" s="25">
        <v>117000</v>
      </c>
      <c r="H10" s="25">
        <v>119000</v>
      </c>
      <c r="I10" s="25">
        <v>114340</v>
      </c>
      <c r="J10" s="25">
        <v>114041</v>
      </c>
      <c r="K10" s="25">
        <v>110201</v>
      </c>
      <c r="L10" s="25">
        <v>108972.59</v>
      </c>
      <c r="M10" s="25">
        <v>110996</v>
      </c>
      <c r="N10" s="25">
        <v>110508.16</v>
      </c>
      <c r="O10" s="25">
        <v>118575</v>
      </c>
      <c r="P10" s="25">
        <v>150661.01</v>
      </c>
      <c r="Q10" s="25">
        <v>162589.07999999999</v>
      </c>
      <c r="R10" s="25">
        <v>153089.62</v>
      </c>
      <c r="S10" s="25">
        <v>149643.71</v>
      </c>
      <c r="T10" s="25">
        <v>148594.82999999999</v>
      </c>
      <c r="U10" s="25">
        <v>138334.75</v>
      </c>
    </row>
    <row r="11" spans="1:21">
      <c r="A11" s="11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</row>
    <row r="12" spans="1:21">
      <c r="A12" s="11" t="s">
        <v>17</v>
      </c>
      <c r="B12" s="25">
        <v>258295.20441988952</v>
      </c>
      <c r="C12" s="25">
        <v>240840.80110497237</v>
      </c>
      <c r="D12" s="25">
        <v>228159.3370165746</v>
      </c>
      <c r="E12" s="25">
        <v>193700</v>
      </c>
      <c r="F12" s="25">
        <v>195000</v>
      </c>
      <c r="G12" s="25">
        <v>192000</v>
      </c>
      <c r="H12" s="25">
        <v>191000</v>
      </c>
      <c r="I12" s="25">
        <v>193325</v>
      </c>
      <c r="J12" s="25">
        <v>199710</v>
      </c>
      <c r="K12" s="25">
        <v>222565</v>
      </c>
      <c r="L12" s="25">
        <v>226614.08</v>
      </c>
      <c r="M12" s="25">
        <v>223751</v>
      </c>
      <c r="N12" s="25">
        <v>230517.53</v>
      </c>
      <c r="O12" s="25">
        <v>248250</v>
      </c>
      <c r="P12" s="25">
        <v>214155.09</v>
      </c>
      <c r="Q12" s="25">
        <v>219244.06</v>
      </c>
      <c r="R12" s="25">
        <v>222962.91</v>
      </c>
      <c r="S12" s="25">
        <v>221159.73</v>
      </c>
      <c r="T12" s="25">
        <v>224147.22</v>
      </c>
      <c r="U12" s="25">
        <v>220758.79</v>
      </c>
    </row>
    <row r="13" spans="1:21">
      <c r="A13" s="11" t="s">
        <v>18</v>
      </c>
      <c r="B13" s="25">
        <v>303551.90737989102</v>
      </c>
      <c r="C13" s="25">
        <v>343284.56612184248</v>
      </c>
      <c r="D13" s="25">
        <v>347810.41456166422</v>
      </c>
      <c r="E13" s="25">
        <v>349300</v>
      </c>
      <c r="F13" s="25">
        <v>429000</v>
      </c>
      <c r="G13" s="25">
        <v>432000</v>
      </c>
      <c r="H13" s="25">
        <v>420000</v>
      </c>
      <c r="I13" s="25">
        <v>466111</v>
      </c>
      <c r="J13" s="25">
        <v>519425</v>
      </c>
      <c r="K13" s="25">
        <v>508825</v>
      </c>
      <c r="L13" s="25">
        <v>505598.33</v>
      </c>
      <c r="M13" s="25">
        <v>509701</v>
      </c>
      <c r="N13" s="25">
        <v>522329.29</v>
      </c>
      <c r="O13" s="25">
        <v>555500</v>
      </c>
      <c r="P13" s="25">
        <v>592773.76</v>
      </c>
      <c r="Q13" s="25">
        <v>598210.94999999995</v>
      </c>
      <c r="R13" s="25">
        <v>594359.1</v>
      </c>
      <c r="S13" s="25">
        <v>601157.86</v>
      </c>
      <c r="T13" s="25">
        <v>621302.80000000005</v>
      </c>
      <c r="U13" s="25">
        <v>616624.01</v>
      </c>
    </row>
    <row r="14" spans="1:21">
      <c r="A14" s="11" t="s">
        <v>19</v>
      </c>
      <c r="B14" s="25">
        <v>126782.14222873899</v>
      </c>
      <c r="C14" s="25">
        <v>176734.06231671551</v>
      </c>
      <c r="D14" s="25">
        <v>183228.45307917887</v>
      </c>
      <c r="E14" s="25">
        <v>213299.99999999997</v>
      </c>
      <c r="F14" s="25">
        <v>243000</v>
      </c>
      <c r="G14" s="25">
        <v>259000</v>
      </c>
      <c r="H14" s="25">
        <v>270000</v>
      </c>
      <c r="I14" s="25">
        <v>281326</v>
      </c>
      <c r="J14" s="25">
        <v>313196</v>
      </c>
      <c r="K14" s="25">
        <v>303515</v>
      </c>
      <c r="L14" s="25">
        <v>338100.92</v>
      </c>
      <c r="M14" s="25">
        <v>350377</v>
      </c>
      <c r="N14" s="25">
        <v>365017.13</v>
      </c>
      <c r="O14" s="25">
        <v>394828</v>
      </c>
      <c r="P14" s="25">
        <v>420133.89</v>
      </c>
      <c r="Q14" s="25">
        <v>420960.52</v>
      </c>
      <c r="R14" s="25">
        <v>419120.3</v>
      </c>
      <c r="S14" s="25">
        <v>418261.9</v>
      </c>
      <c r="T14" s="25">
        <v>433822.46</v>
      </c>
      <c r="U14" s="25">
        <v>430856.78</v>
      </c>
    </row>
    <row r="15" spans="1:21">
      <c r="A15" s="11" t="s">
        <v>20</v>
      </c>
      <c r="B15" s="25">
        <v>166568.64976228212</v>
      </c>
      <c r="C15" s="25">
        <v>140150.12519809828</v>
      </c>
      <c r="D15" s="25">
        <v>144471.83518225042</v>
      </c>
      <c r="E15" s="25">
        <v>143300</v>
      </c>
      <c r="F15" s="25">
        <v>136000</v>
      </c>
      <c r="G15" s="25">
        <v>143000</v>
      </c>
      <c r="H15" s="25">
        <v>141000</v>
      </c>
      <c r="I15" s="25">
        <v>148316</v>
      </c>
      <c r="J15" s="25">
        <v>156591</v>
      </c>
      <c r="K15" s="25">
        <v>164449</v>
      </c>
      <c r="L15" s="25">
        <v>175327.09</v>
      </c>
      <c r="M15" s="25">
        <v>168670</v>
      </c>
      <c r="N15" s="25">
        <v>179701.21</v>
      </c>
      <c r="O15" s="25">
        <v>184700</v>
      </c>
      <c r="P15" s="25">
        <v>243265.24</v>
      </c>
      <c r="Q15" s="25">
        <v>254328.89</v>
      </c>
      <c r="R15" s="25">
        <v>266234.19</v>
      </c>
      <c r="S15" s="25">
        <v>272313.12</v>
      </c>
      <c r="T15" s="25">
        <v>280626.24</v>
      </c>
      <c r="U15" s="25">
        <v>240665.86</v>
      </c>
    </row>
    <row r="16" spans="1:21">
      <c r="A16" s="11" t="s">
        <v>21</v>
      </c>
      <c r="B16" s="25">
        <v>109148.07291666667</v>
      </c>
      <c r="C16" s="25">
        <v>111250.90625000001</v>
      </c>
      <c r="D16" s="25">
        <v>113663.22916666667</v>
      </c>
      <c r="E16" s="25">
        <v>122100.00000000001</v>
      </c>
      <c r="F16" s="25">
        <v>132000</v>
      </c>
      <c r="G16" s="25">
        <v>137000</v>
      </c>
      <c r="H16" s="25">
        <v>165000</v>
      </c>
      <c r="I16" s="25">
        <v>192968</v>
      </c>
      <c r="J16" s="25">
        <v>212392</v>
      </c>
      <c r="K16" s="25">
        <v>213401</v>
      </c>
      <c r="L16" s="25">
        <v>226997.87</v>
      </c>
      <c r="M16" s="25">
        <v>236269</v>
      </c>
      <c r="N16" s="25">
        <v>246012.63</v>
      </c>
      <c r="O16" s="25">
        <v>238502</v>
      </c>
      <c r="P16" s="25">
        <v>316177.53000000003</v>
      </c>
      <c r="Q16" s="25">
        <v>256262.77</v>
      </c>
      <c r="R16" s="25">
        <v>259097.86</v>
      </c>
      <c r="S16" s="25">
        <v>260579.22</v>
      </c>
      <c r="T16" s="25">
        <v>256868.17</v>
      </c>
      <c r="U16" s="25">
        <v>237016.09</v>
      </c>
    </row>
    <row r="17" spans="1:21">
      <c r="A17" s="11" t="s">
        <v>22</v>
      </c>
      <c r="B17" s="25">
        <v>121252.57142857142</v>
      </c>
      <c r="C17" s="25">
        <v>104493.71428571428</v>
      </c>
      <c r="D17" s="25">
        <v>97126.85714285713</v>
      </c>
      <c r="E17" s="25">
        <v>96000</v>
      </c>
      <c r="F17" s="25">
        <v>99000</v>
      </c>
      <c r="G17" s="25">
        <v>105000</v>
      </c>
      <c r="H17" s="25">
        <v>112000</v>
      </c>
      <c r="I17" s="25">
        <v>120092</v>
      </c>
      <c r="J17" s="25">
        <v>123320</v>
      </c>
      <c r="K17" s="25">
        <v>130183</v>
      </c>
      <c r="L17" s="25">
        <v>141266.69</v>
      </c>
      <c r="M17" s="25">
        <v>138909</v>
      </c>
      <c r="N17" s="25">
        <v>147080.54</v>
      </c>
      <c r="O17" s="25">
        <v>160661</v>
      </c>
      <c r="P17" s="25">
        <v>194431.55</v>
      </c>
      <c r="Q17" s="25">
        <v>201189.71</v>
      </c>
      <c r="R17" s="25">
        <v>207137.56</v>
      </c>
      <c r="S17" s="25">
        <v>208289.04</v>
      </c>
      <c r="T17" s="25">
        <v>223232.28</v>
      </c>
      <c r="U17" s="25">
        <v>221091.88</v>
      </c>
    </row>
    <row r="18" spans="1:21">
      <c r="A18" s="11" t="s">
        <v>23</v>
      </c>
      <c r="B18" s="25">
        <v>199468.75793291023</v>
      </c>
      <c r="C18" s="25">
        <v>243267.34360834089</v>
      </c>
      <c r="D18" s="25">
        <v>224172.93744333636</v>
      </c>
      <c r="E18" s="25">
        <v>229000</v>
      </c>
      <c r="F18" s="25">
        <v>235000</v>
      </c>
      <c r="G18" s="25">
        <v>231000</v>
      </c>
      <c r="H18" s="25">
        <v>246000</v>
      </c>
      <c r="I18" s="25">
        <v>264014</v>
      </c>
      <c r="J18" s="25">
        <v>280377</v>
      </c>
      <c r="K18" s="25">
        <v>299812</v>
      </c>
      <c r="L18" s="25">
        <v>334254.73</v>
      </c>
      <c r="M18" s="25">
        <v>358911</v>
      </c>
      <c r="N18" s="25">
        <v>386731.08</v>
      </c>
      <c r="O18" s="25">
        <v>436372</v>
      </c>
      <c r="P18" s="25">
        <v>443330.98</v>
      </c>
      <c r="Q18" s="25">
        <v>479100.25</v>
      </c>
      <c r="R18" s="25">
        <v>494570.19</v>
      </c>
      <c r="S18" s="25">
        <v>514423.34</v>
      </c>
      <c r="T18" s="25">
        <v>559907.67000000004</v>
      </c>
      <c r="U18" s="25">
        <v>507591.29</v>
      </c>
    </row>
    <row r="19" spans="1:21">
      <c r="A19" s="11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</row>
    <row r="20" spans="1:21">
      <c r="A20" s="11" t="s">
        <v>24</v>
      </c>
      <c r="B20" s="25">
        <v>190944.31135531137</v>
      </c>
      <c r="C20" s="25">
        <v>190314.86813186813</v>
      </c>
      <c r="D20" s="25">
        <v>197903.61904761905</v>
      </c>
      <c r="E20" s="25">
        <v>227600.00000000003</v>
      </c>
      <c r="F20" s="25">
        <v>234000</v>
      </c>
      <c r="G20" s="25">
        <v>238000</v>
      </c>
      <c r="H20" s="25">
        <v>240000</v>
      </c>
      <c r="I20" s="25">
        <v>250652</v>
      </c>
      <c r="J20" s="25">
        <v>262564</v>
      </c>
      <c r="K20" s="25">
        <v>268888</v>
      </c>
      <c r="L20" s="25">
        <v>296467.28999999998</v>
      </c>
      <c r="M20" s="25">
        <v>309193</v>
      </c>
      <c r="N20" s="25">
        <v>333980.15999999997</v>
      </c>
      <c r="O20" s="25">
        <v>358679</v>
      </c>
      <c r="P20" s="25">
        <v>378784.85</v>
      </c>
      <c r="Q20" s="25">
        <v>403667.62</v>
      </c>
      <c r="R20" s="25">
        <v>412581.82</v>
      </c>
      <c r="S20" s="25">
        <v>422832.29</v>
      </c>
      <c r="T20" s="25">
        <v>433486.68</v>
      </c>
      <c r="U20" s="25">
        <v>402055.1</v>
      </c>
    </row>
    <row r="21" spans="1:21">
      <c r="A21" s="11" t="s">
        <v>25</v>
      </c>
      <c r="B21" s="25">
        <v>254367.37113402062</v>
      </c>
      <c r="C21" s="25">
        <v>271280.77507029055</v>
      </c>
      <c r="D21" s="25">
        <v>253384.28772258668</v>
      </c>
      <c r="E21" s="25">
        <v>233100</v>
      </c>
      <c r="F21" s="25">
        <v>223000</v>
      </c>
      <c r="G21" s="25">
        <v>232000</v>
      </c>
      <c r="H21" s="25">
        <v>231000</v>
      </c>
      <c r="I21" s="25">
        <v>232629</v>
      </c>
      <c r="J21" s="25">
        <v>237368</v>
      </c>
      <c r="K21" s="25">
        <v>231454</v>
      </c>
      <c r="L21" s="25">
        <v>246582.56</v>
      </c>
      <c r="M21" s="25">
        <v>258874</v>
      </c>
      <c r="N21" s="25">
        <v>265756.75</v>
      </c>
      <c r="O21" s="25">
        <v>270755</v>
      </c>
      <c r="P21" s="25">
        <v>293063.53000000003</v>
      </c>
      <c r="Q21" s="25">
        <v>290200.42</v>
      </c>
      <c r="R21" s="25">
        <v>294053.96000000002</v>
      </c>
      <c r="S21" s="25">
        <v>301703.65000000002</v>
      </c>
      <c r="T21" s="25">
        <v>313784.76</v>
      </c>
      <c r="U21" s="25">
        <v>274787.28000000003</v>
      </c>
    </row>
    <row r="22" spans="1:21">
      <c r="A22" s="11" t="s">
        <v>26</v>
      </c>
      <c r="B22" s="25">
        <v>243196.98756660748</v>
      </c>
      <c r="C22" s="25">
        <v>246134.28063943164</v>
      </c>
      <c r="D22" s="25">
        <v>236607.77264653644</v>
      </c>
      <c r="E22" s="25">
        <v>211200</v>
      </c>
      <c r="F22" s="25">
        <v>208000</v>
      </c>
      <c r="G22" s="25">
        <v>220000</v>
      </c>
      <c r="H22" s="25">
        <v>236000</v>
      </c>
      <c r="I22" s="25">
        <v>250007</v>
      </c>
      <c r="J22" s="25">
        <v>255638</v>
      </c>
      <c r="K22" s="25">
        <v>235728</v>
      </c>
      <c r="L22" s="25">
        <v>252072.98</v>
      </c>
      <c r="M22" s="25">
        <v>250331</v>
      </c>
      <c r="N22" s="25">
        <v>260278.41</v>
      </c>
      <c r="O22" s="25">
        <v>268110</v>
      </c>
      <c r="P22" s="25">
        <v>278811.44</v>
      </c>
      <c r="Q22" s="25">
        <v>304214.43</v>
      </c>
      <c r="R22" s="25">
        <v>307227</v>
      </c>
      <c r="S22" s="25">
        <v>309960.48</v>
      </c>
      <c r="T22" s="25">
        <v>314107.40999999997</v>
      </c>
      <c r="U22" s="25">
        <v>298756.94</v>
      </c>
    </row>
    <row r="23" spans="1:21">
      <c r="A23" s="11" t="s">
        <v>27</v>
      </c>
      <c r="B23" s="25">
        <v>386367.8133216477</v>
      </c>
      <c r="C23" s="25">
        <v>461764.30762489047</v>
      </c>
      <c r="D23" s="25">
        <v>450417.96669588081</v>
      </c>
      <c r="E23" s="25">
        <v>447500</v>
      </c>
      <c r="F23" s="25">
        <v>511000</v>
      </c>
      <c r="G23" s="25">
        <v>489000</v>
      </c>
      <c r="H23" s="25">
        <v>546000</v>
      </c>
      <c r="I23" s="25">
        <v>541717</v>
      </c>
      <c r="J23" s="25">
        <v>638403</v>
      </c>
      <c r="K23" s="25">
        <v>618921</v>
      </c>
      <c r="L23" s="25">
        <v>690887.04</v>
      </c>
      <c r="M23" s="25">
        <v>677352</v>
      </c>
      <c r="N23" s="25">
        <v>687429.19</v>
      </c>
      <c r="O23" s="25">
        <v>722978</v>
      </c>
      <c r="P23" s="25">
        <v>785586.5</v>
      </c>
      <c r="Q23" s="25">
        <v>838550.53</v>
      </c>
      <c r="R23" s="25">
        <v>862471.08</v>
      </c>
      <c r="S23" s="25">
        <v>905082.06</v>
      </c>
      <c r="T23" s="25">
        <v>911522.63</v>
      </c>
      <c r="U23" s="25">
        <v>938261.03</v>
      </c>
    </row>
    <row r="24" spans="1:21">
      <c r="A24" s="11" t="s">
        <v>28</v>
      </c>
      <c r="B24" s="25">
        <v>157833.92156862744</v>
      </c>
      <c r="C24" s="25">
        <v>174625.83333333331</v>
      </c>
      <c r="D24" s="25">
        <v>175942.25490196075</v>
      </c>
      <c r="E24" s="25">
        <v>164000</v>
      </c>
      <c r="F24" s="25">
        <v>176000</v>
      </c>
      <c r="G24" s="25">
        <v>185000</v>
      </c>
      <c r="H24" s="25">
        <v>215000</v>
      </c>
      <c r="I24" s="25">
        <v>218776</v>
      </c>
      <c r="J24" s="25">
        <v>270857</v>
      </c>
      <c r="K24" s="25">
        <v>250584</v>
      </c>
      <c r="L24" s="25">
        <v>319808.27</v>
      </c>
      <c r="M24" s="25">
        <v>345355</v>
      </c>
      <c r="N24" s="25">
        <v>305507.09000000003</v>
      </c>
      <c r="O24" s="25">
        <v>312630</v>
      </c>
      <c r="P24" s="25">
        <v>222438.92</v>
      </c>
      <c r="Q24" s="25">
        <v>245577.8</v>
      </c>
      <c r="R24" s="25">
        <v>225302.67</v>
      </c>
      <c r="S24" s="25">
        <v>219304.06</v>
      </c>
      <c r="T24" s="25">
        <v>220066.33</v>
      </c>
      <c r="U24" s="25">
        <v>193186.25</v>
      </c>
    </row>
    <row r="25" spans="1:21">
      <c r="A25" s="11" t="s">
        <v>29</v>
      </c>
      <c r="B25" s="25">
        <v>24651.436619718312</v>
      </c>
      <c r="C25" s="25">
        <v>25191.12676056338</v>
      </c>
      <c r="D25" s="25">
        <v>23846.929577464791</v>
      </c>
      <c r="E25" s="25">
        <v>23800</v>
      </c>
      <c r="F25" s="25">
        <v>23000</v>
      </c>
      <c r="G25" s="25">
        <v>24000</v>
      </c>
      <c r="H25" s="25">
        <v>26000</v>
      </c>
      <c r="I25" s="25">
        <v>33055</v>
      </c>
      <c r="J25" s="25">
        <v>35274</v>
      </c>
      <c r="K25" s="25">
        <v>34962</v>
      </c>
      <c r="L25" s="25">
        <v>35158.629999999997</v>
      </c>
      <c r="M25" s="25">
        <v>36188</v>
      </c>
      <c r="N25" s="25">
        <v>37517.74</v>
      </c>
      <c r="O25" s="25">
        <v>36689</v>
      </c>
      <c r="P25" s="25">
        <v>35725.15</v>
      </c>
      <c r="Q25" s="25">
        <v>37103.42</v>
      </c>
      <c r="R25" s="25">
        <v>36156.050000000003</v>
      </c>
      <c r="S25" s="25">
        <v>39351.07</v>
      </c>
      <c r="T25" s="25">
        <v>39123.49</v>
      </c>
      <c r="U25" s="25">
        <v>44097.17</v>
      </c>
    </row>
    <row r="26" spans="1:21">
      <c r="A26" s="11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</row>
    <row r="27" spans="1:21">
      <c r="A27" s="11" t="s">
        <v>30</v>
      </c>
      <c r="B27" s="25">
        <v>58585.767497034401</v>
      </c>
      <c r="C27" s="25">
        <v>51432.623962040328</v>
      </c>
      <c r="D27" s="25">
        <v>137309.91696322657</v>
      </c>
      <c r="E27" s="25">
        <v>128300</v>
      </c>
      <c r="F27" s="25">
        <v>127000</v>
      </c>
      <c r="G27" s="25">
        <v>126000</v>
      </c>
      <c r="H27" s="25">
        <v>134000</v>
      </c>
      <c r="I27" s="25">
        <v>135518</v>
      </c>
      <c r="J27" s="25">
        <v>145221</v>
      </c>
      <c r="K27" s="25">
        <v>145263</v>
      </c>
      <c r="L27" s="25">
        <v>134240.39000000001</v>
      </c>
      <c r="M27" s="25">
        <v>145113</v>
      </c>
      <c r="N27" s="25">
        <v>147068.75</v>
      </c>
      <c r="O27" s="25">
        <v>128113</v>
      </c>
      <c r="P27" s="25">
        <v>131449.82999999999</v>
      </c>
      <c r="Q27" s="25">
        <v>132430.20000000001</v>
      </c>
      <c r="R27" s="25">
        <v>142535.47</v>
      </c>
      <c r="S27" s="25">
        <v>145822.16</v>
      </c>
      <c r="T27" s="25">
        <v>149798.54</v>
      </c>
      <c r="U27" s="25">
        <v>202061.27</v>
      </c>
    </row>
    <row r="28" spans="1:21">
      <c r="A28" s="11" t="s">
        <v>31</v>
      </c>
      <c r="B28" s="25">
        <v>220657.0153846154</v>
      </c>
      <c r="C28" s="25">
        <v>211238.07692307694</v>
      </c>
      <c r="D28" s="25">
        <v>194162.40000000002</v>
      </c>
      <c r="E28" s="25">
        <v>240300</v>
      </c>
      <c r="F28" s="25">
        <v>219000</v>
      </c>
      <c r="G28" s="25">
        <v>227000</v>
      </c>
      <c r="H28" s="25">
        <v>228000</v>
      </c>
      <c r="I28" s="25">
        <v>241720</v>
      </c>
      <c r="J28" s="25">
        <v>261651</v>
      </c>
      <c r="K28" s="25">
        <v>234483</v>
      </c>
      <c r="L28" s="25">
        <v>252961.78</v>
      </c>
      <c r="M28" s="25">
        <v>262343</v>
      </c>
      <c r="N28" s="25">
        <v>262708.65000000002</v>
      </c>
      <c r="O28" s="25">
        <v>256095</v>
      </c>
      <c r="P28" s="25">
        <v>279851.96000000002</v>
      </c>
      <c r="Q28" s="25">
        <v>283657.06</v>
      </c>
      <c r="R28" s="25">
        <v>307647.83</v>
      </c>
      <c r="S28" s="25">
        <v>331276.53000000003</v>
      </c>
      <c r="T28" s="25">
        <v>341607.41</v>
      </c>
      <c r="U28" s="25">
        <v>352826.44</v>
      </c>
    </row>
    <row r="29" spans="1:21">
      <c r="A29" s="11" t="s">
        <v>32</v>
      </c>
      <c r="B29" s="25">
        <v>72695.01941747572</v>
      </c>
      <c r="C29" s="25">
        <v>83672.825242718449</v>
      </c>
      <c r="D29" s="25">
        <v>70102.514563106801</v>
      </c>
      <c r="E29" s="25">
        <v>55400</v>
      </c>
      <c r="F29" s="25">
        <v>56000</v>
      </c>
      <c r="G29" s="25">
        <v>53000</v>
      </c>
      <c r="H29" s="25">
        <v>56000</v>
      </c>
      <c r="I29" s="25">
        <v>55687</v>
      </c>
      <c r="J29" s="25">
        <v>55668</v>
      </c>
      <c r="K29" s="25">
        <v>51460</v>
      </c>
      <c r="L29" s="25">
        <v>55112.42</v>
      </c>
      <c r="M29" s="25">
        <v>55866</v>
      </c>
      <c r="N29" s="25">
        <v>59159.17</v>
      </c>
      <c r="O29" s="25">
        <v>60823</v>
      </c>
      <c r="P29" s="25">
        <v>77927.199999999997</v>
      </c>
      <c r="Q29" s="25">
        <v>91455.12</v>
      </c>
      <c r="R29" s="25">
        <v>93084.53</v>
      </c>
      <c r="S29" s="25">
        <v>110912.12</v>
      </c>
      <c r="T29" s="25">
        <v>112803.12</v>
      </c>
      <c r="U29" s="25">
        <v>100720.11</v>
      </c>
    </row>
    <row r="30" spans="1:21">
      <c r="A30" s="11" t="s">
        <v>33</v>
      </c>
      <c r="B30" s="25">
        <v>76051.923076923078</v>
      </c>
      <c r="C30" s="25">
        <v>83301.923076923078</v>
      </c>
      <c r="D30" s="25">
        <v>71390.38461538461</v>
      </c>
      <c r="E30" s="25">
        <v>67500</v>
      </c>
      <c r="F30" s="25">
        <v>64000</v>
      </c>
      <c r="G30" s="25">
        <v>67000</v>
      </c>
      <c r="H30" s="25">
        <v>68000</v>
      </c>
      <c r="I30" s="25">
        <v>78303</v>
      </c>
      <c r="J30" s="25">
        <v>75202</v>
      </c>
      <c r="K30" s="25">
        <v>76760</v>
      </c>
      <c r="L30" s="25">
        <v>83758.94</v>
      </c>
      <c r="M30" s="25">
        <v>83865</v>
      </c>
      <c r="N30" s="25">
        <v>87590.64</v>
      </c>
      <c r="O30" s="25">
        <v>91992</v>
      </c>
      <c r="P30" s="25">
        <v>147523.1</v>
      </c>
      <c r="Q30" s="25">
        <v>154009.74</v>
      </c>
      <c r="R30" s="25">
        <v>156583.28</v>
      </c>
      <c r="S30" s="25">
        <v>157544.15</v>
      </c>
      <c r="T30" s="25">
        <v>173333.44</v>
      </c>
      <c r="U30" s="25">
        <v>181089.33</v>
      </c>
    </row>
    <row r="31" spans="1:21">
      <c r="A31" s="11" t="s">
        <v>34</v>
      </c>
      <c r="B31" s="25">
        <v>12417.599999999999</v>
      </c>
      <c r="C31" s="25">
        <v>12438.4</v>
      </c>
      <c r="D31" s="25">
        <v>12469.599999999999</v>
      </c>
      <c r="E31" s="25">
        <v>5200</v>
      </c>
      <c r="F31" s="25">
        <v>2000</v>
      </c>
      <c r="G31" s="25">
        <v>1000</v>
      </c>
      <c r="H31" s="25">
        <v>1000</v>
      </c>
      <c r="I31" s="25">
        <v>4501</v>
      </c>
      <c r="J31" s="25">
        <v>4555</v>
      </c>
      <c r="K31" s="25">
        <v>2685</v>
      </c>
      <c r="L31" s="25">
        <v>3335.56</v>
      </c>
      <c r="M31" s="25">
        <v>3420</v>
      </c>
      <c r="N31" s="25">
        <v>3455.23</v>
      </c>
      <c r="O31" s="25">
        <v>3825</v>
      </c>
      <c r="P31" s="25">
        <v>4634.58</v>
      </c>
      <c r="Q31" s="25">
        <v>4683.1400000000003</v>
      </c>
      <c r="R31" s="25">
        <v>5004.68</v>
      </c>
      <c r="S31" s="25">
        <v>5449.68</v>
      </c>
      <c r="T31" s="25">
        <v>5883.3</v>
      </c>
      <c r="U31" s="25">
        <v>6142.75</v>
      </c>
    </row>
    <row r="32" spans="1:21">
      <c r="A32" s="11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</row>
    <row r="33" spans="1:21">
      <c r="A33" s="11" t="s">
        <v>35</v>
      </c>
      <c r="B33" s="25">
        <v>60034.317152103562</v>
      </c>
      <c r="C33" s="25">
        <v>74388.847896440129</v>
      </c>
      <c r="D33" s="25">
        <v>68144.087378640776</v>
      </c>
      <c r="E33" s="25">
        <v>66700</v>
      </c>
      <c r="F33" s="25">
        <v>65000</v>
      </c>
      <c r="G33" s="25">
        <v>67000</v>
      </c>
      <c r="H33" s="25">
        <v>71000</v>
      </c>
      <c r="I33" s="25">
        <v>75810</v>
      </c>
      <c r="J33" s="25">
        <v>83368</v>
      </c>
      <c r="K33" s="25">
        <v>82204</v>
      </c>
      <c r="L33" s="25">
        <v>99348.160000000003</v>
      </c>
      <c r="M33" s="25">
        <v>104883</v>
      </c>
      <c r="N33" s="25">
        <v>111218.74</v>
      </c>
      <c r="O33" s="25">
        <v>115673</v>
      </c>
      <c r="P33" s="25">
        <v>121814.67</v>
      </c>
      <c r="Q33" s="25">
        <v>128749.05</v>
      </c>
      <c r="R33" s="25">
        <v>132169.32999999999</v>
      </c>
      <c r="S33" s="25">
        <v>145785.38</v>
      </c>
      <c r="T33" s="25">
        <v>168121.98</v>
      </c>
      <c r="U33" s="25">
        <v>166565.04</v>
      </c>
    </row>
    <row r="34" spans="1:21">
      <c r="A34" s="11" t="s">
        <v>36</v>
      </c>
      <c r="B34" s="25">
        <v>57488.521008403368</v>
      </c>
      <c r="C34" s="25">
        <v>57758.420168067227</v>
      </c>
      <c r="D34" s="25">
        <v>50204.638655462186</v>
      </c>
      <c r="E34" s="25">
        <v>40400</v>
      </c>
      <c r="F34" s="25">
        <v>38000</v>
      </c>
      <c r="G34" s="25">
        <v>38000</v>
      </c>
      <c r="H34" s="25">
        <v>48000</v>
      </c>
      <c r="I34" s="25">
        <v>45171</v>
      </c>
      <c r="J34" s="25">
        <v>43728</v>
      </c>
      <c r="K34" s="25">
        <v>42254</v>
      </c>
      <c r="L34" s="25">
        <v>44335.27</v>
      </c>
      <c r="M34" s="25">
        <v>47470</v>
      </c>
      <c r="N34" s="25">
        <v>49270.16</v>
      </c>
      <c r="O34" s="25">
        <v>51241</v>
      </c>
      <c r="P34" s="25">
        <v>59231.69</v>
      </c>
      <c r="Q34" s="25">
        <v>62813.02</v>
      </c>
      <c r="R34" s="25">
        <v>64969.46</v>
      </c>
      <c r="S34" s="25">
        <v>65973.23</v>
      </c>
      <c r="T34" s="25">
        <v>67071.509999999995</v>
      </c>
      <c r="U34" s="25">
        <v>66324.7</v>
      </c>
    </row>
    <row r="35" spans="1:21">
      <c r="A35" s="11" t="s">
        <v>37</v>
      </c>
      <c r="B35" s="25">
        <v>11601.702127659575</v>
      </c>
      <c r="C35" s="25">
        <v>10462.978723404256</v>
      </c>
      <c r="D35" s="25">
        <v>10450.212765957447</v>
      </c>
      <c r="E35" s="25">
        <v>12000</v>
      </c>
      <c r="F35" s="25">
        <v>12000</v>
      </c>
      <c r="G35" s="25">
        <v>12000</v>
      </c>
      <c r="H35" s="25">
        <v>11000</v>
      </c>
      <c r="I35" s="25">
        <v>14287</v>
      </c>
      <c r="J35" s="25">
        <v>19360</v>
      </c>
      <c r="K35" s="25">
        <v>15726</v>
      </c>
      <c r="L35" s="25">
        <v>19948.490000000002</v>
      </c>
      <c r="M35" s="25">
        <v>19997</v>
      </c>
      <c r="N35" s="25">
        <v>22170.93</v>
      </c>
      <c r="O35" s="25">
        <v>22609</v>
      </c>
      <c r="P35" s="25">
        <v>21291.52</v>
      </c>
      <c r="Q35" s="25">
        <v>21994.46</v>
      </c>
      <c r="R35" s="25">
        <v>21953.03</v>
      </c>
      <c r="S35" s="25">
        <v>23001.19</v>
      </c>
      <c r="T35" s="25">
        <v>23662.83</v>
      </c>
      <c r="U35" s="25">
        <v>27275.14</v>
      </c>
    </row>
    <row r="36" spans="1:21">
      <c r="A36" s="11" t="s">
        <v>38</v>
      </c>
      <c r="B36" s="25">
        <v>11416.51376146789</v>
      </c>
      <c r="C36" s="25">
        <v>13380.275229357798</v>
      </c>
      <c r="D36" s="25">
        <v>12322.018348623853</v>
      </c>
      <c r="E36" s="25">
        <v>15000</v>
      </c>
      <c r="F36" s="25">
        <v>20000</v>
      </c>
      <c r="G36" s="25">
        <v>24000</v>
      </c>
      <c r="H36" s="25">
        <v>24000</v>
      </c>
      <c r="I36" s="25">
        <v>23773</v>
      </c>
      <c r="J36" s="25">
        <v>35817</v>
      </c>
      <c r="K36" s="25">
        <v>25276</v>
      </c>
      <c r="L36" s="25">
        <v>37213.379999999997</v>
      </c>
      <c r="M36" s="25">
        <v>37948</v>
      </c>
      <c r="N36" s="25">
        <v>41336.46</v>
      </c>
      <c r="O36" s="25">
        <v>40653</v>
      </c>
      <c r="P36" s="25">
        <v>39432.370000000003</v>
      </c>
      <c r="Q36" s="25">
        <v>38948.080000000002</v>
      </c>
      <c r="R36" s="25">
        <v>38528.43</v>
      </c>
      <c r="S36" s="25">
        <v>37277.25</v>
      </c>
      <c r="T36" s="25">
        <v>32024.560000000001</v>
      </c>
      <c r="U36" s="25">
        <v>33948.67</v>
      </c>
    </row>
    <row r="37" spans="1:21">
      <c r="A37" s="11" t="s">
        <v>39</v>
      </c>
      <c r="B37" s="25">
        <v>51112.519480519477</v>
      </c>
      <c r="C37" s="25">
        <v>57280.967532467526</v>
      </c>
      <c r="D37" s="25">
        <v>49768.227272727272</v>
      </c>
      <c r="E37" s="25">
        <v>45300</v>
      </c>
      <c r="F37" s="25">
        <v>48000</v>
      </c>
      <c r="G37" s="25">
        <v>47000</v>
      </c>
      <c r="H37" s="25">
        <v>56000</v>
      </c>
      <c r="I37" s="25">
        <v>60040</v>
      </c>
      <c r="J37" s="25">
        <v>63419</v>
      </c>
      <c r="K37" s="25">
        <v>57440</v>
      </c>
      <c r="L37" s="25">
        <v>68617.3</v>
      </c>
      <c r="M37" s="25">
        <v>74700</v>
      </c>
      <c r="N37" s="25">
        <v>77183.63</v>
      </c>
      <c r="O37" s="25">
        <v>83690</v>
      </c>
      <c r="P37" s="25">
        <v>83328.539999999994</v>
      </c>
      <c r="Q37" s="25">
        <v>93810.49</v>
      </c>
      <c r="R37" s="25">
        <v>100720.29</v>
      </c>
      <c r="S37" s="25">
        <v>102748.31</v>
      </c>
      <c r="T37" s="25">
        <v>99952.06</v>
      </c>
      <c r="U37" s="25">
        <v>93906.89</v>
      </c>
    </row>
    <row r="38" spans="1:21"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</row>
  </sheetData>
  <phoneticPr fontId="6" type="noConversion"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9AFAA-0F77-CF4C-AAD9-59D0255175D7}">
  <dimension ref="A1:V38"/>
  <sheetViews>
    <sheetView workbookViewId="0">
      <selection sqref="A1:A1048576"/>
    </sheetView>
  </sheetViews>
  <sheetFormatPr baseColWidth="10" defaultRowHeight="16"/>
  <cols>
    <col min="1" max="1" width="22.1640625" style="10" customWidth="1"/>
  </cols>
  <sheetData>
    <row r="1" spans="1:22" ht="17">
      <c r="A1" s="23" t="s">
        <v>41</v>
      </c>
      <c r="B1" s="8">
        <v>1997</v>
      </c>
      <c r="C1" s="8">
        <v>1998</v>
      </c>
      <c r="D1" s="8">
        <v>1999</v>
      </c>
      <c r="E1" s="8">
        <v>2000</v>
      </c>
      <c r="F1" s="8">
        <v>2001</v>
      </c>
      <c r="G1" s="8">
        <v>2002</v>
      </c>
      <c r="H1" s="8">
        <v>2003</v>
      </c>
      <c r="I1" s="8">
        <v>2004</v>
      </c>
      <c r="J1" s="8">
        <v>2005</v>
      </c>
      <c r="K1" s="8">
        <v>2006</v>
      </c>
      <c r="L1" s="8">
        <v>2007</v>
      </c>
      <c r="M1" s="8">
        <v>2008</v>
      </c>
      <c r="N1" s="8">
        <v>2009</v>
      </c>
      <c r="O1" s="8">
        <v>2010</v>
      </c>
      <c r="P1" s="8">
        <v>2011</v>
      </c>
      <c r="Q1" s="8">
        <v>2012</v>
      </c>
      <c r="R1" s="8">
        <v>2013</v>
      </c>
      <c r="S1" s="8">
        <v>2014</v>
      </c>
      <c r="T1" s="8">
        <v>2015</v>
      </c>
      <c r="U1" s="8">
        <v>2016</v>
      </c>
    </row>
    <row r="2" spans="1:22">
      <c r="A2" s="16" t="s">
        <v>9</v>
      </c>
      <c r="B2" s="25">
        <v>322576.83060109284</v>
      </c>
      <c r="C2" s="25">
        <v>295173.55191256828</v>
      </c>
      <c r="D2" s="25">
        <v>247370.0546448087</v>
      </c>
      <c r="E2" s="25">
        <v>224000</v>
      </c>
      <c r="F2" s="25">
        <v>201000</v>
      </c>
      <c r="G2" s="25">
        <v>192000</v>
      </c>
      <c r="H2" s="25">
        <v>183000</v>
      </c>
      <c r="I2" s="25">
        <v>191000</v>
      </c>
      <c r="J2" s="25">
        <v>190000</v>
      </c>
      <c r="K2" s="25">
        <v>176000</v>
      </c>
      <c r="L2" s="25">
        <v>151661.15</v>
      </c>
      <c r="M2" s="25">
        <v>123000</v>
      </c>
      <c r="N2" s="25">
        <v>118793.86</v>
      </c>
      <c r="O2" s="25">
        <v>115050</v>
      </c>
      <c r="P2" s="25">
        <v>97883.33</v>
      </c>
      <c r="Q2" s="25">
        <v>93849.39</v>
      </c>
      <c r="R2" s="25">
        <v>87041.62</v>
      </c>
      <c r="S2" s="25">
        <v>78906.03</v>
      </c>
      <c r="T2" s="25">
        <v>71171.67</v>
      </c>
      <c r="U2" s="25">
        <v>33210.019999999997</v>
      </c>
      <c r="V2" s="25"/>
    </row>
    <row r="3" spans="1:22">
      <c r="A3" s="11" t="s">
        <v>10</v>
      </c>
      <c r="B3" s="25">
        <v>362693.9433785681</v>
      </c>
      <c r="C3" s="25">
        <v>309224.51708001876</v>
      </c>
      <c r="D3" s="25">
        <v>234293.83762283577</v>
      </c>
      <c r="E3" s="25">
        <v>329900</v>
      </c>
      <c r="F3" s="25">
        <v>268000</v>
      </c>
      <c r="G3" s="25">
        <v>235000</v>
      </c>
      <c r="H3" s="25">
        <v>259000</v>
      </c>
      <c r="I3" s="25">
        <v>227000</v>
      </c>
      <c r="J3" s="25">
        <v>265000</v>
      </c>
      <c r="K3" s="25">
        <v>255000</v>
      </c>
      <c r="L3" s="25">
        <v>244700</v>
      </c>
      <c r="M3" s="25">
        <v>240000</v>
      </c>
      <c r="N3" s="25">
        <v>236699.81</v>
      </c>
      <c r="O3" s="25">
        <v>235150</v>
      </c>
      <c r="P3" s="25">
        <v>230900</v>
      </c>
      <c r="Q3" s="25">
        <v>224521.4</v>
      </c>
      <c r="R3" s="25">
        <v>216832.07</v>
      </c>
      <c r="S3" s="25">
        <v>209200</v>
      </c>
      <c r="T3" s="25">
        <v>185900.43</v>
      </c>
      <c r="U3" s="25">
        <v>70614.09</v>
      </c>
      <c r="V3" s="25"/>
    </row>
    <row r="4" spans="1:22">
      <c r="A4" s="11" t="s">
        <v>11</v>
      </c>
      <c r="B4" s="25">
        <v>1175977.9804163727</v>
      </c>
      <c r="C4" s="25">
        <v>1412618.4278405081</v>
      </c>
      <c r="D4" s="25">
        <v>1301445.5326393789</v>
      </c>
      <c r="E4" s="25">
        <v>1321300</v>
      </c>
      <c r="F4" s="25">
        <v>1289000</v>
      </c>
      <c r="G4" s="25">
        <v>1279000</v>
      </c>
      <c r="H4" s="25">
        <v>1422000</v>
      </c>
      <c r="I4" s="25">
        <v>1428000</v>
      </c>
      <c r="J4" s="25">
        <v>1495000</v>
      </c>
      <c r="K4" s="25">
        <v>1545000</v>
      </c>
      <c r="L4" s="25">
        <v>1492479.99</v>
      </c>
      <c r="M4" s="25">
        <v>1345000</v>
      </c>
      <c r="N4" s="25">
        <v>1253463.29</v>
      </c>
      <c r="O4" s="25">
        <v>1233780</v>
      </c>
      <c r="P4" s="25">
        <v>1412128.73</v>
      </c>
      <c r="Q4" s="25">
        <v>1341201.1499999999</v>
      </c>
      <c r="R4" s="25">
        <v>1284697.46</v>
      </c>
      <c r="S4" s="25">
        <v>1189902.56</v>
      </c>
      <c r="T4" s="25">
        <v>1108370.93</v>
      </c>
      <c r="U4" s="25">
        <v>789443.81</v>
      </c>
      <c r="V4" s="25"/>
    </row>
    <row r="5" spans="1:22">
      <c r="A5" s="11" t="s">
        <v>12</v>
      </c>
      <c r="B5" s="25">
        <v>917519.50371108903</v>
      </c>
      <c r="C5" s="25">
        <v>1464694.0937188435</v>
      </c>
      <c r="D5" s="25">
        <v>1240935.8608618588</v>
      </c>
      <c r="E5" s="25">
        <v>1201600</v>
      </c>
      <c r="F5" s="25">
        <v>1199000</v>
      </c>
      <c r="G5" s="25">
        <v>1199000</v>
      </c>
      <c r="H5" s="25">
        <v>1363000</v>
      </c>
      <c r="I5" s="25">
        <v>1415000</v>
      </c>
      <c r="J5" s="25">
        <v>1516000</v>
      </c>
      <c r="K5" s="25">
        <v>1478000</v>
      </c>
      <c r="L5" s="25">
        <v>1386724.44</v>
      </c>
      <c r="M5" s="25">
        <v>1308000</v>
      </c>
      <c r="N5" s="25">
        <v>1268427.69</v>
      </c>
      <c r="O5" s="25">
        <v>1249201</v>
      </c>
      <c r="P5" s="25">
        <v>1399051.29</v>
      </c>
      <c r="Q5" s="25">
        <v>1301755</v>
      </c>
      <c r="R5" s="25">
        <v>1255426.92</v>
      </c>
      <c r="S5" s="25">
        <v>1208225.28</v>
      </c>
      <c r="T5" s="25">
        <v>1120643.18</v>
      </c>
      <c r="U5" s="25">
        <v>686444.28</v>
      </c>
      <c r="V5" s="25"/>
    </row>
    <row r="6" spans="1:22">
      <c r="A6" s="11" t="s">
        <v>13</v>
      </c>
      <c r="B6" s="25">
        <v>696974.26703535439</v>
      </c>
      <c r="C6" s="25">
        <v>745353.1333201658</v>
      </c>
      <c r="D6" s="25">
        <v>684142.72328658891</v>
      </c>
      <c r="E6" s="25">
        <v>663800</v>
      </c>
      <c r="F6" s="25">
        <v>646000</v>
      </c>
      <c r="G6" s="25">
        <v>731000</v>
      </c>
      <c r="H6" s="25">
        <v>1288000</v>
      </c>
      <c r="I6" s="25">
        <v>1179000</v>
      </c>
      <c r="J6" s="25">
        <v>1456000</v>
      </c>
      <c r="K6" s="25">
        <v>1557000</v>
      </c>
      <c r="L6" s="25">
        <v>1455800.49</v>
      </c>
      <c r="M6" s="25">
        <v>1431000</v>
      </c>
      <c r="N6" s="25">
        <v>1398803.38</v>
      </c>
      <c r="O6" s="25">
        <v>1394100</v>
      </c>
      <c r="P6" s="25">
        <v>1409404.33</v>
      </c>
      <c r="Q6" s="25">
        <v>1384928.33</v>
      </c>
      <c r="R6" s="25">
        <v>1358691.74</v>
      </c>
      <c r="S6" s="25">
        <v>1312436.3700000001</v>
      </c>
      <c r="T6" s="25">
        <v>1230945.68</v>
      </c>
      <c r="U6" s="25">
        <v>625742.23</v>
      </c>
      <c r="V6" s="25"/>
    </row>
    <row r="7" spans="1:22">
      <c r="A7" s="11"/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</row>
    <row r="8" spans="1:22">
      <c r="A8" s="11" t="s">
        <v>14</v>
      </c>
      <c r="B8" s="25">
        <v>1106707.4037126258</v>
      </c>
      <c r="C8" s="25">
        <v>993108.39620235236</v>
      </c>
      <c r="D8" s="25">
        <v>956109.67549950408</v>
      </c>
      <c r="E8" s="25">
        <v>932400</v>
      </c>
      <c r="F8" s="25">
        <v>839000</v>
      </c>
      <c r="G8" s="25">
        <v>793000</v>
      </c>
      <c r="H8" s="25">
        <v>823000</v>
      </c>
      <c r="I8" s="25">
        <v>831000</v>
      </c>
      <c r="J8" s="25">
        <v>1197000</v>
      </c>
      <c r="K8" s="25">
        <v>1259000</v>
      </c>
      <c r="L8" s="25">
        <v>1233842.8500000001</v>
      </c>
      <c r="M8" s="25">
        <v>1131000</v>
      </c>
      <c r="N8" s="25">
        <v>1051419.47</v>
      </c>
      <c r="O8" s="25">
        <v>1022207</v>
      </c>
      <c r="P8" s="25">
        <v>1126169.82</v>
      </c>
      <c r="Q8" s="25">
        <v>1058712.3</v>
      </c>
      <c r="R8" s="25">
        <v>1027044.07</v>
      </c>
      <c r="S8" s="25">
        <v>994597.4</v>
      </c>
      <c r="T8" s="25">
        <v>968766.93</v>
      </c>
      <c r="U8" s="25">
        <v>507695.2</v>
      </c>
      <c r="V8" s="25"/>
    </row>
    <row r="9" spans="1:22">
      <c r="A9" s="11" t="s">
        <v>15</v>
      </c>
      <c r="B9" s="25">
        <v>273637.42588001979</v>
      </c>
      <c r="C9" s="25">
        <v>299800.86018839857</v>
      </c>
      <c r="D9" s="25">
        <v>297486.36440257804</v>
      </c>
      <c r="E9" s="25">
        <v>285700</v>
      </c>
      <c r="F9" s="25">
        <v>265000</v>
      </c>
      <c r="G9" s="25">
        <v>265000</v>
      </c>
      <c r="H9" s="25">
        <v>272000</v>
      </c>
      <c r="I9" s="25">
        <v>285000</v>
      </c>
      <c r="J9" s="25">
        <v>383000</v>
      </c>
      <c r="K9" s="25">
        <v>409000</v>
      </c>
      <c r="L9" s="25">
        <v>398977.41</v>
      </c>
      <c r="M9" s="25">
        <v>378000</v>
      </c>
      <c r="N9" s="25">
        <v>363005.24</v>
      </c>
      <c r="O9" s="25">
        <v>356310</v>
      </c>
      <c r="P9" s="25">
        <v>413190.52</v>
      </c>
      <c r="Q9" s="25">
        <v>403482.25</v>
      </c>
      <c r="R9" s="25">
        <v>381452.65</v>
      </c>
      <c r="S9" s="25">
        <v>372256</v>
      </c>
      <c r="T9" s="25">
        <v>362928</v>
      </c>
      <c r="U9" s="25">
        <v>188065.71</v>
      </c>
      <c r="V9" s="25"/>
    </row>
    <row r="10" spans="1:22">
      <c r="A10" s="11" t="s">
        <v>16</v>
      </c>
      <c r="B10" s="25">
        <v>300234.92196662154</v>
      </c>
      <c r="C10" s="25">
        <v>296648.16238159675</v>
      </c>
      <c r="D10" s="25">
        <v>287334.0929183581</v>
      </c>
      <c r="E10" s="25">
        <v>296600</v>
      </c>
      <c r="F10" s="25">
        <v>292000</v>
      </c>
      <c r="G10" s="25">
        <v>287000</v>
      </c>
      <c r="H10" s="25">
        <v>356000</v>
      </c>
      <c r="I10" s="25">
        <v>373000</v>
      </c>
      <c r="J10" s="25">
        <v>508000</v>
      </c>
      <c r="K10" s="25">
        <v>518000</v>
      </c>
      <c r="L10" s="25">
        <v>515368.72</v>
      </c>
      <c r="M10" s="25">
        <v>506000</v>
      </c>
      <c r="N10" s="25">
        <v>490383.48</v>
      </c>
      <c r="O10" s="25">
        <v>490164</v>
      </c>
      <c r="P10" s="25">
        <v>521896.19</v>
      </c>
      <c r="Q10" s="25">
        <v>514299.73</v>
      </c>
      <c r="R10" s="25">
        <v>489093.76</v>
      </c>
      <c r="S10" s="25">
        <v>472248.4</v>
      </c>
      <c r="T10" s="25">
        <v>456331.21</v>
      </c>
      <c r="U10" s="25">
        <v>338220.91</v>
      </c>
      <c r="V10" s="25"/>
    </row>
    <row r="11" spans="1:22">
      <c r="A11" s="11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</row>
    <row r="12" spans="1:22">
      <c r="A12" s="11" t="s">
        <v>17</v>
      </c>
      <c r="B12" s="25">
        <v>570380.23347613227</v>
      </c>
      <c r="C12" s="25">
        <v>556050.55875153001</v>
      </c>
      <c r="D12" s="25">
        <v>442231.14596083236</v>
      </c>
      <c r="E12" s="25">
        <v>464900</v>
      </c>
      <c r="F12" s="25">
        <v>473000</v>
      </c>
      <c r="G12" s="25">
        <v>447000</v>
      </c>
      <c r="H12" s="25">
        <v>451000</v>
      </c>
      <c r="I12" s="25">
        <v>474000</v>
      </c>
      <c r="J12" s="25">
        <v>513000</v>
      </c>
      <c r="K12" s="25">
        <v>508000</v>
      </c>
      <c r="L12" s="25">
        <v>497818.19</v>
      </c>
      <c r="M12" s="25">
        <v>446000</v>
      </c>
      <c r="N12" s="25">
        <v>378907.51</v>
      </c>
      <c r="O12" s="25">
        <v>358100</v>
      </c>
      <c r="P12" s="25">
        <v>240101.5</v>
      </c>
      <c r="Q12" s="25">
        <v>228218.29</v>
      </c>
      <c r="R12" s="25">
        <v>215848.15</v>
      </c>
      <c r="S12" s="25">
        <v>188149.16</v>
      </c>
      <c r="T12" s="25">
        <v>170843.51999999999</v>
      </c>
      <c r="U12" s="25">
        <v>74245.77</v>
      </c>
      <c r="V12" s="25"/>
    </row>
    <row r="13" spans="1:22">
      <c r="A13" s="11" t="s">
        <v>18</v>
      </c>
      <c r="B13" s="25">
        <v>1051362.2361086768</v>
      </c>
      <c r="C13" s="25">
        <v>1280524.7463628398</v>
      </c>
      <c r="D13" s="25">
        <v>984723.95337423321</v>
      </c>
      <c r="E13" s="25">
        <v>1201800</v>
      </c>
      <c r="F13" s="25">
        <v>1148000</v>
      </c>
      <c r="G13" s="25">
        <v>1120000</v>
      </c>
      <c r="H13" s="25">
        <v>1240000</v>
      </c>
      <c r="I13" s="25">
        <v>1240000</v>
      </c>
      <c r="J13" s="25">
        <v>1373000</v>
      </c>
      <c r="K13" s="25">
        <v>1304000</v>
      </c>
      <c r="L13" s="25">
        <v>1218055.77</v>
      </c>
      <c r="M13" s="25">
        <v>1130000</v>
      </c>
      <c r="N13" s="25">
        <v>1074154.54</v>
      </c>
      <c r="O13" s="25">
        <v>1050488</v>
      </c>
      <c r="P13" s="25">
        <v>1053799.74</v>
      </c>
      <c r="Q13" s="25">
        <v>991966.79</v>
      </c>
      <c r="R13" s="25">
        <v>941679.05</v>
      </c>
      <c r="S13" s="25">
        <v>904740.62</v>
      </c>
      <c r="T13" s="25">
        <v>835058.81</v>
      </c>
      <c r="U13" s="25">
        <v>570115.69999999995</v>
      </c>
      <c r="V13" s="25"/>
    </row>
    <row r="14" spans="1:22">
      <c r="A14" s="11" t="s">
        <v>19</v>
      </c>
      <c r="B14" s="25">
        <v>433539.60555357783</v>
      </c>
      <c r="C14" s="25">
        <v>659029.41402634396</v>
      </c>
      <c r="D14" s="25">
        <v>641694.92061231763</v>
      </c>
      <c r="E14" s="25">
        <v>592800</v>
      </c>
      <c r="F14" s="25">
        <v>592000</v>
      </c>
      <c r="G14" s="25">
        <v>624000</v>
      </c>
      <c r="H14" s="25">
        <v>734000</v>
      </c>
      <c r="I14" s="25">
        <v>814000</v>
      </c>
      <c r="J14" s="25">
        <v>860000</v>
      </c>
      <c r="K14" s="25">
        <v>859000</v>
      </c>
      <c r="L14" s="25">
        <v>797026.56</v>
      </c>
      <c r="M14" s="25">
        <v>741000</v>
      </c>
      <c r="N14" s="25">
        <v>701329.51</v>
      </c>
      <c r="O14" s="25">
        <v>678342</v>
      </c>
      <c r="P14" s="25">
        <v>662048.27</v>
      </c>
      <c r="Q14" s="25">
        <v>625766.42000000004</v>
      </c>
      <c r="R14" s="25">
        <v>593363.79</v>
      </c>
      <c r="S14" s="25">
        <v>574012.17000000004</v>
      </c>
      <c r="T14" s="25">
        <v>537826.34</v>
      </c>
      <c r="U14" s="25">
        <v>268384.63</v>
      </c>
      <c r="V14" s="25"/>
    </row>
    <row r="15" spans="1:22">
      <c r="A15" s="11" t="s">
        <v>20</v>
      </c>
      <c r="B15" s="25">
        <v>374652.17084997147</v>
      </c>
      <c r="C15" s="25">
        <v>427391.91072447231</v>
      </c>
      <c r="D15" s="25">
        <v>410744.43639475183</v>
      </c>
      <c r="E15" s="25">
        <v>395300</v>
      </c>
      <c r="F15" s="25">
        <v>396000</v>
      </c>
      <c r="G15" s="25">
        <v>396000</v>
      </c>
      <c r="H15" s="25">
        <v>455000</v>
      </c>
      <c r="I15" s="25">
        <v>490000</v>
      </c>
      <c r="J15" s="25">
        <v>571000</v>
      </c>
      <c r="K15" s="25">
        <v>584000</v>
      </c>
      <c r="L15" s="25">
        <v>571701.04</v>
      </c>
      <c r="M15" s="25">
        <v>556000</v>
      </c>
      <c r="N15" s="25">
        <v>538423.97</v>
      </c>
      <c r="O15" s="25">
        <v>532076</v>
      </c>
      <c r="P15" s="25">
        <v>529473.84</v>
      </c>
      <c r="Q15" s="25">
        <v>519589.35</v>
      </c>
      <c r="R15" s="25">
        <v>501349.13</v>
      </c>
      <c r="S15" s="25">
        <v>492965.67</v>
      </c>
      <c r="T15" s="25">
        <v>480072.79</v>
      </c>
      <c r="U15" s="25">
        <v>281566.51</v>
      </c>
      <c r="V15" s="25"/>
    </row>
    <row r="16" spans="1:22">
      <c r="A16" s="11" t="s">
        <v>21</v>
      </c>
      <c r="B16" s="25">
        <v>123097.99346710219</v>
      </c>
      <c r="C16" s="25">
        <v>162670.90527298179</v>
      </c>
      <c r="D16" s="25">
        <v>178030.33131124591</v>
      </c>
      <c r="E16" s="25">
        <v>225000</v>
      </c>
      <c r="F16" s="25">
        <v>200000</v>
      </c>
      <c r="G16" s="25">
        <v>193000</v>
      </c>
      <c r="H16" s="25">
        <v>304000</v>
      </c>
      <c r="I16" s="25">
        <v>326000</v>
      </c>
      <c r="J16" s="25">
        <v>461000</v>
      </c>
      <c r="K16" s="25">
        <v>469000</v>
      </c>
      <c r="L16" s="25">
        <v>445657.8</v>
      </c>
      <c r="M16" s="25">
        <v>429000</v>
      </c>
      <c r="N16" s="25">
        <v>419656.35</v>
      </c>
      <c r="O16" s="25">
        <v>409051</v>
      </c>
      <c r="P16" s="25">
        <v>389174.59</v>
      </c>
      <c r="Q16" s="25">
        <v>371251.34</v>
      </c>
      <c r="R16" s="25">
        <v>361003.48</v>
      </c>
      <c r="S16" s="25">
        <v>355957.2</v>
      </c>
      <c r="T16" s="25">
        <v>337881.74</v>
      </c>
      <c r="U16" s="25">
        <v>189257.18</v>
      </c>
      <c r="V16" s="25"/>
    </row>
    <row r="17" spans="1:22">
      <c r="A17" s="11" t="s">
        <v>22</v>
      </c>
      <c r="B17" s="25">
        <v>242831.91148906632</v>
      </c>
      <c r="C17" s="25">
        <v>273437.2533842416</v>
      </c>
      <c r="D17" s="25">
        <v>265506.10725442559</v>
      </c>
      <c r="E17" s="25">
        <v>323100</v>
      </c>
      <c r="F17" s="25">
        <v>306000</v>
      </c>
      <c r="G17" s="25">
        <v>293000</v>
      </c>
      <c r="H17" s="25">
        <v>438000</v>
      </c>
      <c r="I17" s="25">
        <v>519000</v>
      </c>
      <c r="J17" s="25">
        <v>613000</v>
      </c>
      <c r="K17" s="25">
        <v>634000</v>
      </c>
      <c r="L17" s="25">
        <v>620989.32999999996</v>
      </c>
      <c r="M17" s="25">
        <v>583000</v>
      </c>
      <c r="N17" s="25">
        <v>564221.98</v>
      </c>
      <c r="O17" s="25">
        <v>557072</v>
      </c>
      <c r="P17" s="25">
        <v>584061.27</v>
      </c>
      <c r="Q17" s="25">
        <v>567687.21</v>
      </c>
      <c r="R17" s="25">
        <v>557703.6</v>
      </c>
      <c r="S17" s="25">
        <v>534414.92000000004</v>
      </c>
      <c r="T17" s="25">
        <v>528064.92000000004</v>
      </c>
      <c r="U17" s="25">
        <v>276888.21999999997</v>
      </c>
      <c r="V17" s="25"/>
    </row>
    <row r="18" spans="1:22">
      <c r="A18" s="11" t="s">
        <v>23</v>
      </c>
      <c r="B18" s="25">
        <v>1839957.2661373126</v>
      </c>
      <c r="C18" s="25">
        <v>2163656.9007461155</v>
      </c>
      <c r="D18" s="25">
        <v>1784402.2570333355</v>
      </c>
      <c r="E18" s="25">
        <v>1795900</v>
      </c>
      <c r="F18" s="25">
        <v>1722000</v>
      </c>
      <c r="G18" s="25">
        <v>1690000</v>
      </c>
      <c r="H18" s="25">
        <v>1836000</v>
      </c>
      <c r="I18" s="25">
        <v>1821000</v>
      </c>
      <c r="J18" s="25">
        <v>2002000</v>
      </c>
      <c r="K18" s="25">
        <v>1962000</v>
      </c>
      <c r="L18" s="25">
        <v>1822149.93</v>
      </c>
      <c r="M18" s="25">
        <v>1692000</v>
      </c>
      <c r="N18" s="25">
        <v>1590301.46</v>
      </c>
      <c r="O18" s="25">
        <v>1537818</v>
      </c>
      <c r="P18" s="25">
        <v>1827397.2</v>
      </c>
      <c r="Q18" s="25">
        <v>1748806.99</v>
      </c>
      <c r="R18" s="25">
        <v>1644967.09</v>
      </c>
      <c r="S18" s="25">
        <v>1590236.96</v>
      </c>
      <c r="T18" s="25">
        <v>1525670.1</v>
      </c>
      <c r="U18" s="25">
        <v>1134524.43</v>
      </c>
      <c r="V18" s="25"/>
    </row>
    <row r="19" spans="1:22">
      <c r="A19" s="11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</row>
    <row r="20" spans="1:22">
      <c r="A20" s="11" t="s">
        <v>24</v>
      </c>
      <c r="B20" s="25">
        <v>798553.90099009906</v>
      </c>
      <c r="C20" s="25">
        <v>900910.91584158421</v>
      </c>
      <c r="D20" s="25">
        <v>795933.99504950503</v>
      </c>
      <c r="E20" s="25">
        <v>876900</v>
      </c>
      <c r="F20" s="25">
        <v>897000</v>
      </c>
      <c r="G20" s="25">
        <v>937000</v>
      </c>
      <c r="H20" s="25">
        <v>1039000</v>
      </c>
      <c r="I20" s="25">
        <v>1256000</v>
      </c>
      <c r="J20" s="25">
        <v>1624000</v>
      </c>
      <c r="K20" s="25">
        <v>1624000</v>
      </c>
      <c r="L20" s="25">
        <v>1563900.41</v>
      </c>
      <c r="M20" s="25">
        <v>1452000</v>
      </c>
      <c r="N20" s="25">
        <v>1355000.51</v>
      </c>
      <c r="O20" s="25">
        <v>1338701</v>
      </c>
      <c r="P20" s="25">
        <v>1370504.08</v>
      </c>
      <c r="Q20" s="25">
        <v>1275909.33</v>
      </c>
      <c r="R20" s="25">
        <v>1253983.82</v>
      </c>
      <c r="S20" s="25">
        <v>1198182.07</v>
      </c>
      <c r="T20" s="25">
        <v>1144252.03</v>
      </c>
      <c r="U20" s="25">
        <v>413622.67</v>
      </c>
      <c r="V20" s="25"/>
    </row>
    <row r="21" spans="1:22">
      <c r="A21" s="11" t="s">
        <v>25</v>
      </c>
      <c r="B21" s="25">
        <v>426568.93742621009</v>
      </c>
      <c r="C21" s="25">
        <v>542099.33412042493</v>
      </c>
      <c r="D21" s="25">
        <v>555534.81936245563</v>
      </c>
      <c r="E21" s="25">
        <v>560400</v>
      </c>
      <c r="F21" s="25">
        <v>540000</v>
      </c>
      <c r="G21" s="25">
        <v>539000</v>
      </c>
      <c r="H21" s="25">
        <v>609000</v>
      </c>
      <c r="I21" s="25">
        <v>692000</v>
      </c>
      <c r="J21" s="25">
        <v>718000</v>
      </c>
      <c r="K21" s="25">
        <v>760000</v>
      </c>
      <c r="L21" s="25">
        <v>707574.78</v>
      </c>
      <c r="M21" s="25">
        <v>670000</v>
      </c>
      <c r="N21" s="25">
        <v>643761.32999999996</v>
      </c>
      <c r="O21" s="25">
        <v>632582</v>
      </c>
      <c r="P21" s="25">
        <v>665640.29</v>
      </c>
      <c r="Q21" s="25">
        <v>622367.29</v>
      </c>
      <c r="R21" s="25">
        <v>599352.87</v>
      </c>
      <c r="S21" s="25">
        <v>583759.24</v>
      </c>
      <c r="T21" s="25">
        <v>551358</v>
      </c>
      <c r="U21" s="25">
        <v>285602.99</v>
      </c>
      <c r="V21" s="25"/>
    </row>
    <row r="22" spans="1:22">
      <c r="A22" s="11" t="s">
        <v>26</v>
      </c>
      <c r="B22" s="25">
        <v>577379.94014365517</v>
      </c>
      <c r="C22" s="25">
        <v>762985.8579409417</v>
      </c>
      <c r="D22" s="25">
        <v>747682.58978451719</v>
      </c>
      <c r="E22" s="25">
        <v>772500</v>
      </c>
      <c r="F22" s="25">
        <v>762000</v>
      </c>
      <c r="G22" s="25">
        <v>743000</v>
      </c>
      <c r="H22" s="25">
        <v>848000</v>
      </c>
      <c r="I22" s="25">
        <v>873000</v>
      </c>
      <c r="J22" s="25">
        <v>919000</v>
      </c>
      <c r="K22" s="25">
        <v>934000</v>
      </c>
      <c r="L22" s="25">
        <v>904289.1</v>
      </c>
      <c r="M22" s="25">
        <v>840000</v>
      </c>
      <c r="N22" s="25">
        <v>811501.55</v>
      </c>
      <c r="O22" s="25">
        <v>801311</v>
      </c>
      <c r="P22" s="25">
        <v>685529.58</v>
      </c>
      <c r="Q22" s="25">
        <v>644959.47</v>
      </c>
      <c r="R22" s="25">
        <v>641321.04</v>
      </c>
      <c r="S22" s="25">
        <v>623688.6</v>
      </c>
      <c r="T22" s="25">
        <v>595473.42000000004</v>
      </c>
      <c r="U22" s="25">
        <v>346766.41</v>
      </c>
      <c r="V22" s="25"/>
    </row>
    <row r="23" spans="1:22">
      <c r="A23" s="11" t="s">
        <v>27</v>
      </c>
      <c r="B23" s="25">
        <v>488818.15324410168</v>
      </c>
      <c r="C23" s="25">
        <v>659936.37046279502</v>
      </c>
      <c r="D23" s="25">
        <v>686935.7545372051</v>
      </c>
      <c r="E23" s="25">
        <v>904700</v>
      </c>
      <c r="F23" s="25">
        <v>973000</v>
      </c>
      <c r="G23" s="25">
        <v>974000</v>
      </c>
      <c r="H23" s="25">
        <v>1075000</v>
      </c>
      <c r="I23" s="25">
        <v>1148000</v>
      </c>
      <c r="J23" s="25">
        <v>1294000</v>
      </c>
      <c r="K23" s="25">
        <v>1267000</v>
      </c>
      <c r="L23" s="25">
        <v>1203019.1599999999</v>
      </c>
      <c r="M23" s="25">
        <v>1136000</v>
      </c>
      <c r="N23" s="25">
        <v>1070488.1499999999</v>
      </c>
      <c r="O23" s="25">
        <v>1050508</v>
      </c>
      <c r="P23" s="25">
        <v>847727.6</v>
      </c>
      <c r="Q23" s="25">
        <v>799223.24</v>
      </c>
      <c r="R23" s="25">
        <v>761896.06</v>
      </c>
      <c r="S23" s="25">
        <v>730146.58</v>
      </c>
      <c r="T23" s="25">
        <v>678341.35</v>
      </c>
      <c r="U23" s="25">
        <v>353692.57</v>
      </c>
      <c r="V23" s="25"/>
    </row>
    <row r="24" spans="1:22">
      <c r="A24" s="11" t="s">
        <v>28</v>
      </c>
      <c r="B24" s="25">
        <v>516727.68844472209</v>
      </c>
      <c r="C24" s="25">
        <v>667439.84447220492</v>
      </c>
      <c r="D24" s="25">
        <v>568917.82598376018</v>
      </c>
      <c r="E24" s="25">
        <v>830300</v>
      </c>
      <c r="F24" s="25">
        <v>697000</v>
      </c>
      <c r="G24" s="25">
        <v>683000</v>
      </c>
      <c r="H24" s="25">
        <v>874000</v>
      </c>
      <c r="I24" s="25">
        <v>944000</v>
      </c>
      <c r="J24" s="25">
        <v>1024000</v>
      </c>
      <c r="K24" s="25">
        <v>994000</v>
      </c>
      <c r="L24" s="25">
        <v>973844.04</v>
      </c>
      <c r="M24" s="25">
        <v>925000</v>
      </c>
      <c r="N24" s="25">
        <v>890494.78</v>
      </c>
      <c r="O24" s="25">
        <v>903826</v>
      </c>
      <c r="P24" s="25">
        <v>521022.51</v>
      </c>
      <c r="Q24" s="25">
        <v>504123.33</v>
      </c>
      <c r="R24" s="25">
        <v>471986.8</v>
      </c>
      <c r="S24" s="25">
        <v>466588.74</v>
      </c>
      <c r="T24" s="25">
        <v>421198.7</v>
      </c>
      <c r="U24" s="25">
        <v>201063.67</v>
      </c>
      <c r="V24" s="25"/>
    </row>
    <row r="25" spans="1:22">
      <c r="A25" s="11" t="s">
        <v>29</v>
      </c>
      <c r="B25" s="25">
        <v>17058.237623762376</v>
      </c>
      <c r="C25" s="25">
        <v>20336.376237623761</v>
      </c>
      <c r="D25" s="25">
        <v>22367.287128712869</v>
      </c>
      <c r="E25" s="25">
        <v>20400</v>
      </c>
      <c r="F25" s="25">
        <v>20000</v>
      </c>
      <c r="G25" s="25">
        <v>22000</v>
      </c>
      <c r="H25" s="25">
        <v>23000</v>
      </c>
      <c r="I25" s="25">
        <v>23000</v>
      </c>
      <c r="J25" s="25">
        <v>22000</v>
      </c>
      <c r="K25" s="25">
        <v>24000</v>
      </c>
      <c r="L25" s="25">
        <v>25599.7</v>
      </c>
      <c r="M25" s="25">
        <v>22000</v>
      </c>
      <c r="N25" s="25">
        <v>22031.200000000001</v>
      </c>
      <c r="O25" s="25">
        <v>28810</v>
      </c>
      <c r="P25" s="25">
        <v>32572.39</v>
      </c>
      <c r="Q25" s="25">
        <v>34136.86</v>
      </c>
      <c r="R25" s="25">
        <v>32414.15</v>
      </c>
      <c r="S25" s="25">
        <v>32563.91</v>
      </c>
      <c r="T25" s="25">
        <v>32300.06</v>
      </c>
      <c r="U25" s="25">
        <v>16957.63</v>
      </c>
      <c r="V25" s="25"/>
    </row>
    <row r="26" spans="1:22">
      <c r="A26" s="11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</row>
    <row r="27" spans="1:22">
      <c r="A27" s="11" t="s">
        <v>30</v>
      </c>
      <c r="B27" s="25">
        <v>501246.40831074974</v>
      </c>
      <c r="C27" s="25">
        <v>459741.47786811198</v>
      </c>
      <c r="D27" s="25">
        <v>958896.3369467028</v>
      </c>
      <c r="E27" s="25">
        <v>839400</v>
      </c>
      <c r="F27" s="25">
        <v>722000</v>
      </c>
      <c r="G27" s="25">
        <v>700000</v>
      </c>
      <c r="H27" s="25">
        <v>766000</v>
      </c>
      <c r="I27" s="25">
        <v>795000</v>
      </c>
      <c r="J27" s="25">
        <v>837000</v>
      </c>
      <c r="K27" s="25">
        <v>860000</v>
      </c>
      <c r="L27" s="25">
        <v>826200.13</v>
      </c>
      <c r="M27" s="25">
        <v>782000</v>
      </c>
      <c r="N27" s="25">
        <v>746091.62</v>
      </c>
      <c r="O27" s="25">
        <v>719404</v>
      </c>
      <c r="P27" s="25">
        <v>586929.06999999995</v>
      </c>
      <c r="Q27" s="25">
        <v>564776.63</v>
      </c>
      <c r="R27" s="25">
        <v>547686.06000000006</v>
      </c>
      <c r="S27" s="25">
        <v>526944.28</v>
      </c>
      <c r="T27" s="25">
        <v>495801.96</v>
      </c>
      <c r="U27" s="25">
        <v>288337.75</v>
      </c>
      <c r="V27" s="25"/>
    </row>
    <row r="28" spans="1:22">
      <c r="A28" s="11" t="s">
        <v>31</v>
      </c>
      <c r="B28" s="25">
        <v>788839.30590483861</v>
      </c>
      <c r="C28" s="25">
        <v>882895.03068101802</v>
      </c>
      <c r="D28" s="25">
        <v>647309.13489588571</v>
      </c>
      <c r="E28" s="25">
        <v>1223000</v>
      </c>
      <c r="F28" s="25">
        <v>1135000</v>
      </c>
      <c r="G28" s="25">
        <v>1117000</v>
      </c>
      <c r="H28" s="25">
        <v>1207000</v>
      </c>
      <c r="I28" s="25">
        <v>1265000</v>
      </c>
      <c r="J28" s="25">
        <v>1300000</v>
      </c>
      <c r="K28" s="25">
        <v>1281000</v>
      </c>
      <c r="L28" s="25">
        <v>1178749.69</v>
      </c>
      <c r="M28" s="25">
        <v>1148000</v>
      </c>
      <c r="N28" s="25">
        <v>1135299.1299999999</v>
      </c>
      <c r="O28" s="25">
        <v>1130952</v>
      </c>
      <c r="P28" s="25">
        <v>902006.3</v>
      </c>
      <c r="Q28" s="25">
        <v>864440.44</v>
      </c>
      <c r="R28" s="25">
        <v>816706.01</v>
      </c>
      <c r="S28" s="25">
        <v>796401.53</v>
      </c>
      <c r="T28" s="25">
        <v>717584.45</v>
      </c>
      <c r="U28" s="25">
        <v>488269.45</v>
      </c>
      <c r="V28" s="25"/>
    </row>
    <row r="29" spans="1:22">
      <c r="A29" s="11" t="s">
        <v>32</v>
      </c>
      <c r="B29" s="25">
        <v>1375055.9143968872</v>
      </c>
      <c r="C29" s="25">
        <v>1921909.501322957</v>
      </c>
      <c r="D29" s="25">
        <v>1532050.3984435797</v>
      </c>
      <c r="E29" s="25">
        <v>1450100</v>
      </c>
      <c r="F29" s="25">
        <v>1381000</v>
      </c>
      <c r="G29" s="25">
        <v>1325000</v>
      </c>
      <c r="H29" s="25">
        <v>1323000</v>
      </c>
      <c r="I29" s="25">
        <v>1315000</v>
      </c>
      <c r="J29" s="25">
        <v>1358000</v>
      </c>
      <c r="K29" s="25">
        <v>1465000</v>
      </c>
      <c r="L29" s="25">
        <v>1375072.97</v>
      </c>
      <c r="M29" s="25">
        <v>1236000</v>
      </c>
      <c r="N29" s="25">
        <v>1175494.19</v>
      </c>
      <c r="O29" s="25">
        <v>1148830</v>
      </c>
      <c r="P29" s="25">
        <v>1104284</v>
      </c>
      <c r="Q29" s="25">
        <v>1041086.62</v>
      </c>
      <c r="R29" s="25">
        <v>986423.12</v>
      </c>
      <c r="S29" s="25">
        <v>925787.1</v>
      </c>
      <c r="T29" s="25">
        <v>852964.5</v>
      </c>
      <c r="U29" s="25">
        <v>647063.92000000004</v>
      </c>
      <c r="V29" s="25"/>
    </row>
    <row r="30" spans="1:22">
      <c r="A30" s="11" t="s">
        <v>33</v>
      </c>
      <c r="B30" s="25">
        <v>322191.35319543071</v>
      </c>
      <c r="C30" s="25">
        <v>365340.90645260882</v>
      </c>
      <c r="D30" s="25">
        <v>329541.20531028096</v>
      </c>
      <c r="E30" s="25">
        <v>385900.00000000006</v>
      </c>
      <c r="F30" s="25">
        <v>357000</v>
      </c>
      <c r="G30" s="25">
        <v>364000</v>
      </c>
      <c r="H30" s="25">
        <v>453000</v>
      </c>
      <c r="I30" s="25">
        <v>478000</v>
      </c>
      <c r="J30" s="25">
        <v>522000</v>
      </c>
      <c r="K30" s="25">
        <v>551000</v>
      </c>
      <c r="L30" s="25">
        <v>533700</v>
      </c>
      <c r="M30" s="25">
        <v>502000</v>
      </c>
      <c r="N30" s="25">
        <v>499306.78</v>
      </c>
      <c r="O30" s="25">
        <v>500702</v>
      </c>
      <c r="P30" s="25">
        <v>691225.79</v>
      </c>
      <c r="Q30" s="25">
        <v>672215.92</v>
      </c>
      <c r="R30" s="25">
        <v>663091.24</v>
      </c>
      <c r="S30" s="25">
        <v>636683.23</v>
      </c>
      <c r="T30" s="25">
        <v>583739.22</v>
      </c>
      <c r="U30" s="25">
        <v>526208.98</v>
      </c>
      <c r="V30" s="25"/>
    </row>
    <row r="31" spans="1:22">
      <c r="A31" s="11" t="s">
        <v>34</v>
      </c>
      <c r="B31" s="25">
        <v>838</v>
      </c>
      <c r="C31" s="25">
        <v>1435</v>
      </c>
      <c r="D31" s="25">
        <v>892</v>
      </c>
      <c r="E31" s="25">
        <v>800</v>
      </c>
      <c r="F31" s="25">
        <v>1000</v>
      </c>
      <c r="G31" s="25">
        <v>1000</v>
      </c>
      <c r="H31" s="25">
        <v>1000</v>
      </c>
      <c r="I31" s="25">
        <v>1000</v>
      </c>
      <c r="J31" s="25">
        <v>2000</v>
      </c>
      <c r="K31" s="25">
        <v>2000</v>
      </c>
      <c r="L31" s="25">
        <v>1890.8</v>
      </c>
      <c r="M31" s="25">
        <v>2000</v>
      </c>
      <c r="N31" s="25">
        <v>1660</v>
      </c>
      <c r="O31" s="25">
        <v>3857</v>
      </c>
      <c r="P31" s="25">
        <v>4175.7299999999996</v>
      </c>
      <c r="Q31" s="25">
        <v>4184.66</v>
      </c>
      <c r="R31" s="25">
        <v>4191.66</v>
      </c>
      <c r="S31" s="25">
        <v>4249.87</v>
      </c>
      <c r="T31" s="25">
        <v>5373.02</v>
      </c>
      <c r="U31" s="25">
        <v>5411.41</v>
      </c>
      <c r="V31" s="25"/>
    </row>
    <row r="32" spans="1:22">
      <c r="A32" s="11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</row>
    <row r="33" spans="1:22">
      <c r="A33" s="11" t="s">
        <v>35</v>
      </c>
      <c r="B33" s="25">
        <v>616897.019324544</v>
      </c>
      <c r="C33" s="25">
        <v>631801.28517247608</v>
      </c>
      <c r="D33" s="25">
        <v>644623.00632111251</v>
      </c>
      <c r="E33" s="25">
        <v>623300</v>
      </c>
      <c r="F33" s="25">
        <v>619000</v>
      </c>
      <c r="G33" s="25">
        <v>638000</v>
      </c>
      <c r="H33" s="25">
        <v>766000</v>
      </c>
      <c r="I33" s="25">
        <v>818000</v>
      </c>
      <c r="J33" s="25">
        <v>922000</v>
      </c>
      <c r="K33" s="25">
        <v>981000</v>
      </c>
      <c r="L33" s="25">
        <v>927208.82</v>
      </c>
      <c r="M33" s="25">
        <v>889000</v>
      </c>
      <c r="N33" s="25">
        <v>804407.63</v>
      </c>
      <c r="O33" s="25">
        <v>778649</v>
      </c>
      <c r="P33" s="25">
        <v>916838.68</v>
      </c>
      <c r="Q33" s="25">
        <v>843755.44</v>
      </c>
      <c r="R33" s="25">
        <v>806152.32</v>
      </c>
      <c r="S33" s="25">
        <v>780954.38</v>
      </c>
      <c r="T33" s="25">
        <v>735017.21</v>
      </c>
      <c r="U33" s="25">
        <v>318012.39</v>
      </c>
      <c r="V33" s="25"/>
    </row>
    <row r="34" spans="1:22">
      <c r="A34" s="11" t="s">
        <v>36</v>
      </c>
      <c r="B34" s="25">
        <v>422814.46617505612</v>
      </c>
      <c r="C34" s="25">
        <v>392344.39563962811</v>
      </c>
      <c r="D34" s="25">
        <v>303970.55787111254</v>
      </c>
      <c r="E34" s="25">
        <v>368500</v>
      </c>
      <c r="F34" s="25">
        <v>370000</v>
      </c>
      <c r="G34" s="25">
        <v>427000</v>
      </c>
      <c r="H34" s="25">
        <v>494000</v>
      </c>
      <c r="I34" s="25">
        <v>484000</v>
      </c>
      <c r="J34" s="25">
        <v>563000</v>
      </c>
      <c r="K34" s="25">
        <v>546000</v>
      </c>
      <c r="L34" s="25">
        <v>523249.99</v>
      </c>
      <c r="M34" s="25">
        <v>502000</v>
      </c>
      <c r="N34" s="25">
        <v>500305.71</v>
      </c>
      <c r="O34" s="25">
        <v>551785</v>
      </c>
      <c r="P34" s="25">
        <v>623902.18000000005</v>
      </c>
      <c r="Q34" s="25">
        <v>572489.4</v>
      </c>
      <c r="R34" s="25">
        <v>561980.81999999995</v>
      </c>
      <c r="S34" s="25">
        <v>575648.72</v>
      </c>
      <c r="T34" s="25">
        <v>570621.39</v>
      </c>
      <c r="U34" s="25">
        <v>271975.89</v>
      </c>
      <c r="V34" s="25"/>
    </row>
    <row r="35" spans="1:22">
      <c r="A35" s="11" t="s">
        <v>37</v>
      </c>
      <c r="B35" s="25">
        <v>40063.366336633662</v>
      </c>
      <c r="C35" s="25">
        <v>30978.217821782178</v>
      </c>
      <c r="D35" s="25">
        <v>30086.336633663366</v>
      </c>
      <c r="E35" s="25">
        <v>32000</v>
      </c>
      <c r="F35" s="25">
        <v>35000</v>
      </c>
      <c r="G35" s="25">
        <v>32000</v>
      </c>
      <c r="H35" s="25">
        <v>61000</v>
      </c>
      <c r="I35" s="25">
        <v>73000</v>
      </c>
      <c r="J35" s="25">
        <v>124000</v>
      </c>
      <c r="K35" s="25">
        <v>130000</v>
      </c>
      <c r="L35" s="25">
        <v>133922.76999999999</v>
      </c>
      <c r="M35" s="25">
        <v>135000</v>
      </c>
      <c r="N35" s="25">
        <v>135698.26</v>
      </c>
      <c r="O35" s="25">
        <v>143431</v>
      </c>
      <c r="P35" s="25">
        <v>156602.1</v>
      </c>
      <c r="Q35" s="25">
        <v>153853.32999999999</v>
      </c>
      <c r="R35" s="25">
        <v>156694</v>
      </c>
      <c r="S35" s="25">
        <v>154276</v>
      </c>
      <c r="T35" s="25">
        <v>150766</v>
      </c>
      <c r="U35" s="25">
        <v>113692.7</v>
      </c>
      <c r="V35" s="25"/>
    </row>
    <row r="36" spans="1:22">
      <c r="A36" s="11" t="s">
        <v>38</v>
      </c>
      <c r="B36" s="25">
        <v>219389.65212399536</v>
      </c>
      <c r="C36" s="25">
        <v>219746.43513203211</v>
      </c>
      <c r="D36" s="25">
        <v>207620.53846153844</v>
      </c>
      <c r="E36" s="25">
        <v>205799.99999999997</v>
      </c>
      <c r="F36" s="25">
        <v>200000</v>
      </c>
      <c r="G36" s="25">
        <v>222000</v>
      </c>
      <c r="H36" s="25">
        <v>293000</v>
      </c>
      <c r="I36" s="25">
        <v>293000</v>
      </c>
      <c r="J36" s="25">
        <v>342000</v>
      </c>
      <c r="K36" s="25">
        <v>383000</v>
      </c>
      <c r="L36" s="25">
        <v>369775.67</v>
      </c>
      <c r="M36" s="25">
        <v>348000</v>
      </c>
      <c r="N36" s="25">
        <v>314245.07</v>
      </c>
      <c r="O36" s="25">
        <v>310752</v>
      </c>
      <c r="P36" s="25">
        <v>410385.49</v>
      </c>
      <c r="Q36" s="25">
        <v>406633.25</v>
      </c>
      <c r="R36" s="25">
        <v>389712.3</v>
      </c>
      <c r="S36" s="25">
        <v>377055.54</v>
      </c>
      <c r="T36" s="25">
        <v>357596.19</v>
      </c>
      <c r="U36" s="25">
        <v>236859.01</v>
      </c>
      <c r="V36" s="25"/>
    </row>
    <row r="37" spans="1:22">
      <c r="A37" s="11" t="s">
        <v>39</v>
      </c>
      <c r="B37" s="25">
        <v>265269.89344698988</v>
      </c>
      <c r="C37" s="25">
        <v>316623.97975492809</v>
      </c>
      <c r="D37" s="25">
        <v>327388.09003729362</v>
      </c>
      <c r="E37" s="25">
        <v>310500</v>
      </c>
      <c r="F37" s="25">
        <v>300000</v>
      </c>
      <c r="G37" s="25">
        <v>296000</v>
      </c>
      <c r="H37" s="25">
        <v>331000</v>
      </c>
      <c r="I37" s="25">
        <v>481000</v>
      </c>
      <c r="J37" s="25">
        <v>519000</v>
      </c>
      <c r="K37" s="25">
        <v>549000</v>
      </c>
      <c r="L37" s="25">
        <v>579936.79</v>
      </c>
      <c r="M37" s="25">
        <v>585000</v>
      </c>
      <c r="N37" s="25">
        <v>589900.05000000005</v>
      </c>
      <c r="O37" s="25">
        <v>588487</v>
      </c>
      <c r="P37" s="25">
        <v>763055.29</v>
      </c>
      <c r="Q37" s="25">
        <v>796128.41</v>
      </c>
      <c r="R37" s="25">
        <v>829431.08</v>
      </c>
      <c r="S37" s="25">
        <v>852981.33</v>
      </c>
      <c r="T37" s="25">
        <v>778330.32</v>
      </c>
      <c r="U37" s="25">
        <v>480686.93</v>
      </c>
      <c r="V37" s="25"/>
    </row>
    <row r="38" spans="1:22"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</row>
  </sheetData>
  <phoneticPr fontId="6" type="noConversion"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9B520-F89B-7B41-9805-FB960E85FD6D}">
  <dimension ref="A1:V38"/>
  <sheetViews>
    <sheetView workbookViewId="0">
      <selection sqref="A1:XFD1"/>
    </sheetView>
  </sheetViews>
  <sheetFormatPr baseColWidth="10" defaultRowHeight="16"/>
  <cols>
    <col min="1" max="1" width="22.1640625" style="10" customWidth="1"/>
  </cols>
  <sheetData>
    <row r="1" spans="1:22" ht="17">
      <c r="A1" s="23" t="s">
        <v>41</v>
      </c>
      <c r="B1" s="8">
        <v>1997</v>
      </c>
      <c r="C1" s="8">
        <v>1998</v>
      </c>
      <c r="D1" s="8">
        <v>1999</v>
      </c>
      <c r="E1" s="8">
        <v>2000</v>
      </c>
      <c r="F1" s="8">
        <v>2001</v>
      </c>
      <c r="G1" s="8">
        <v>2002</v>
      </c>
      <c r="H1" s="8">
        <v>2003</v>
      </c>
      <c r="I1" s="8">
        <v>2004</v>
      </c>
      <c r="J1" s="8">
        <v>2005</v>
      </c>
      <c r="K1" s="8">
        <v>2006</v>
      </c>
      <c r="L1" s="8">
        <v>2007</v>
      </c>
      <c r="M1" s="8">
        <v>2008</v>
      </c>
      <c r="N1" s="8">
        <v>2009</v>
      </c>
      <c r="O1" s="8">
        <v>2010</v>
      </c>
      <c r="P1" s="8">
        <v>2011</v>
      </c>
      <c r="Q1" s="8">
        <v>2012</v>
      </c>
      <c r="R1" s="8">
        <v>2013</v>
      </c>
      <c r="S1" s="8">
        <v>2014</v>
      </c>
      <c r="T1" s="8">
        <v>2015</v>
      </c>
      <c r="U1" s="8">
        <v>2016</v>
      </c>
    </row>
    <row r="2" spans="1:22">
      <c r="A2" s="16" t="s">
        <v>9</v>
      </c>
      <c r="B2" s="25">
        <v>252371.34555984556</v>
      </c>
      <c r="C2" s="25">
        <v>256821.36293436293</v>
      </c>
      <c r="D2" s="25">
        <v>209335.45366795367</v>
      </c>
      <c r="E2" s="25">
        <v>152141.99999999997</v>
      </c>
      <c r="F2" s="25">
        <v>153000</v>
      </c>
      <c r="G2" s="25">
        <v>127000</v>
      </c>
      <c r="H2" s="25">
        <v>103000</v>
      </c>
      <c r="I2" s="25">
        <v>106000</v>
      </c>
      <c r="J2" s="25">
        <v>91000</v>
      </c>
      <c r="K2" s="25">
        <v>80000</v>
      </c>
      <c r="L2" s="25">
        <v>67000</v>
      </c>
      <c r="M2" s="25">
        <v>63000</v>
      </c>
      <c r="N2" s="25">
        <v>61000.000000000007</v>
      </c>
      <c r="O2" s="25">
        <v>66000</v>
      </c>
      <c r="P2" s="25">
        <v>65848.039999999994</v>
      </c>
      <c r="Q2" s="25">
        <v>66824.78</v>
      </c>
      <c r="R2" s="25">
        <v>59285.95</v>
      </c>
      <c r="S2" s="25">
        <v>57372.45</v>
      </c>
      <c r="T2" s="25">
        <v>49386.55</v>
      </c>
      <c r="U2" s="25">
        <v>34535.35</v>
      </c>
      <c r="V2" s="25"/>
    </row>
    <row r="3" spans="1:22">
      <c r="A3" s="11" t="s">
        <v>10</v>
      </c>
      <c r="B3" s="25">
        <v>152454.9411764706</v>
      </c>
      <c r="C3" s="25">
        <v>148610.88235294117</v>
      </c>
      <c r="D3" s="25">
        <v>109585.70588235294</v>
      </c>
      <c r="E3" s="25">
        <v>283834</v>
      </c>
      <c r="F3" s="25">
        <v>157000</v>
      </c>
      <c r="G3" s="25">
        <v>122000</v>
      </c>
      <c r="H3" s="25">
        <v>125000</v>
      </c>
      <c r="I3" s="25">
        <v>103000</v>
      </c>
      <c r="J3" s="25">
        <v>110000</v>
      </c>
      <c r="K3" s="25">
        <v>90000</v>
      </c>
      <c r="L3" s="25">
        <v>83000</v>
      </c>
      <c r="M3" s="25">
        <v>77000</v>
      </c>
      <c r="N3" s="25">
        <v>79000</v>
      </c>
      <c r="O3" s="25">
        <v>73000</v>
      </c>
      <c r="P3" s="25">
        <v>75922.53</v>
      </c>
      <c r="Q3" s="25">
        <v>84064</v>
      </c>
      <c r="R3" s="25">
        <v>87456.88</v>
      </c>
      <c r="S3" s="25">
        <v>139511.47</v>
      </c>
      <c r="T3" s="25">
        <v>100685.72</v>
      </c>
      <c r="U3" s="25">
        <v>78144.13</v>
      </c>
      <c r="V3" s="25"/>
    </row>
    <row r="4" spans="1:22">
      <c r="A4" s="11" t="s">
        <v>11</v>
      </c>
      <c r="B4" s="25">
        <v>847664.45581672131</v>
      </c>
      <c r="C4" s="25">
        <v>1934278.6161856591</v>
      </c>
      <c r="D4" s="25">
        <v>1744483.0990776555</v>
      </c>
      <c r="E4" s="25">
        <v>1460176.0000000002</v>
      </c>
      <c r="F4" s="25">
        <v>1392000</v>
      </c>
      <c r="G4" s="25">
        <v>1368000</v>
      </c>
      <c r="H4" s="25">
        <v>1355000</v>
      </c>
      <c r="I4" s="25">
        <v>1447000</v>
      </c>
      <c r="J4" s="25">
        <v>1445000</v>
      </c>
      <c r="K4" s="25">
        <v>1368999.9999999998</v>
      </c>
      <c r="L4" s="25">
        <v>1155000</v>
      </c>
      <c r="M4" s="25">
        <v>1075000</v>
      </c>
      <c r="N4" s="25">
        <v>946000</v>
      </c>
      <c r="O4" s="25">
        <v>821000</v>
      </c>
      <c r="P4" s="25">
        <v>1322477.1299999999</v>
      </c>
      <c r="Q4" s="25">
        <v>1235877.24</v>
      </c>
      <c r="R4" s="25">
        <v>1313312.6200000001</v>
      </c>
      <c r="S4" s="25">
        <v>1797683.42</v>
      </c>
      <c r="T4" s="25">
        <v>1575417.12</v>
      </c>
      <c r="U4" s="25">
        <v>1256835.95</v>
      </c>
      <c r="V4" s="25"/>
    </row>
    <row r="5" spans="1:22">
      <c r="A5" s="11" t="s">
        <v>12</v>
      </c>
      <c r="B5" s="25">
        <v>668303.60662368848</v>
      </c>
      <c r="C5" s="25">
        <v>2438640.6514979145</v>
      </c>
      <c r="D5" s="25">
        <v>1613571.9565162433</v>
      </c>
      <c r="E5" s="25">
        <v>1776100.0000000002</v>
      </c>
      <c r="F5" s="25">
        <v>1528999.9999999998</v>
      </c>
      <c r="G5" s="25">
        <v>1501000</v>
      </c>
      <c r="H5" s="25">
        <v>1732000</v>
      </c>
      <c r="I5" s="25">
        <v>1763999.9999999998</v>
      </c>
      <c r="J5" s="25">
        <v>1817000</v>
      </c>
      <c r="K5" s="25">
        <v>1703999.9999999998</v>
      </c>
      <c r="L5" s="25">
        <v>1528000</v>
      </c>
      <c r="M5" s="25">
        <v>1203000</v>
      </c>
      <c r="N5" s="25">
        <v>1075000</v>
      </c>
      <c r="O5" s="25">
        <v>986000</v>
      </c>
      <c r="P5" s="25">
        <v>1129854.08</v>
      </c>
      <c r="Q5" s="25">
        <v>1070863.3600000001</v>
      </c>
      <c r="R5" s="25">
        <v>1026718.12</v>
      </c>
      <c r="S5" s="25">
        <v>1506778.02</v>
      </c>
      <c r="T5" s="25">
        <v>1448903.7</v>
      </c>
      <c r="U5" s="25">
        <v>681485.64</v>
      </c>
      <c r="V5" s="25"/>
    </row>
    <row r="6" spans="1:22">
      <c r="A6" s="11" t="s">
        <v>13</v>
      </c>
      <c r="B6" s="25">
        <v>808768.14935707219</v>
      </c>
      <c r="C6" s="25">
        <v>779670.64193867461</v>
      </c>
      <c r="D6" s="25">
        <v>722036.72799208702</v>
      </c>
      <c r="E6" s="25">
        <v>786892</v>
      </c>
      <c r="F6" s="25">
        <v>541000</v>
      </c>
      <c r="G6" s="25">
        <v>564000</v>
      </c>
      <c r="H6" s="25">
        <v>804000</v>
      </c>
      <c r="I6" s="25">
        <v>1018999.9999999999</v>
      </c>
      <c r="J6" s="25">
        <v>1234000</v>
      </c>
      <c r="K6" s="25">
        <v>931000</v>
      </c>
      <c r="L6" s="25">
        <v>864000</v>
      </c>
      <c r="M6" s="25">
        <v>789000</v>
      </c>
      <c r="N6" s="25">
        <v>658000</v>
      </c>
      <c r="O6" s="25">
        <v>807000</v>
      </c>
      <c r="P6" s="25">
        <v>739875.7</v>
      </c>
      <c r="Q6" s="25">
        <v>833010.1</v>
      </c>
      <c r="R6" s="25">
        <v>822126.73</v>
      </c>
      <c r="S6" s="25">
        <v>1021510.38</v>
      </c>
      <c r="T6" s="25">
        <v>878752.73</v>
      </c>
      <c r="U6" s="25">
        <v>598981.94999999995</v>
      </c>
      <c r="V6" s="25"/>
    </row>
    <row r="7" spans="1:22">
      <c r="A7" s="11"/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</row>
    <row r="8" spans="1:22">
      <c r="A8" s="11" t="s">
        <v>14</v>
      </c>
      <c r="B8" s="25">
        <v>1196992.0966739766</v>
      </c>
      <c r="C8" s="25">
        <v>1671446.3938230996</v>
      </c>
      <c r="D8" s="25">
        <v>1361480.975877193</v>
      </c>
      <c r="E8" s="25">
        <v>1344523</v>
      </c>
      <c r="F8" s="25">
        <v>1103000</v>
      </c>
      <c r="G8" s="25">
        <v>975000</v>
      </c>
      <c r="H8" s="25">
        <v>935000</v>
      </c>
      <c r="I8" s="25">
        <v>921999.99999999988</v>
      </c>
      <c r="J8" s="25">
        <v>1199000</v>
      </c>
      <c r="K8" s="25">
        <v>1134000</v>
      </c>
      <c r="L8" s="25">
        <v>1129000</v>
      </c>
      <c r="M8" s="25">
        <v>959000</v>
      </c>
      <c r="N8" s="25">
        <v>840000</v>
      </c>
      <c r="O8" s="25">
        <v>800000</v>
      </c>
      <c r="P8" s="25">
        <v>693159.61</v>
      </c>
      <c r="Q8" s="25">
        <v>726257.71</v>
      </c>
      <c r="R8" s="25">
        <v>670585.64</v>
      </c>
      <c r="S8" s="25">
        <v>1120701.4399999999</v>
      </c>
      <c r="T8" s="25">
        <v>1000038.37</v>
      </c>
      <c r="U8" s="25">
        <v>649087.52</v>
      </c>
      <c r="V8" s="25"/>
    </row>
    <row r="9" spans="1:22">
      <c r="A9" s="11" t="s">
        <v>15</v>
      </c>
      <c r="B9" s="25">
        <v>487977.8551236749</v>
      </c>
      <c r="C9" s="25">
        <v>622165.42826855124</v>
      </c>
      <c r="D9" s="25">
        <v>528431.82332155481</v>
      </c>
      <c r="E9" s="25">
        <v>645806</v>
      </c>
      <c r="F9" s="25">
        <v>446000</v>
      </c>
      <c r="G9" s="25">
        <v>405000</v>
      </c>
      <c r="H9" s="25">
        <v>405000</v>
      </c>
      <c r="I9" s="25">
        <v>447000</v>
      </c>
      <c r="J9" s="25">
        <v>551000</v>
      </c>
      <c r="K9" s="25">
        <v>545000</v>
      </c>
      <c r="L9" s="25">
        <v>493000</v>
      </c>
      <c r="M9" s="25">
        <v>443000</v>
      </c>
      <c r="N9" s="25">
        <v>450000</v>
      </c>
      <c r="O9" s="25">
        <v>354000</v>
      </c>
      <c r="P9" s="25">
        <v>432180.66</v>
      </c>
      <c r="Q9" s="25">
        <v>264755.8</v>
      </c>
      <c r="R9" s="25">
        <v>320187.46000000002</v>
      </c>
      <c r="S9" s="25">
        <v>475132.99</v>
      </c>
      <c r="T9" s="25">
        <v>447329.49</v>
      </c>
      <c r="U9" s="25">
        <v>218658.89</v>
      </c>
      <c r="V9" s="25"/>
    </row>
    <row r="10" spans="1:22">
      <c r="A10" s="11" t="s">
        <v>16</v>
      </c>
      <c r="B10" s="25">
        <v>637291.80747617886</v>
      </c>
      <c r="C10" s="25">
        <v>676300.43415587593</v>
      </c>
      <c r="D10" s="25">
        <v>641557.47471292457</v>
      </c>
      <c r="E10" s="25">
        <v>917137</v>
      </c>
      <c r="F10" s="25">
        <v>594000</v>
      </c>
      <c r="G10" s="25">
        <v>570000</v>
      </c>
      <c r="H10" s="25">
        <v>618000</v>
      </c>
      <c r="I10" s="25">
        <v>643000</v>
      </c>
      <c r="J10" s="25">
        <v>672000</v>
      </c>
      <c r="K10" s="25">
        <v>663999.99999999988</v>
      </c>
      <c r="L10" s="25">
        <v>650000</v>
      </c>
      <c r="M10" s="25">
        <v>589000</v>
      </c>
      <c r="N10" s="25">
        <v>534000</v>
      </c>
      <c r="O10" s="25">
        <v>479000.00000000006</v>
      </c>
      <c r="P10" s="25">
        <v>655869.30000000005</v>
      </c>
      <c r="Q10" s="25">
        <v>699275.14</v>
      </c>
      <c r="R10" s="25">
        <v>722454.24</v>
      </c>
      <c r="S10" s="25">
        <v>793548.57</v>
      </c>
      <c r="T10" s="25">
        <v>644064.47</v>
      </c>
      <c r="U10" s="25">
        <v>447060.89</v>
      </c>
      <c r="V10" s="25"/>
    </row>
    <row r="11" spans="1:22">
      <c r="A11" s="11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</row>
    <row r="12" spans="1:22">
      <c r="A12" s="11" t="s">
        <v>17</v>
      </c>
      <c r="B12" s="25">
        <v>236182.51442307691</v>
      </c>
      <c r="C12" s="25">
        <v>283637.92307692306</v>
      </c>
      <c r="D12" s="25">
        <v>193453.87499999997</v>
      </c>
      <c r="E12" s="25">
        <v>224352.99999999997</v>
      </c>
      <c r="F12" s="25">
        <v>153000</v>
      </c>
      <c r="G12" s="25">
        <v>122000</v>
      </c>
      <c r="H12" s="25">
        <v>132000</v>
      </c>
      <c r="I12" s="25">
        <v>134000</v>
      </c>
      <c r="J12" s="25">
        <v>126000</v>
      </c>
      <c r="K12" s="25">
        <v>123000</v>
      </c>
      <c r="L12" s="25">
        <v>114000</v>
      </c>
      <c r="M12" s="25">
        <v>114000</v>
      </c>
      <c r="N12" s="25">
        <v>110000</v>
      </c>
      <c r="O12" s="25">
        <v>112000</v>
      </c>
      <c r="P12" s="25">
        <v>89828.4</v>
      </c>
      <c r="Q12" s="25">
        <v>87148.42</v>
      </c>
      <c r="R12" s="25">
        <v>80924.98</v>
      </c>
      <c r="S12" s="25">
        <v>141650.1</v>
      </c>
      <c r="T12" s="25">
        <v>120668.29</v>
      </c>
      <c r="U12" s="25">
        <v>79455.41</v>
      </c>
      <c r="V12" s="25"/>
    </row>
    <row r="13" spans="1:22">
      <c r="A13" s="11" t="s">
        <v>18</v>
      </c>
      <c r="B13" s="25">
        <v>526582.72377902316</v>
      </c>
      <c r="C13" s="25">
        <v>1096481.2506004805</v>
      </c>
      <c r="D13" s="25">
        <v>905328.82706164941</v>
      </c>
      <c r="E13" s="25">
        <v>770737</v>
      </c>
      <c r="F13" s="25">
        <v>697000</v>
      </c>
      <c r="G13" s="25">
        <v>612000</v>
      </c>
      <c r="H13" s="25">
        <v>838000</v>
      </c>
      <c r="I13" s="25">
        <v>768000</v>
      </c>
      <c r="J13" s="25">
        <v>807000</v>
      </c>
      <c r="K13" s="25">
        <v>732000</v>
      </c>
      <c r="L13" s="25">
        <v>640000</v>
      </c>
      <c r="M13" s="25">
        <v>540000</v>
      </c>
      <c r="N13" s="25">
        <v>494000</v>
      </c>
      <c r="O13" s="25">
        <v>486000</v>
      </c>
      <c r="P13" s="25">
        <v>527354.47</v>
      </c>
      <c r="Q13" s="25">
        <v>443207.7</v>
      </c>
      <c r="R13" s="25">
        <v>499960.61</v>
      </c>
      <c r="S13" s="25">
        <v>763678.35</v>
      </c>
      <c r="T13" s="25">
        <v>654500.71</v>
      </c>
      <c r="U13" s="25">
        <v>471709.89</v>
      </c>
      <c r="V13" s="25"/>
    </row>
    <row r="14" spans="1:22">
      <c r="A14" s="11" t="s">
        <v>19</v>
      </c>
      <c r="B14" s="25">
        <v>329625.46135167952</v>
      </c>
      <c r="C14" s="25">
        <v>1069789.5928773775</v>
      </c>
      <c r="D14" s="25">
        <v>1025277.7365439094</v>
      </c>
      <c r="E14" s="25">
        <v>501496</v>
      </c>
      <c r="F14" s="25">
        <v>510000</v>
      </c>
      <c r="G14" s="25">
        <v>523000</v>
      </c>
      <c r="H14" s="25">
        <v>573000</v>
      </c>
      <c r="I14" s="25">
        <v>552000</v>
      </c>
      <c r="J14" s="25">
        <v>443000</v>
      </c>
      <c r="K14" s="25">
        <v>426000</v>
      </c>
      <c r="L14" s="25">
        <v>385000</v>
      </c>
      <c r="M14" s="25">
        <v>346000</v>
      </c>
      <c r="N14" s="25">
        <v>358000</v>
      </c>
      <c r="O14" s="25">
        <v>313000</v>
      </c>
      <c r="P14" s="25">
        <v>323320.03999999998</v>
      </c>
      <c r="Q14" s="25">
        <v>254029.81</v>
      </c>
      <c r="R14" s="25">
        <v>319745.93</v>
      </c>
      <c r="S14" s="25">
        <v>379666.45</v>
      </c>
      <c r="T14" s="25">
        <v>330248.84000000003</v>
      </c>
      <c r="U14" s="25">
        <v>182315.19</v>
      </c>
      <c r="V14" s="25"/>
    </row>
    <row r="15" spans="1:22">
      <c r="A15" s="11" t="s">
        <v>20</v>
      </c>
      <c r="B15" s="25">
        <v>409359.28624229983</v>
      </c>
      <c r="C15" s="25">
        <v>942194.87104722788</v>
      </c>
      <c r="D15" s="25">
        <v>820059.1178644764</v>
      </c>
      <c r="E15" s="25">
        <v>524193</v>
      </c>
      <c r="F15" s="25">
        <v>517000</v>
      </c>
      <c r="G15" s="25">
        <v>484000</v>
      </c>
      <c r="H15" s="25">
        <v>702000</v>
      </c>
      <c r="I15" s="25">
        <v>717000</v>
      </c>
      <c r="J15" s="25">
        <v>760000</v>
      </c>
      <c r="K15" s="25">
        <v>718000</v>
      </c>
      <c r="L15" s="25">
        <v>613000</v>
      </c>
      <c r="M15" s="25">
        <v>613000</v>
      </c>
      <c r="N15" s="25">
        <v>565000</v>
      </c>
      <c r="O15" s="25">
        <v>519000</v>
      </c>
      <c r="P15" s="25">
        <v>452223.97</v>
      </c>
      <c r="Q15" s="25">
        <v>462058.61</v>
      </c>
      <c r="R15" s="25">
        <v>418617.27</v>
      </c>
      <c r="S15" s="25">
        <v>652781.96</v>
      </c>
      <c r="T15" s="25">
        <v>545916.71</v>
      </c>
      <c r="U15" s="25">
        <v>321298.14</v>
      </c>
      <c r="V15" s="25"/>
    </row>
    <row r="16" spans="1:22">
      <c r="A16" s="11" t="s">
        <v>21</v>
      </c>
      <c r="B16" s="25">
        <v>248451.44444444444</v>
      </c>
      <c r="C16" s="25">
        <v>557825.77777777775</v>
      </c>
      <c r="D16" s="25">
        <v>466786</v>
      </c>
      <c r="E16" s="25">
        <v>218539</v>
      </c>
      <c r="F16" s="25">
        <v>260000</v>
      </c>
      <c r="G16" s="25">
        <v>232000</v>
      </c>
      <c r="H16" s="25">
        <v>269000</v>
      </c>
      <c r="I16" s="25">
        <v>285000</v>
      </c>
      <c r="J16" s="25">
        <v>324000</v>
      </c>
      <c r="K16" s="25">
        <v>321000</v>
      </c>
      <c r="L16" s="25">
        <v>305000</v>
      </c>
      <c r="M16" s="25">
        <v>288000</v>
      </c>
      <c r="N16" s="25">
        <v>270000</v>
      </c>
      <c r="O16" s="25">
        <v>279000</v>
      </c>
      <c r="P16" s="25">
        <v>225340.68</v>
      </c>
      <c r="Q16" s="25">
        <v>252635.35</v>
      </c>
      <c r="R16" s="25">
        <v>259363.41</v>
      </c>
      <c r="S16" s="25">
        <v>367902.63</v>
      </c>
      <c r="T16" s="25">
        <v>341663.62</v>
      </c>
      <c r="U16" s="25">
        <v>237868.02</v>
      </c>
      <c r="V16" s="25"/>
    </row>
    <row r="17" spans="1:22">
      <c r="A17" s="11" t="s">
        <v>22</v>
      </c>
      <c r="B17" s="25">
        <v>324081.81375480565</v>
      </c>
      <c r="C17" s="25">
        <v>548686.00854335749</v>
      </c>
      <c r="D17" s="25">
        <v>546598.74455360952</v>
      </c>
      <c r="E17" s="25">
        <v>474159</v>
      </c>
      <c r="F17" s="25">
        <v>376000</v>
      </c>
      <c r="G17" s="25">
        <v>397000</v>
      </c>
      <c r="H17" s="25">
        <v>530000</v>
      </c>
      <c r="I17" s="25">
        <v>573000</v>
      </c>
      <c r="J17" s="25">
        <v>596000</v>
      </c>
      <c r="K17" s="25">
        <v>578000</v>
      </c>
      <c r="L17" s="25">
        <v>532000</v>
      </c>
      <c r="M17" s="25">
        <v>483000</v>
      </c>
      <c r="N17" s="25">
        <v>427000</v>
      </c>
      <c r="O17" s="25">
        <v>388000</v>
      </c>
      <c r="P17" s="25">
        <v>396037.84</v>
      </c>
      <c r="Q17" s="25">
        <v>357373.06</v>
      </c>
      <c r="R17" s="25">
        <v>356271.27</v>
      </c>
      <c r="S17" s="25">
        <v>462330.57</v>
      </c>
      <c r="T17" s="25">
        <v>480624.27</v>
      </c>
      <c r="U17" s="25">
        <v>333061.02</v>
      </c>
      <c r="V17" s="25"/>
    </row>
    <row r="18" spans="1:22">
      <c r="A18" s="11" t="s">
        <v>23</v>
      </c>
      <c r="B18" s="25">
        <v>935309.49917142338</v>
      </c>
      <c r="C18" s="25">
        <v>1897592.5575400479</v>
      </c>
      <c r="D18" s="25">
        <v>1506222.8245258699</v>
      </c>
      <c r="E18" s="25">
        <v>1215667</v>
      </c>
      <c r="F18" s="25">
        <v>1292000</v>
      </c>
      <c r="G18" s="25">
        <v>1222000</v>
      </c>
      <c r="H18" s="25">
        <v>1385000</v>
      </c>
      <c r="I18" s="25">
        <v>974000</v>
      </c>
      <c r="J18" s="25">
        <v>991999.99999999988</v>
      </c>
      <c r="K18" s="25">
        <v>906999.99999999988</v>
      </c>
      <c r="L18" s="25">
        <v>766999.99999999988</v>
      </c>
      <c r="M18" s="25">
        <v>706000</v>
      </c>
      <c r="N18" s="25">
        <v>638000</v>
      </c>
      <c r="O18" s="25">
        <v>581000</v>
      </c>
      <c r="P18" s="25">
        <v>783847.41</v>
      </c>
      <c r="Q18" s="25">
        <v>695266.81</v>
      </c>
      <c r="R18" s="25">
        <v>696725.61</v>
      </c>
      <c r="S18" s="25">
        <v>1208102.46</v>
      </c>
      <c r="T18" s="25">
        <v>1082461.03</v>
      </c>
      <c r="U18" s="25">
        <v>873829.36</v>
      </c>
      <c r="V18" s="25"/>
    </row>
    <row r="19" spans="1:22">
      <c r="A19" s="11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</row>
    <row r="20" spans="1:22">
      <c r="A20" s="11" t="s">
        <v>24</v>
      </c>
      <c r="B20" s="25">
        <v>924219.97480451781</v>
      </c>
      <c r="C20" s="25">
        <v>1616896.1439328119</v>
      </c>
      <c r="D20" s="25">
        <v>1704846.9610483637</v>
      </c>
      <c r="E20" s="25">
        <v>1425518.0000000002</v>
      </c>
      <c r="F20" s="25">
        <v>1400000</v>
      </c>
      <c r="G20" s="25">
        <v>1364000</v>
      </c>
      <c r="H20" s="25">
        <v>1426000</v>
      </c>
      <c r="I20" s="25">
        <v>1487000</v>
      </c>
      <c r="J20" s="25">
        <v>1632000</v>
      </c>
      <c r="K20" s="25">
        <v>1361000</v>
      </c>
      <c r="L20" s="25">
        <v>1128000</v>
      </c>
      <c r="M20" s="25">
        <v>901000</v>
      </c>
      <c r="N20" s="25">
        <v>846000</v>
      </c>
      <c r="O20" s="25">
        <v>774000</v>
      </c>
      <c r="P20" s="25">
        <v>668215.65</v>
      </c>
      <c r="Q20" s="25">
        <v>599823.47</v>
      </c>
      <c r="R20" s="25">
        <v>641273.14</v>
      </c>
      <c r="S20" s="25">
        <v>882102.59</v>
      </c>
      <c r="T20" s="25">
        <v>846125.01</v>
      </c>
      <c r="U20" s="25">
        <v>428892.49</v>
      </c>
      <c r="V20" s="25"/>
    </row>
    <row r="21" spans="1:22">
      <c r="A21" s="11" t="s">
        <v>25</v>
      </c>
      <c r="B21" s="25">
        <v>433286.65629860037</v>
      </c>
      <c r="C21" s="25">
        <v>919199.38693623641</v>
      </c>
      <c r="D21" s="25">
        <v>833457.09828926914</v>
      </c>
      <c r="E21" s="25">
        <v>684860.99999999988</v>
      </c>
      <c r="F21" s="25">
        <v>661000</v>
      </c>
      <c r="G21" s="25">
        <v>631000</v>
      </c>
      <c r="H21" s="25">
        <v>628000</v>
      </c>
      <c r="I21" s="25">
        <v>650000</v>
      </c>
      <c r="J21" s="25">
        <v>668000</v>
      </c>
      <c r="K21" s="25">
        <v>633000</v>
      </c>
      <c r="L21" s="25">
        <v>523000</v>
      </c>
      <c r="M21" s="25">
        <v>445999.99999999994</v>
      </c>
      <c r="N21" s="25">
        <v>400000</v>
      </c>
      <c r="O21" s="25">
        <v>339000</v>
      </c>
      <c r="P21" s="25">
        <v>346149.8</v>
      </c>
      <c r="Q21" s="25">
        <v>349657.23</v>
      </c>
      <c r="R21" s="25">
        <v>359524.92</v>
      </c>
      <c r="S21" s="25">
        <v>504006.07</v>
      </c>
      <c r="T21" s="25">
        <v>446974</v>
      </c>
      <c r="U21" s="25">
        <v>275813.96000000002</v>
      </c>
      <c r="V21" s="25"/>
    </row>
    <row r="22" spans="1:22">
      <c r="A22" s="11" t="s">
        <v>26</v>
      </c>
      <c r="B22" s="25">
        <v>500589.474429583</v>
      </c>
      <c r="C22" s="25">
        <v>1348817.3986362445</v>
      </c>
      <c r="D22" s="25">
        <v>1270612.4295830056</v>
      </c>
      <c r="E22" s="25">
        <v>822668</v>
      </c>
      <c r="F22" s="25">
        <v>1076000</v>
      </c>
      <c r="G22" s="25">
        <v>1042000</v>
      </c>
      <c r="H22" s="25">
        <v>1185000</v>
      </c>
      <c r="I22" s="25">
        <v>1257000</v>
      </c>
      <c r="J22" s="25">
        <v>1308000</v>
      </c>
      <c r="K22" s="25">
        <v>1225000</v>
      </c>
      <c r="L22" s="25">
        <v>1102000</v>
      </c>
      <c r="M22" s="25">
        <v>933000</v>
      </c>
      <c r="N22" s="25">
        <v>916000</v>
      </c>
      <c r="O22" s="25">
        <v>706000</v>
      </c>
      <c r="P22" s="25">
        <v>384438.7</v>
      </c>
      <c r="Q22" s="25">
        <v>340723.52</v>
      </c>
      <c r="R22" s="25">
        <v>358671.3</v>
      </c>
      <c r="S22" s="25">
        <v>496165.87</v>
      </c>
      <c r="T22" s="25">
        <v>454499.38</v>
      </c>
      <c r="U22" s="25">
        <v>262068.1</v>
      </c>
      <c r="V22" s="25"/>
    </row>
    <row r="23" spans="1:22">
      <c r="A23" s="11" t="s">
        <v>27</v>
      </c>
      <c r="B23" s="25">
        <v>480435.78260869568</v>
      </c>
      <c r="C23" s="25">
        <v>1259957.3913043479</v>
      </c>
      <c r="D23" s="25">
        <v>1293935.7391304348</v>
      </c>
      <c r="E23" s="25">
        <v>540453</v>
      </c>
      <c r="F23" s="25">
        <v>562000</v>
      </c>
      <c r="G23" s="25">
        <v>526000</v>
      </c>
      <c r="H23" s="25">
        <v>667000</v>
      </c>
      <c r="I23" s="25">
        <v>655000</v>
      </c>
      <c r="J23" s="25">
        <v>600000</v>
      </c>
      <c r="K23" s="25">
        <v>560000</v>
      </c>
      <c r="L23" s="25">
        <v>523000</v>
      </c>
      <c r="M23" s="25">
        <v>526000</v>
      </c>
      <c r="N23" s="25">
        <v>406000</v>
      </c>
      <c r="O23" s="25">
        <v>415000</v>
      </c>
      <c r="P23" s="25">
        <v>324255.94</v>
      </c>
      <c r="Q23" s="25">
        <v>328251.62</v>
      </c>
      <c r="R23" s="25">
        <v>353967.54</v>
      </c>
      <c r="S23" s="25">
        <v>449548.89</v>
      </c>
      <c r="T23" s="25">
        <v>347785.72</v>
      </c>
      <c r="U23" s="25">
        <v>281688.7</v>
      </c>
      <c r="V23" s="25"/>
    </row>
    <row r="24" spans="1:22">
      <c r="A24" s="11" t="s">
        <v>28</v>
      </c>
      <c r="B24" s="25">
        <v>458053.15989847714</v>
      </c>
      <c r="C24" s="25">
        <v>1021606.9365482234</v>
      </c>
      <c r="D24" s="25">
        <v>782846.22842639592</v>
      </c>
      <c r="E24" s="25">
        <v>1189499</v>
      </c>
      <c r="F24" s="25">
        <v>951999.99999999988</v>
      </c>
      <c r="G24" s="25">
        <v>887000</v>
      </c>
      <c r="H24" s="25">
        <v>1033000</v>
      </c>
      <c r="I24" s="25">
        <v>1060000</v>
      </c>
      <c r="J24" s="25">
        <v>1106000</v>
      </c>
      <c r="K24" s="25">
        <v>919000</v>
      </c>
      <c r="L24" s="25">
        <v>744000</v>
      </c>
      <c r="M24" s="25">
        <v>661999.99999999988</v>
      </c>
      <c r="N24" s="25">
        <v>726000</v>
      </c>
      <c r="O24" s="25">
        <v>580000</v>
      </c>
      <c r="P24" s="25">
        <v>288285.84999999998</v>
      </c>
      <c r="Q24" s="25">
        <v>299723.01</v>
      </c>
      <c r="R24" s="25">
        <v>289473.82</v>
      </c>
      <c r="S24" s="25">
        <v>402934.62</v>
      </c>
      <c r="T24" s="25">
        <v>355865.28</v>
      </c>
      <c r="U24" s="25">
        <v>261906.24</v>
      </c>
      <c r="V24" s="25"/>
    </row>
    <row r="25" spans="1:22">
      <c r="A25" s="11" t="s">
        <v>29</v>
      </c>
      <c r="B25" s="25">
        <v>44889</v>
      </c>
      <c r="C25" s="25">
        <v>48904</v>
      </c>
      <c r="D25" s="25">
        <v>43046</v>
      </c>
      <c r="E25" s="25">
        <v>36178</v>
      </c>
      <c r="F25" s="25">
        <v>23000</v>
      </c>
      <c r="G25" s="25">
        <v>24000</v>
      </c>
      <c r="H25" s="25">
        <v>24000</v>
      </c>
      <c r="I25" s="25">
        <v>22000</v>
      </c>
      <c r="J25" s="25">
        <v>22000</v>
      </c>
      <c r="K25" s="25">
        <v>21000</v>
      </c>
      <c r="L25" s="25">
        <v>21000</v>
      </c>
      <c r="M25" s="25">
        <v>18000</v>
      </c>
      <c r="N25" s="25">
        <v>18000</v>
      </c>
      <c r="O25" s="25">
        <v>15000</v>
      </c>
      <c r="P25" s="25">
        <v>15817.53</v>
      </c>
      <c r="Q25" s="25">
        <v>16605.57</v>
      </c>
      <c r="R25" s="25">
        <v>18003.18</v>
      </c>
      <c r="S25" s="25">
        <v>23171.24</v>
      </c>
      <c r="T25" s="25">
        <v>20400</v>
      </c>
      <c r="U25" s="25">
        <v>20751.509999999998</v>
      </c>
      <c r="V25" s="25"/>
    </row>
    <row r="26" spans="1:22">
      <c r="A26" s="11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</row>
    <row r="27" spans="1:22">
      <c r="A27" s="11" t="s">
        <v>30</v>
      </c>
      <c r="B27" s="25">
        <v>307994.04022988508</v>
      </c>
      <c r="C27" s="25">
        <v>449000.5632183908</v>
      </c>
      <c r="D27" s="25">
        <v>428963.90229885059</v>
      </c>
      <c r="E27" s="25">
        <v>335283</v>
      </c>
      <c r="F27" s="25">
        <v>404000</v>
      </c>
      <c r="G27" s="25">
        <v>391000</v>
      </c>
      <c r="H27" s="25">
        <v>416000</v>
      </c>
      <c r="I27" s="25">
        <v>424000</v>
      </c>
      <c r="J27" s="25">
        <v>429000.00000000006</v>
      </c>
      <c r="K27" s="25">
        <v>414000.00000000006</v>
      </c>
      <c r="L27" s="25">
        <v>380000</v>
      </c>
      <c r="M27" s="25">
        <v>337000</v>
      </c>
      <c r="N27" s="25">
        <v>299000</v>
      </c>
      <c r="O27" s="25">
        <v>292000</v>
      </c>
      <c r="P27" s="25">
        <v>180971.76</v>
      </c>
      <c r="Q27" s="25">
        <v>182265.7</v>
      </c>
      <c r="R27" s="25">
        <v>191204.48000000001</v>
      </c>
      <c r="S27" s="25">
        <v>226130.56</v>
      </c>
      <c r="T27" s="25">
        <v>209078.14</v>
      </c>
      <c r="U27" s="25">
        <v>95799.42</v>
      </c>
      <c r="V27" s="25"/>
    </row>
    <row r="28" spans="1:22">
      <c r="A28" s="11" t="s">
        <v>31</v>
      </c>
      <c r="B28" s="25">
        <v>706481.92351983977</v>
      </c>
      <c r="C28" s="25">
        <v>2325981.7271247967</v>
      </c>
      <c r="D28" s="25">
        <v>1270156.8877206158</v>
      </c>
      <c r="E28" s="25">
        <v>1702910</v>
      </c>
      <c r="F28" s="25">
        <v>1420000</v>
      </c>
      <c r="G28" s="25">
        <v>1279000</v>
      </c>
      <c r="H28" s="25">
        <v>1299000</v>
      </c>
      <c r="I28" s="25">
        <v>1302000</v>
      </c>
      <c r="J28" s="25">
        <v>1175000</v>
      </c>
      <c r="K28" s="25">
        <v>941000</v>
      </c>
      <c r="L28" s="25">
        <v>654000</v>
      </c>
      <c r="M28" s="25">
        <v>466000</v>
      </c>
      <c r="N28" s="25">
        <v>399000</v>
      </c>
      <c r="O28" s="25">
        <v>482000</v>
      </c>
      <c r="P28" s="25">
        <v>385902.9</v>
      </c>
      <c r="Q28" s="25">
        <v>295836.11</v>
      </c>
      <c r="R28" s="25">
        <v>296004.84999999998</v>
      </c>
      <c r="S28" s="25">
        <v>428629.91</v>
      </c>
      <c r="T28" s="25">
        <v>412571.66</v>
      </c>
      <c r="U28" s="25">
        <v>272680.75</v>
      </c>
      <c r="V28" s="25"/>
    </row>
    <row r="29" spans="1:22">
      <c r="A29" s="11" t="s">
        <v>32</v>
      </c>
      <c r="B29" s="25">
        <v>396862.79445255478</v>
      </c>
      <c r="C29" s="25">
        <v>1139876.5389781022</v>
      </c>
      <c r="D29" s="25">
        <v>1076814.0198540147</v>
      </c>
      <c r="E29" s="25">
        <v>848153.00000000012</v>
      </c>
      <c r="F29" s="25">
        <v>745000</v>
      </c>
      <c r="G29" s="25">
        <v>669000</v>
      </c>
      <c r="H29" s="25">
        <v>644000</v>
      </c>
      <c r="I29" s="25">
        <v>570000</v>
      </c>
      <c r="J29" s="25">
        <v>555000</v>
      </c>
      <c r="K29" s="25">
        <v>417000</v>
      </c>
      <c r="L29" s="25">
        <v>441000</v>
      </c>
      <c r="M29" s="25">
        <v>455000</v>
      </c>
      <c r="N29" s="25">
        <v>539000</v>
      </c>
      <c r="O29" s="25">
        <v>338000</v>
      </c>
      <c r="P29" s="25">
        <v>303466.81</v>
      </c>
      <c r="Q29" s="25">
        <v>294496.99</v>
      </c>
      <c r="R29" s="25">
        <v>301301.56</v>
      </c>
      <c r="S29" s="25">
        <v>377856.14</v>
      </c>
      <c r="T29" s="25">
        <v>285588.71999999997</v>
      </c>
      <c r="U29" s="25">
        <v>204326.19</v>
      </c>
      <c r="V29" s="25"/>
    </row>
    <row r="30" spans="1:22">
      <c r="A30" s="11" t="s">
        <v>33</v>
      </c>
      <c r="B30" s="25">
        <v>273014.86672398972</v>
      </c>
      <c r="C30" s="25">
        <v>591212.54600171966</v>
      </c>
      <c r="D30" s="25">
        <v>550216.96990541695</v>
      </c>
      <c r="E30" s="25">
        <v>518566</v>
      </c>
      <c r="F30" s="25">
        <v>333000</v>
      </c>
      <c r="G30" s="25">
        <v>254000</v>
      </c>
      <c r="H30" s="25">
        <v>292000</v>
      </c>
      <c r="I30" s="25">
        <v>307000</v>
      </c>
      <c r="J30" s="25">
        <v>382000</v>
      </c>
      <c r="K30" s="25">
        <v>365000</v>
      </c>
      <c r="L30" s="25">
        <v>348000</v>
      </c>
      <c r="M30" s="25">
        <v>327000</v>
      </c>
      <c r="N30" s="25">
        <v>280000</v>
      </c>
      <c r="O30" s="25">
        <v>230000</v>
      </c>
      <c r="P30" s="25">
        <v>382241.28000000003</v>
      </c>
      <c r="Q30" s="25">
        <v>390645.91</v>
      </c>
      <c r="R30" s="25">
        <v>386895.16</v>
      </c>
      <c r="S30" s="25">
        <v>366818.71</v>
      </c>
      <c r="T30" s="25">
        <v>312563.28999999998</v>
      </c>
      <c r="U30" s="25">
        <v>247628.83</v>
      </c>
      <c r="V30" s="25"/>
    </row>
    <row r="31" spans="1:22">
      <c r="A31" s="11" t="s">
        <v>34</v>
      </c>
      <c r="B31" s="25">
        <v>25134</v>
      </c>
      <c r="C31" s="25">
        <v>22763</v>
      </c>
      <c r="D31" s="25">
        <v>4668</v>
      </c>
      <c r="E31" s="25">
        <v>2350</v>
      </c>
      <c r="F31" s="25">
        <v>3000.0000000000005</v>
      </c>
      <c r="G31" s="25">
        <v>3000</v>
      </c>
      <c r="H31" s="25">
        <v>3000</v>
      </c>
      <c r="I31" s="25">
        <v>2000</v>
      </c>
      <c r="J31" s="25">
        <v>4000</v>
      </c>
      <c r="K31" s="25">
        <v>1000</v>
      </c>
      <c r="L31" s="25">
        <v>2000</v>
      </c>
      <c r="M31" s="25">
        <v>2000</v>
      </c>
      <c r="N31" s="25">
        <v>3000.0000000000005</v>
      </c>
      <c r="O31" s="25">
        <v>3000.0000000000005</v>
      </c>
      <c r="P31" s="25">
        <v>10035.4</v>
      </c>
      <c r="Q31" s="25">
        <v>6594.5</v>
      </c>
      <c r="R31" s="25">
        <v>6750.75</v>
      </c>
      <c r="S31" s="25">
        <v>13889.88</v>
      </c>
      <c r="T31" s="25">
        <v>17084.919999999998</v>
      </c>
      <c r="U31" s="25">
        <v>16528.400000000001</v>
      </c>
      <c r="V31" s="25"/>
    </row>
    <row r="32" spans="1:22">
      <c r="A32" s="11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</row>
    <row r="33" spans="1:22">
      <c r="A33" s="11" t="s">
        <v>35</v>
      </c>
      <c r="B33" s="25">
        <v>565448.92229093844</v>
      </c>
      <c r="C33" s="25">
        <v>886756.93277762842</v>
      </c>
      <c r="D33" s="25">
        <v>830274.13471363275</v>
      </c>
      <c r="E33" s="25">
        <v>783008.00000000012</v>
      </c>
      <c r="F33" s="25">
        <v>658000</v>
      </c>
      <c r="G33" s="25">
        <v>537000</v>
      </c>
      <c r="H33" s="25">
        <v>666000</v>
      </c>
      <c r="I33" s="25">
        <v>729000</v>
      </c>
      <c r="J33" s="25">
        <v>734000</v>
      </c>
      <c r="K33" s="25">
        <v>651000</v>
      </c>
      <c r="L33" s="25">
        <v>615000</v>
      </c>
      <c r="M33" s="25">
        <v>485000</v>
      </c>
      <c r="N33" s="25">
        <v>350000</v>
      </c>
      <c r="O33" s="25">
        <v>348000</v>
      </c>
      <c r="P33" s="25">
        <v>463430.28</v>
      </c>
      <c r="Q33" s="25">
        <v>462050.81</v>
      </c>
      <c r="R33" s="25">
        <v>537738.56999999995</v>
      </c>
      <c r="S33" s="25">
        <v>709137.44</v>
      </c>
      <c r="T33" s="25">
        <v>603648.92000000004</v>
      </c>
      <c r="U33" s="25">
        <v>287431.42</v>
      </c>
      <c r="V33" s="25"/>
    </row>
    <row r="34" spans="1:22">
      <c r="A34" s="11" t="s">
        <v>36</v>
      </c>
      <c r="B34" s="25">
        <v>318164.33253205131</v>
      </c>
      <c r="C34" s="25">
        <v>415831.12019230775</v>
      </c>
      <c r="D34" s="25">
        <v>328948.08253205131</v>
      </c>
      <c r="E34" s="25">
        <v>291468</v>
      </c>
      <c r="F34" s="25">
        <v>292000</v>
      </c>
      <c r="G34" s="25">
        <v>232000</v>
      </c>
      <c r="H34" s="25">
        <v>332000</v>
      </c>
      <c r="I34" s="25">
        <v>311000</v>
      </c>
      <c r="J34" s="25">
        <v>328000</v>
      </c>
      <c r="K34" s="25">
        <v>320000</v>
      </c>
      <c r="L34" s="25">
        <v>231000</v>
      </c>
      <c r="M34" s="25">
        <v>222000</v>
      </c>
      <c r="N34" s="25">
        <v>246000</v>
      </c>
      <c r="O34" s="25">
        <v>256000</v>
      </c>
      <c r="P34" s="25">
        <v>236190.79</v>
      </c>
      <c r="Q34" s="25">
        <v>207567.02</v>
      </c>
      <c r="R34" s="25">
        <v>226573.72</v>
      </c>
      <c r="S34" s="25">
        <v>345810.85</v>
      </c>
      <c r="T34" s="25">
        <v>295439.86</v>
      </c>
      <c r="U34" s="25">
        <v>180321.04</v>
      </c>
      <c r="V34" s="25"/>
    </row>
    <row r="35" spans="1:22">
      <c r="A35" s="11" t="s">
        <v>37</v>
      </c>
      <c r="B35" s="25">
        <v>95331.184952978059</v>
      </c>
      <c r="C35" s="25">
        <v>159446.57680250786</v>
      </c>
      <c r="D35" s="25">
        <v>131134.89341692789</v>
      </c>
      <c r="E35" s="25">
        <v>145410</v>
      </c>
      <c r="F35" s="25">
        <v>106000</v>
      </c>
      <c r="G35" s="25">
        <v>80000</v>
      </c>
      <c r="H35" s="25">
        <v>119000</v>
      </c>
      <c r="I35" s="25">
        <v>159000</v>
      </c>
      <c r="J35" s="25">
        <v>170000</v>
      </c>
      <c r="K35" s="25">
        <v>161000</v>
      </c>
      <c r="L35" s="25">
        <v>150000</v>
      </c>
      <c r="M35" s="25">
        <v>153000</v>
      </c>
      <c r="N35" s="25">
        <v>145000</v>
      </c>
      <c r="O35" s="25">
        <v>175000</v>
      </c>
      <c r="P35" s="25">
        <v>138335.85</v>
      </c>
      <c r="Q35" s="25">
        <v>156392.95999999999</v>
      </c>
      <c r="R35" s="25">
        <v>173762.04</v>
      </c>
      <c r="S35" s="25">
        <v>239866.81</v>
      </c>
      <c r="T35" s="25">
        <v>246020.04</v>
      </c>
      <c r="U35" s="25">
        <v>148554.95000000001</v>
      </c>
      <c r="V35" s="25"/>
    </row>
    <row r="36" spans="1:22">
      <c r="A36" s="11" t="s">
        <v>38</v>
      </c>
      <c r="B36" s="25">
        <v>162789.41115537848</v>
      </c>
      <c r="C36" s="25">
        <v>174175.3920318725</v>
      </c>
      <c r="D36" s="25">
        <v>191431.91314741035</v>
      </c>
      <c r="E36" s="25">
        <v>276637</v>
      </c>
      <c r="F36" s="25">
        <v>222000</v>
      </c>
      <c r="G36" s="25">
        <v>211000</v>
      </c>
      <c r="H36" s="25">
        <v>307000</v>
      </c>
      <c r="I36" s="25">
        <v>183000</v>
      </c>
      <c r="J36" s="25">
        <v>213000</v>
      </c>
      <c r="K36" s="25">
        <v>202000.00000000003</v>
      </c>
      <c r="L36" s="25">
        <v>187000.00000000003</v>
      </c>
      <c r="M36" s="25">
        <v>152000</v>
      </c>
      <c r="N36" s="25">
        <v>134000</v>
      </c>
      <c r="O36" s="25">
        <v>232999.99999999997</v>
      </c>
      <c r="P36" s="25">
        <v>215465.07</v>
      </c>
      <c r="Q36" s="25">
        <v>198336.71</v>
      </c>
      <c r="R36" s="25">
        <v>230619.65</v>
      </c>
      <c r="S36" s="25">
        <v>239170.83</v>
      </c>
      <c r="T36" s="25">
        <v>229909.47</v>
      </c>
      <c r="U36" s="25">
        <v>201174.01</v>
      </c>
      <c r="V36" s="25"/>
    </row>
    <row r="37" spans="1:22">
      <c r="A37" s="11" t="s">
        <v>39</v>
      </c>
      <c r="B37" s="25">
        <v>424535.37619047618</v>
      </c>
      <c r="C37" s="25">
        <v>478574.15833333333</v>
      </c>
      <c r="D37" s="25">
        <v>425945.55595238094</v>
      </c>
      <c r="E37" s="25">
        <v>288678</v>
      </c>
      <c r="F37" s="25">
        <v>296000</v>
      </c>
      <c r="G37" s="25">
        <v>192000</v>
      </c>
      <c r="H37" s="25">
        <v>364000</v>
      </c>
      <c r="I37" s="25">
        <v>427000</v>
      </c>
      <c r="J37" s="25">
        <v>444000.00000000006</v>
      </c>
      <c r="K37" s="25">
        <v>457000</v>
      </c>
      <c r="L37" s="25">
        <v>477000</v>
      </c>
      <c r="M37" s="25">
        <v>490999.99999999994</v>
      </c>
      <c r="N37" s="25">
        <v>502000</v>
      </c>
      <c r="O37" s="25">
        <v>529000</v>
      </c>
      <c r="P37" s="25">
        <v>531911.88</v>
      </c>
      <c r="Q37" s="25">
        <v>696125.97</v>
      </c>
      <c r="R37" s="25">
        <v>755909.37</v>
      </c>
      <c r="S37" s="25">
        <v>813915.92</v>
      </c>
      <c r="T37" s="25">
        <v>595916.68000000005</v>
      </c>
      <c r="U37" s="25">
        <v>456733.29</v>
      </c>
      <c r="V37" s="25"/>
    </row>
    <row r="38" spans="1:22"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</row>
  </sheetData>
  <phoneticPr fontId="6" type="noConversion"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6C590-5C66-1642-A1EC-11C52BA1D1CC}">
  <dimension ref="A1:V39"/>
  <sheetViews>
    <sheetView workbookViewId="0">
      <selection activeCell="B1" sqref="A1:XFD1"/>
    </sheetView>
  </sheetViews>
  <sheetFormatPr baseColWidth="10" defaultRowHeight="16"/>
  <cols>
    <col min="1" max="1" width="16.5" style="10" customWidth="1"/>
  </cols>
  <sheetData>
    <row r="1" spans="1:22" ht="17">
      <c r="A1" s="23" t="s">
        <v>40</v>
      </c>
      <c r="B1" s="8">
        <v>1997</v>
      </c>
      <c r="C1" s="8">
        <v>1998</v>
      </c>
      <c r="D1" s="8">
        <v>1999</v>
      </c>
      <c r="E1" s="8">
        <v>2000</v>
      </c>
      <c r="F1" s="8">
        <v>2001</v>
      </c>
      <c r="G1" s="8">
        <v>2002</v>
      </c>
      <c r="H1" s="8">
        <v>2003</v>
      </c>
      <c r="I1" s="8">
        <v>2004</v>
      </c>
      <c r="J1" s="8">
        <v>2005</v>
      </c>
      <c r="K1" s="8">
        <v>2006</v>
      </c>
      <c r="L1" s="8">
        <v>2007</v>
      </c>
      <c r="M1" s="8">
        <v>2008</v>
      </c>
      <c r="N1" s="8">
        <v>2009</v>
      </c>
      <c r="O1" s="8">
        <v>2010</v>
      </c>
      <c r="P1" s="8">
        <v>2011</v>
      </c>
      <c r="Q1" s="8">
        <v>2012</v>
      </c>
      <c r="R1" s="8">
        <v>2013</v>
      </c>
      <c r="S1" s="8">
        <v>2014</v>
      </c>
      <c r="T1" s="8">
        <v>2015</v>
      </c>
      <c r="U1" s="8">
        <v>2016</v>
      </c>
    </row>
    <row r="2" spans="1:22">
      <c r="A2" s="16" t="s">
        <v>9</v>
      </c>
      <c r="B2" s="11">
        <v>16</v>
      </c>
      <c r="C2" s="11">
        <v>13.4</v>
      </c>
      <c r="D2" s="11">
        <v>2.4500000000000002</v>
      </c>
      <c r="E2" s="11">
        <v>7.91</v>
      </c>
      <c r="F2" s="11">
        <v>6.65</v>
      </c>
      <c r="G2" s="11">
        <v>2.85</v>
      </c>
      <c r="H2" s="11">
        <v>366.36</v>
      </c>
      <c r="I2" s="11">
        <v>235.38</v>
      </c>
      <c r="J2" s="11">
        <v>384.59</v>
      </c>
      <c r="K2" s="11">
        <v>626.44000000000005</v>
      </c>
      <c r="L2" s="11">
        <v>683</v>
      </c>
      <c r="M2" s="11">
        <v>741.2</v>
      </c>
      <c r="N2" s="11">
        <v>748.9</v>
      </c>
      <c r="O2" s="11">
        <v>780.3</v>
      </c>
      <c r="P2" s="11">
        <v>349</v>
      </c>
      <c r="Q2" s="11">
        <v>219</v>
      </c>
      <c r="R2" s="11">
        <v>140</v>
      </c>
      <c r="S2" s="11">
        <v>126</v>
      </c>
      <c r="T2" s="11">
        <v>118</v>
      </c>
      <c r="U2" s="11">
        <v>87</v>
      </c>
      <c r="V2" s="11"/>
    </row>
    <row r="3" spans="1:22">
      <c r="A3" s="11" t="s">
        <v>10</v>
      </c>
      <c r="B3" s="11">
        <v>68</v>
      </c>
      <c r="C3" s="11">
        <v>45.9</v>
      </c>
      <c r="D3" s="11">
        <v>25.65</v>
      </c>
      <c r="E3" s="11">
        <v>24.5</v>
      </c>
      <c r="F3" s="11">
        <v>19.97</v>
      </c>
      <c r="G3" s="11">
        <v>25.57</v>
      </c>
      <c r="H3" s="11">
        <v>56.66</v>
      </c>
      <c r="I3" s="11">
        <v>20.100000000000001</v>
      </c>
      <c r="J3" s="11">
        <v>18.63</v>
      </c>
      <c r="K3" s="11">
        <v>18.079999999999998</v>
      </c>
      <c r="L3" s="11">
        <v>18.7</v>
      </c>
      <c r="M3" s="11">
        <v>23.8</v>
      </c>
      <c r="N3" s="11">
        <v>20.5</v>
      </c>
      <c r="O3" s="11">
        <v>27</v>
      </c>
      <c r="P3" s="11">
        <v>9</v>
      </c>
      <c r="Q3" s="11">
        <v>7</v>
      </c>
      <c r="R3" s="11">
        <v>10</v>
      </c>
      <c r="S3" s="11">
        <v>11</v>
      </c>
      <c r="T3" s="11">
        <v>22</v>
      </c>
      <c r="U3" s="11">
        <v>15</v>
      </c>
      <c r="V3" s="11"/>
    </row>
    <row r="4" spans="1:22">
      <c r="A4" s="11" t="s">
        <v>11</v>
      </c>
      <c r="B4" s="11">
        <v>1425</v>
      </c>
      <c r="C4" s="11">
        <v>1591.9</v>
      </c>
      <c r="D4" s="11">
        <v>1376.17</v>
      </c>
      <c r="E4" s="11">
        <v>436.98999999999995</v>
      </c>
      <c r="F4" s="11">
        <v>686.4</v>
      </c>
      <c r="G4" s="11">
        <v>562.66999999999996</v>
      </c>
      <c r="H4" s="11">
        <v>2019.77</v>
      </c>
      <c r="I4" s="11">
        <v>5052.8</v>
      </c>
      <c r="J4" s="11">
        <v>5044.26</v>
      </c>
      <c r="K4" s="11">
        <v>2846.24</v>
      </c>
      <c r="L4" s="11">
        <v>4934.6000000000004</v>
      </c>
      <c r="M4" s="11">
        <v>5848.9</v>
      </c>
      <c r="N4" s="11">
        <v>5248.5</v>
      </c>
      <c r="O4" s="11">
        <v>12007.3</v>
      </c>
      <c r="P4" s="11">
        <v>6806</v>
      </c>
      <c r="Q4" s="11">
        <v>7439</v>
      </c>
      <c r="R4" s="11">
        <v>23429</v>
      </c>
      <c r="S4" s="11">
        <v>22927</v>
      </c>
      <c r="T4" s="11">
        <v>14729</v>
      </c>
      <c r="U4" s="11">
        <v>13818</v>
      </c>
      <c r="V4" s="11"/>
    </row>
    <row r="5" spans="1:22">
      <c r="A5" s="11" t="s">
        <v>12</v>
      </c>
      <c r="B5" s="11">
        <v>1832</v>
      </c>
      <c r="C5" s="11">
        <v>1809.2</v>
      </c>
      <c r="D5" s="11">
        <v>2371.7399999999998</v>
      </c>
      <c r="E5" s="11">
        <v>2873.1</v>
      </c>
      <c r="F5" s="11">
        <v>3568.65</v>
      </c>
      <c r="G5" s="11">
        <v>3999.4</v>
      </c>
      <c r="H5" s="11">
        <v>3881.17</v>
      </c>
      <c r="I5" s="11">
        <v>4337.3100000000004</v>
      </c>
      <c r="J5" s="11">
        <v>4898.54</v>
      </c>
      <c r="K5" s="11">
        <v>5197.71</v>
      </c>
      <c r="L5" s="11">
        <v>5818.2000000000007</v>
      </c>
      <c r="M5" s="11">
        <v>5917.2</v>
      </c>
      <c r="N5" s="11">
        <v>5098.5</v>
      </c>
      <c r="O5" s="11">
        <v>5273.2</v>
      </c>
      <c r="P5" s="11">
        <v>9187</v>
      </c>
      <c r="Q5" s="11">
        <v>7132</v>
      </c>
      <c r="R5" s="11">
        <v>8187</v>
      </c>
      <c r="S5" s="11">
        <v>7716</v>
      </c>
      <c r="T5" s="11">
        <v>11305</v>
      </c>
      <c r="U5" s="11">
        <v>11835</v>
      </c>
      <c r="V5" s="11"/>
    </row>
    <row r="6" spans="1:22">
      <c r="A6" s="11" t="s">
        <v>13</v>
      </c>
      <c r="B6" s="11">
        <v>270</v>
      </c>
      <c r="C6" s="11">
        <v>570.79999999999995</v>
      </c>
      <c r="D6" s="11">
        <v>214.09</v>
      </c>
      <c r="E6" s="11">
        <v>152.22999999999999</v>
      </c>
      <c r="F6" s="11">
        <v>141.41</v>
      </c>
      <c r="G6" s="11">
        <v>443.38</v>
      </c>
      <c r="H6" s="11">
        <v>331.33</v>
      </c>
      <c r="I6" s="11">
        <v>596.74</v>
      </c>
      <c r="J6" s="11">
        <v>653.08000000000004</v>
      </c>
      <c r="K6" s="11">
        <v>2557.08</v>
      </c>
      <c r="L6" s="11">
        <v>1599.8</v>
      </c>
      <c r="M6" s="11">
        <v>4108.3</v>
      </c>
      <c r="N6" s="11">
        <v>4500.3</v>
      </c>
      <c r="O6" s="11">
        <v>5295.2</v>
      </c>
      <c r="P6" s="11">
        <v>7429</v>
      </c>
      <c r="Q6" s="11">
        <v>10943</v>
      </c>
      <c r="R6" s="11">
        <v>8296</v>
      </c>
      <c r="S6" s="11">
        <v>8272</v>
      </c>
      <c r="T6" s="11">
        <v>7554</v>
      </c>
      <c r="U6" s="11">
        <v>6245</v>
      </c>
      <c r="V6" s="11"/>
    </row>
    <row r="7" spans="1:22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</row>
    <row r="8" spans="1:22">
      <c r="A8" s="11" t="s">
        <v>14</v>
      </c>
      <c r="B8" s="11">
        <v>798</v>
      </c>
      <c r="C8" s="11">
        <v>784.09999999999991</v>
      </c>
      <c r="D8" s="11">
        <v>1011.0400000000001</v>
      </c>
      <c r="E8" s="11">
        <v>223.2</v>
      </c>
      <c r="F8" s="11">
        <v>416.59</v>
      </c>
      <c r="G8" s="11">
        <v>1298.6199999999999</v>
      </c>
      <c r="H8" s="11">
        <v>2694.84</v>
      </c>
      <c r="I8" s="11">
        <v>2989.87</v>
      </c>
      <c r="J8" s="11">
        <v>3525.66</v>
      </c>
      <c r="K8" s="11">
        <v>6023.28</v>
      </c>
      <c r="L8" s="11">
        <v>5241.5999999999995</v>
      </c>
      <c r="M8" s="11">
        <v>6351.8</v>
      </c>
      <c r="N8" s="11">
        <v>7209</v>
      </c>
      <c r="O8" s="11">
        <v>6767.3</v>
      </c>
      <c r="P8" s="11">
        <v>13394</v>
      </c>
      <c r="Q8" s="11">
        <v>11655</v>
      </c>
      <c r="R8" s="11">
        <v>11289</v>
      </c>
      <c r="S8" s="11">
        <v>9422</v>
      </c>
      <c r="T8" s="11">
        <v>8067</v>
      </c>
      <c r="U8" s="11">
        <v>3253</v>
      </c>
      <c r="V8" s="11"/>
    </row>
    <row r="9" spans="1:22">
      <c r="A9" s="11" t="s">
        <v>15</v>
      </c>
      <c r="B9" s="11">
        <v>85</v>
      </c>
      <c r="C9" s="11">
        <v>44.300000000000004</v>
      </c>
      <c r="D9" s="11">
        <v>54.76</v>
      </c>
      <c r="E9" s="11">
        <v>52.44</v>
      </c>
      <c r="F9" s="11">
        <v>37.85</v>
      </c>
      <c r="G9" s="11">
        <v>27.79</v>
      </c>
      <c r="H9" s="11">
        <v>91.21</v>
      </c>
      <c r="I9" s="11">
        <v>91.62</v>
      </c>
      <c r="J9" s="11">
        <v>31.6</v>
      </c>
      <c r="K9" s="11">
        <v>34.6</v>
      </c>
      <c r="L9" s="11">
        <v>54</v>
      </c>
      <c r="M9" s="11">
        <v>13.5</v>
      </c>
      <c r="N9" s="11">
        <v>67.5</v>
      </c>
      <c r="O9" s="11">
        <v>577.5</v>
      </c>
      <c r="P9" s="11">
        <v>920</v>
      </c>
      <c r="Q9" s="11">
        <v>541</v>
      </c>
      <c r="R9" s="11">
        <v>522</v>
      </c>
      <c r="S9" s="11">
        <v>1116</v>
      </c>
      <c r="T9" s="11">
        <v>1571</v>
      </c>
      <c r="U9" s="11">
        <v>1069</v>
      </c>
      <c r="V9" s="11"/>
    </row>
    <row r="10" spans="1:22">
      <c r="A10" s="11" t="s">
        <v>16</v>
      </c>
      <c r="B10" s="11">
        <v>1016</v>
      </c>
      <c r="C10" s="11">
        <v>787.8</v>
      </c>
      <c r="D10" s="11">
        <v>654.06999999999994</v>
      </c>
      <c r="E10" s="11">
        <v>481.21000000000004</v>
      </c>
      <c r="F10" s="11">
        <v>486.61</v>
      </c>
      <c r="G10" s="11">
        <v>524.77</v>
      </c>
      <c r="H10" s="11">
        <v>422.67</v>
      </c>
      <c r="I10" s="11">
        <v>504.5</v>
      </c>
      <c r="J10" s="11">
        <v>519.71</v>
      </c>
      <c r="K10" s="11">
        <v>263.14</v>
      </c>
      <c r="L10" s="11">
        <v>607</v>
      </c>
      <c r="M10" s="11">
        <v>413.9</v>
      </c>
      <c r="N10" s="11">
        <v>501.7</v>
      </c>
      <c r="O10" s="11">
        <v>445</v>
      </c>
      <c r="P10" s="11">
        <v>643</v>
      </c>
      <c r="Q10" s="11">
        <v>808</v>
      </c>
      <c r="R10" s="11">
        <v>419</v>
      </c>
      <c r="S10" s="11">
        <v>1558</v>
      </c>
      <c r="T10" s="11">
        <v>1273</v>
      </c>
      <c r="U10" s="11">
        <v>1675</v>
      </c>
      <c r="V10" s="11"/>
    </row>
    <row r="11" spans="1:22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</row>
    <row r="12" spans="1:22">
      <c r="A12" s="11" t="s">
        <v>17</v>
      </c>
      <c r="B12" s="11">
        <v>62</v>
      </c>
      <c r="C12" s="11">
        <v>62.399999999999991</v>
      </c>
      <c r="D12" s="11">
        <v>63.6</v>
      </c>
      <c r="E12" s="11">
        <v>89.88</v>
      </c>
      <c r="F12" s="11">
        <v>46.5</v>
      </c>
      <c r="G12" s="11">
        <v>17.79</v>
      </c>
      <c r="H12" s="11">
        <v>38.69</v>
      </c>
      <c r="I12" s="11">
        <v>37.950000000000003</v>
      </c>
      <c r="J12" s="11">
        <v>55.36</v>
      </c>
      <c r="K12" s="11">
        <v>88.9</v>
      </c>
      <c r="L12" s="11">
        <v>91.7</v>
      </c>
      <c r="M12" s="11">
        <v>71.599999999999994</v>
      </c>
      <c r="N12" s="11">
        <v>68.7</v>
      </c>
      <c r="O12" s="11">
        <v>93.9</v>
      </c>
      <c r="P12" s="11">
        <v>75</v>
      </c>
      <c r="Q12" s="11">
        <v>56</v>
      </c>
      <c r="R12" s="11">
        <v>58</v>
      </c>
      <c r="S12" s="11">
        <v>47</v>
      </c>
      <c r="T12" s="11">
        <v>72</v>
      </c>
      <c r="U12" s="11">
        <v>73</v>
      </c>
      <c r="V12" s="11"/>
    </row>
    <row r="13" spans="1:22">
      <c r="A13" s="11" t="s">
        <v>18</v>
      </c>
      <c r="B13" s="11">
        <v>99</v>
      </c>
      <c r="C13" s="11">
        <v>61.199999999999996</v>
      </c>
      <c r="D13" s="11">
        <v>64.34</v>
      </c>
      <c r="E13" s="11">
        <v>35.96</v>
      </c>
      <c r="F13" s="11">
        <v>210.79</v>
      </c>
      <c r="G13" s="11">
        <v>139.67000000000002</v>
      </c>
      <c r="H13" s="11">
        <v>110.19</v>
      </c>
      <c r="I13" s="11">
        <v>128.05000000000001</v>
      </c>
      <c r="J13" s="11">
        <v>102.09</v>
      </c>
      <c r="K13" s="11">
        <v>223.78</v>
      </c>
      <c r="L13" s="11">
        <v>94.699999999999989</v>
      </c>
      <c r="M13" s="11">
        <v>100.1</v>
      </c>
      <c r="N13" s="11">
        <v>68.5</v>
      </c>
      <c r="O13" s="11">
        <v>138.69999999999999</v>
      </c>
      <c r="P13" s="11">
        <v>335</v>
      </c>
      <c r="Q13" s="11">
        <v>630</v>
      </c>
      <c r="R13" s="11">
        <v>287</v>
      </c>
      <c r="S13" s="11">
        <v>279</v>
      </c>
      <c r="T13" s="11">
        <v>407</v>
      </c>
      <c r="U13" s="11">
        <v>742</v>
      </c>
      <c r="V13" s="11"/>
    </row>
    <row r="14" spans="1:22">
      <c r="A14" s="11" t="s">
        <v>19</v>
      </c>
      <c r="B14" s="11">
        <v>150</v>
      </c>
      <c r="C14" s="11">
        <v>116.3</v>
      </c>
      <c r="D14" s="11">
        <v>102.06</v>
      </c>
      <c r="E14" s="11">
        <v>99.86999999999999</v>
      </c>
      <c r="F14" s="11">
        <v>135.33000000000001</v>
      </c>
      <c r="G14" s="11">
        <v>155.94999999999999</v>
      </c>
      <c r="H14" s="11">
        <v>219.36</v>
      </c>
      <c r="I14" s="11">
        <v>260.88</v>
      </c>
      <c r="J14" s="11">
        <v>153.63</v>
      </c>
      <c r="K14" s="11">
        <v>137.13</v>
      </c>
      <c r="L14" s="11">
        <v>148.29999999999998</v>
      </c>
      <c r="M14" s="11">
        <v>158.4</v>
      </c>
      <c r="N14" s="11">
        <v>218.4</v>
      </c>
      <c r="O14" s="11">
        <v>174.5</v>
      </c>
      <c r="P14" s="11">
        <v>310</v>
      </c>
      <c r="Q14" s="11">
        <v>314</v>
      </c>
      <c r="R14" s="11">
        <v>177</v>
      </c>
      <c r="S14" s="11">
        <v>205</v>
      </c>
      <c r="T14" s="11">
        <v>205</v>
      </c>
      <c r="U14" s="11">
        <v>312</v>
      </c>
      <c r="V14" s="11"/>
    </row>
    <row r="15" spans="1:22">
      <c r="A15" s="11" t="s">
        <v>20</v>
      </c>
      <c r="B15" s="11">
        <v>642</v>
      </c>
      <c r="C15" s="11">
        <v>511.20000000000005</v>
      </c>
      <c r="D15" s="11">
        <v>717.44</v>
      </c>
      <c r="E15" s="11">
        <v>947.13</v>
      </c>
      <c r="F15" s="11">
        <v>345.31</v>
      </c>
      <c r="G15" s="11">
        <v>405.13</v>
      </c>
      <c r="H15" s="11">
        <v>484.62</v>
      </c>
      <c r="I15" s="11">
        <v>492.99</v>
      </c>
      <c r="J15" s="11">
        <v>516.78</v>
      </c>
      <c r="K15" s="11">
        <v>507.76</v>
      </c>
      <c r="L15" s="11">
        <v>642.29999999999995</v>
      </c>
      <c r="M15" s="11">
        <v>854.6</v>
      </c>
      <c r="N15" s="11">
        <v>915.80000000000007</v>
      </c>
      <c r="O15" s="11">
        <v>916.4</v>
      </c>
      <c r="P15" s="11">
        <v>1761</v>
      </c>
      <c r="Q15" s="11">
        <v>1705</v>
      </c>
      <c r="R15" s="11">
        <v>1374</v>
      </c>
      <c r="S15" s="11">
        <v>1079</v>
      </c>
      <c r="T15" s="11">
        <v>1049</v>
      </c>
      <c r="U15" s="11">
        <v>1182</v>
      </c>
      <c r="V15" s="11"/>
    </row>
    <row r="16" spans="1:22">
      <c r="A16" s="11" t="s">
        <v>21</v>
      </c>
      <c r="B16" s="11">
        <v>79</v>
      </c>
      <c r="C16" s="11">
        <v>115.2</v>
      </c>
      <c r="D16" s="11">
        <v>120.92</v>
      </c>
      <c r="E16" s="11">
        <v>164.19</v>
      </c>
      <c r="F16" s="11">
        <v>1990.54</v>
      </c>
      <c r="G16" s="11">
        <v>2482.5700000000002</v>
      </c>
      <c r="H16" s="11">
        <v>1020.12</v>
      </c>
      <c r="I16" s="11">
        <v>1049.9100000000001</v>
      </c>
      <c r="J16" s="11">
        <v>1094.96</v>
      </c>
      <c r="K16" s="11">
        <v>1066.98</v>
      </c>
      <c r="L16" s="11">
        <v>1329.6999999999998</v>
      </c>
      <c r="M16" s="11">
        <v>1370.4</v>
      </c>
      <c r="N16" s="11">
        <v>870.4</v>
      </c>
      <c r="O16" s="11">
        <v>1181.0999999999999</v>
      </c>
      <c r="P16" s="11">
        <v>1304</v>
      </c>
      <c r="Q16" s="11">
        <v>764</v>
      </c>
      <c r="R16" s="11">
        <v>962</v>
      </c>
      <c r="S16" s="11">
        <v>585</v>
      </c>
      <c r="T16" s="11">
        <v>1157</v>
      </c>
      <c r="U16" s="11">
        <v>1166</v>
      </c>
      <c r="V16" s="11"/>
    </row>
    <row r="17" spans="1:22">
      <c r="A17" s="11" t="s">
        <v>22</v>
      </c>
      <c r="B17" s="11">
        <v>61</v>
      </c>
      <c r="C17" s="11">
        <v>35.799999999999997</v>
      </c>
      <c r="D17" s="11">
        <v>56.68</v>
      </c>
      <c r="E17" s="11">
        <v>98.699999999999989</v>
      </c>
      <c r="F17" s="11">
        <v>758.99</v>
      </c>
      <c r="G17" s="11">
        <v>1776.96</v>
      </c>
      <c r="H17" s="11">
        <v>589.77</v>
      </c>
      <c r="I17" s="11">
        <v>4140.95</v>
      </c>
      <c r="J17" s="11">
        <v>4590.9399999999996</v>
      </c>
      <c r="K17" s="11">
        <v>4196.8999999999996</v>
      </c>
      <c r="L17" s="11">
        <v>4105.7</v>
      </c>
      <c r="M17" s="11">
        <v>4152.8999999999996</v>
      </c>
      <c r="N17" s="11">
        <v>4415.7000000000007</v>
      </c>
      <c r="O17" s="11">
        <v>4486.6000000000004</v>
      </c>
      <c r="P17" s="11">
        <v>652</v>
      </c>
      <c r="Q17" s="11">
        <v>388</v>
      </c>
      <c r="R17" s="11">
        <v>397</v>
      </c>
      <c r="S17" s="11">
        <v>232</v>
      </c>
      <c r="T17" s="11">
        <v>272</v>
      </c>
      <c r="U17" s="11">
        <v>866</v>
      </c>
      <c r="V17" s="11"/>
    </row>
    <row r="18" spans="1:22">
      <c r="A18" s="11" t="s">
        <v>23</v>
      </c>
      <c r="B18" s="11">
        <v>382</v>
      </c>
      <c r="C18" s="11">
        <v>319.2</v>
      </c>
      <c r="D18" s="11">
        <v>183.92</v>
      </c>
      <c r="E18" s="11">
        <v>215.16</v>
      </c>
      <c r="F18" s="11">
        <v>351.2</v>
      </c>
      <c r="G18" s="11">
        <v>542.16999999999996</v>
      </c>
      <c r="H18" s="11">
        <v>348.99</v>
      </c>
      <c r="I18" s="11">
        <v>422.76</v>
      </c>
      <c r="J18" s="11">
        <v>319.18</v>
      </c>
      <c r="K18" s="11">
        <v>326.27999999999997</v>
      </c>
      <c r="L18" s="11">
        <v>173.60000000000002</v>
      </c>
      <c r="M18" s="11">
        <v>462.6</v>
      </c>
      <c r="N18" s="11">
        <v>469.79999999999995</v>
      </c>
      <c r="O18" s="11">
        <v>475</v>
      </c>
      <c r="P18" s="11">
        <v>1106</v>
      </c>
      <c r="Q18" s="11">
        <v>1061</v>
      </c>
      <c r="R18" s="11">
        <v>788</v>
      </c>
      <c r="S18" s="11">
        <v>582</v>
      </c>
      <c r="T18" s="11">
        <v>737</v>
      </c>
      <c r="U18" s="11">
        <v>1390</v>
      </c>
      <c r="V18" s="11"/>
    </row>
    <row r="19" spans="1:22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</row>
    <row r="20" spans="1:22">
      <c r="A20" s="11" t="s">
        <v>24</v>
      </c>
      <c r="B20" s="11">
        <v>1242</v>
      </c>
      <c r="C20" s="11">
        <v>718.30000000000007</v>
      </c>
      <c r="D20" s="11">
        <v>1074.6399999999999</v>
      </c>
      <c r="E20" s="11">
        <v>462.45</v>
      </c>
      <c r="F20" s="11">
        <v>305.77999999999997</v>
      </c>
      <c r="G20" s="11">
        <v>398.82</v>
      </c>
      <c r="H20" s="11">
        <v>825.22</v>
      </c>
      <c r="I20" s="11">
        <v>957.31</v>
      </c>
      <c r="J20" s="11">
        <v>1285.47</v>
      </c>
      <c r="K20" s="11">
        <v>1829.55</v>
      </c>
      <c r="L20" s="11">
        <v>2143.1</v>
      </c>
      <c r="M20" s="11">
        <v>2473.8000000000002</v>
      </c>
      <c r="N20" s="11">
        <v>2687.4</v>
      </c>
      <c r="O20" s="11">
        <v>1770.4</v>
      </c>
      <c r="P20" s="11">
        <v>2602</v>
      </c>
      <c r="Q20" s="11">
        <v>3204</v>
      </c>
      <c r="R20" s="11">
        <v>3470</v>
      </c>
      <c r="S20" s="11">
        <v>3013</v>
      </c>
      <c r="T20" s="11">
        <v>2786</v>
      </c>
      <c r="U20" s="11">
        <v>3254</v>
      </c>
      <c r="V20" s="11"/>
    </row>
    <row r="21" spans="1:22">
      <c r="A21" s="11" t="s">
        <v>25</v>
      </c>
      <c r="B21" s="11">
        <v>631</v>
      </c>
      <c r="C21" s="11">
        <v>94.4</v>
      </c>
      <c r="D21" s="11">
        <v>124.85</v>
      </c>
      <c r="E21" s="11">
        <v>127.07000000000001</v>
      </c>
      <c r="F21" s="11">
        <v>188.87</v>
      </c>
      <c r="G21" s="11">
        <v>106.88</v>
      </c>
      <c r="H21" s="11">
        <v>88.88</v>
      </c>
      <c r="I21" s="11">
        <v>148.91999999999999</v>
      </c>
      <c r="J21" s="11">
        <v>109.59</v>
      </c>
      <c r="K21" s="11">
        <v>300.72000000000003</v>
      </c>
      <c r="L21" s="11">
        <v>435.7</v>
      </c>
      <c r="M21" s="11">
        <v>1018.5</v>
      </c>
      <c r="N21" s="11">
        <v>1159.6000000000001</v>
      </c>
      <c r="O21" s="11">
        <v>1096.5</v>
      </c>
      <c r="P21" s="11">
        <v>1424</v>
      </c>
      <c r="Q21" s="11">
        <v>1561</v>
      </c>
      <c r="R21" s="11">
        <v>1646</v>
      </c>
      <c r="S21" s="11">
        <v>1701</v>
      </c>
      <c r="T21" s="11">
        <v>2078</v>
      </c>
      <c r="U21" s="11">
        <v>1588</v>
      </c>
      <c r="V21" s="11"/>
    </row>
    <row r="22" spans="1:22">
      <c r="A22" s="11" t="s">
        <v>26</v>
      </c>
      <c r="B22" s="11">
        <v>174</v>
      </c>
      <c r="C22" s="11">
        <v>229</v>
      </c>
      <c r="D22" s="11">
        <v>184.04999999999998</v>
      </c>
      <c r="E22" s="11">
        <v>135.12</v>
      </c>
      <c r="F22" s="11">
        <v>215.48</v>
      </c>
      <c r="G22" s="11">
        <v>233.01</v>
      </c>
      <c r="H22" s="11">
        <v>243.54</v>
      </c>
      <c r="I22" s="11">
        <v>298.82</v>
      </c>
      <c r="J22" s="11">
        <v>404.17</v>
      </c>
      <c r="K22" s="11">
        <v>301.25</v>
      </c>
      <c r="L22" s="11">
        <v>417</v>
      </c>
      <c r="M22" s="11">
        <v>328.3</v>
      </c>
      <c r="N22" s="11">
        <v>374.3</v>
      </c>
      <c r="O22" s="11">
        <v>447.8</v>
      </c>
      <c r="P22" s="11">
        <v>2215</v>
      </c>
      <c r="Q22" s="11">
        <v>2144</v>
      </c>
      <c r="R22" s="11">
        <v>1964</v>
      </c>
      <c r="S22" s="11">
        <v>1876</v>
      </c>
      <c r="T22" s="11">
        <v>2014</v>
      </c>
      <c r="U22" s="11">
        <v>543</v>
      </c>
      <c r="V22" s="11"/>
    </row>
    <row r="23" spans="1:22">
      <c r="A23" s="11" t="s">
        <v>27</v>
      </c>
      <c r="B23" s="11">
        <v>511</v>
      </c>
      <c r="C23" s="11">
        <v>198.10000000000002</v>
      </c>
      <c r="D23" s="11">
        <v>146.26</v>
      </c>
      <c r="E23" s="11">
        <v>819.4899999999999</v>
      </c>
      <c r="F23" s="11">
        <v>40.840000000000003</v>
      </c>
      <c r="G23" s="11">
        <v>360.91</v>
      </c>
      <c r="H23" s="11">
        <v>296.95</v>
      </c>
      <c r="I23" s="11">
        <v>293.09000000000003</v>
      </c>
      <c r="J23" s="11">
        <v>346.46</v>
      </c>
      <c r="K23" s="11">
        <v>315.89</v>
      </c>
      <c r="L23" s="11">
        <v>423.7</v>
      </c>
      <c r="M23" s="11">
        <v>509.6</v>
      </c>
      <c r="N23" s="11">
        <v>274</v>
      </c>
      <c r="O23" s="11">
        <v>350.5</v>
      </c>
      <c r="P23" s="11">
        <v>810</v>
      </c>
      <c r="Q23" s="11">
        <v>814</v>
      </c>
      <c r="R23" s="11">
        <v>732</v>
      </c>
      <c r="S23" s="11">
        <v>631</v>
      </c>
      <c r="T23" s="11">
        <v>439</v>
      </c>
      <c r="U23" s="11">
        <v>550</v>
      </c>
      <c r="V23" s="11"/>
    </row>
    <row r="24" spans="1:22">
      <c r="A24" s="11" t="s">
        <v>28</v>
      </c>
      <c r="B24" s="11">
        <v>165</v>
      </c>
      <c r="C24" s="11">
        <v>198.39999999999998</v>
      </c>
      <c r="D24" s="11">
        <v>285.95999999999998</v>
      </c>
      <c r="E24" s="11">
        <v>208.37</v>
      </c>
      <c r="F24" s="11">
        <v>2099.11</v>
      </c>
      <c r="G24" s="11">
        <v>464.23</v>
      </c>
      <c r="H24" s="11">
        <v>160.41</v>
      </c>
      <c r="I24" s="11">
        <v>92.57</v>
      </c>
      <c r="J24" s="11">
        <v>94.93</v>
      </c>
      <c r="K24" s="11">
        <v>866.13</v>
      </c>
      <c r="L24" s="11">
        <v>1334.9</v>
      </c>
      <c r="M24" s="11">
        <v>1851.4</v>
      </c>
      <c r="N24" s="11">
        <v>1432</v>
      </c>
      <c r="O24" s="11">
        <v>1563.1</v>
      </c>
      <c r="P24" s="11">
        <v>2050</v>
      </c>
      <c r="Q24" s="11">
        <v>2218</v>
      </c>
      <c r="R24" s="11">
        <v>1609</v>
      </c>
      <c r="S24" s="11">
        <v>1454</v>
      </c>
      <c r="T24" s="11">
        <v>546</v>
      </c>
      <c r="U24" s="11">
        <v>281</v>
      </c>
      <c r="V24" s="11"/>
    </row>
    <row r="25" spans="1:22">
      <c r="A25" s="11" t="s">
        <v>29</v>
      </c>
      <c r="B25" s="11">
        <v>0</v>
      </c>
      <c r="C25" s="11">
        <v>0.4</v>
      </c>
      <c r="D25" s="11">
        <v>0.52</v>
      </c>
      <c r="E25" s="11">
        <v>8.94</v>
      </c>
      <c r="F25" s="11">
        <v>20</v>
      </c>
      <c r="G25" s="11">
        <v>6.99</v>
      </c>
      <c r="H25" s="11">
        <v>18.989999999999998</v>
      </c>
      <c r="I25" s="11">
        <v>2</v>
      </c>
      <c r="J25" s="11">
        <v>1</v>
      </c>
      <c r="K25" s="11">
        <v>-0.04</v>
      </c>
      <c r="L25" s="11">
        <v>0.30000000000000004</v>
      </c>
      <c r="M25" s="11">
        <v>5.7</v>
      </c>
      <c r="N25" s="11">
        <v>21</v>
      </c>
      <c r="O25" s="11">
        <v>0.4</v>
      </c>
      <c r="P25" s="11">
        <v>182</v>
      </c>
      <c r="Q25" s="11">
        <v>59</v>
      </c>
      <c r="R25" s="11">
        <v>46</v>
      </c>
      <c r="S25" s="11">
        <v>34</v>
      </c>
      <c r="T25" s="11">
        <v>42</v>
      </c>
      <c r="U25" s="11">
        <v>61</v>
      </c>
      <c r="V25" s="11"/>
    </row>
    <row r="26" spans="1:22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</row>
    <row r="27" spans="1:22">
      <c r="A27" s="11" t="s">
        <v>30</v>
      </c>
      <c r="B27" s="11">
        <v>85</v>
      </c>
      <c r="C27" s="11">
        <v>78.900000000000006</v>
      </c>
      <c r="D27" s="11">
        <v>41.87</v>
      </c>
      <c r="E27" s="11">
        <v>30.490000000000002</v>
      </c>
      <c r="F27" s="11">
        <v>74.59</v>
      </c>
      <c r="G27" s="11">
        <v>60.51</v>
      </c>
      <c r="H27" s="11">
        <v>65.52</v>
      </c>
      <c r="I27" s="11">
        <v>53.24</v>
      </c>
      <c r="J27" s="11">
        <v>119.69</v>
      </c>
      <c r="K27" s="11">
        <v>121.94</v>
      </c>
      <c r="L27" s="11">
        <v>158.89999999999998</v>
      </c>
      <c r="M27" s="11">
        <v>70.900000000000006</v>
      </c>
      <c r="N27" s="11">
        <v>121.3</v>
      </c>
      <c r="O27" s="11">
        <v>155.19999999999999</v>
      </c>
      <c r="P27" s="11">
        <v>518</v>
      </c>
      <c r="Q27" s="11">
        <v>475</v>
      </c>
      <c r="R27" s="11">
        <v>415</v>
      </c>
      <c r="S27" s="11">
        <v>407</v>
      </c>
      <c r="T27" s="11">
        <v>383</v>
      </c>
      <c r="U27" s="11">
        <v>395</v>
      </c>
      <c r="V27" s="11"/>
    </row>
    <row r="28" spans="1:22">
      <c r="A28" s="11" t="s">
        <v>31</v>
      </c>
      <c r="B28" s="11">
        <v>171</v>
      </c>
      <c r="C28" s="11">
        <v>155.1</v>
      </c>
      <c r="D28" s="11">
        <v>119.39999999999999</v>
      </c>
      <c r="E28" s="11">
        <v>120.39999999999999</v>
      </c>
      <c r="F28" s="11">
        <v>551.07000000000005</v>
      </c>
      <c r="G28" s="11">
        <v>200.34</v>
      </c>
      <c r="H28" s="11">
        <v>243.89</v>
      </c>
      <c r="I28" s="11">
        <v>393.25</v>
      </c>
      <c r="J28" s="11">
        <v>1157.23</v>
      </c>
      <c r="K28" s="11">
        <v>2224.81</v>
      </c>
      <c r="L28" s="11">
        <v>2227.5</v>
      </c>
      <c r="M28" s="11">
        <v>2210.1999999999998</v>
      </c>
      <c r="N28" s="11">
        <v>2801.2</v>
      </c>
      <c r="O28" s="11">
        <v>3758.5</v>
      </c>
      <c r="P28" s="11">
        <v>3988</v>
      </c>
      <c r="Q28" s="11">
        <v>5099</v>
      </c>
      <c r="R28" s="11">
        <v>5301</v>
      </c>
      <c r="S28" s="11">
        <v>5512</v>
      </c>
      <c r="T28" s="11">
        <v>4177</v>
      </c>
      <c r="U28" s="11">
        <v>3838</v>
      </c>
      <c r="V28" s="11"/>
    </row>
    <row r="29" spans="1:22">
      <c r="A29" s="11" t="s">
        <v>32</v>
      </c>
      <c r="B29" s="11">
        <v>151</v>
      </c>
      <c r="C29" s="11">
        <v>1028.8999999999999</v>
      </c>
      <c r="D29" s="11">
        <v>896.93999999999994</v>
      </c>
      <c r="E29" s="11">
        <v>347.33000000000004</v>
      </c>
      <c r="F29" s="11">
        <v>435.58</v>
      </c>
      <c r="G29" s="11">
        <v>801.84</v>
      </c>
      <c r="H29" s="11">
        <v>1211.23</v>
      </c>
      <c r="I29" s="11">
        <v>1158</v>
      </c>
      <c r="J29" s="11">
        <v>1785.68</v>
      </c>
      <c r="K29" s="11">
        <v>2483.21</v>
      </c>
      <c r="L29" s="11">
        <v>2534.1000000000004</v>
      </c>
      <c r="M29" s="11">
        <v>2077.5</v>
      </c>
      <c r="N29" s="11">
        <v>2090.6</v>
      </c>
      <c r="O29" s="11">
        <v>2497.6</v>
      </c>
      <c r="P29" s="11">
        <v>2033</v>
      </c>
      <c r="Q29" s="11">
        <v>2067</v>
      </c>
      <c r="R29" s="11">
        <v>1607</v>
      </c>
      <c r="S29" s="11">
        <v>1382</v>
      </c>
      <c r="T29" s="11">
        <v>1902</v>
      </c>
      <c r="U29" s="11">
        <v>2044</v>
      </c>
      <c r="V29" s="11"/>
    </row>
    <row r="30" spans="1:22">
      <c r="A30" s="11" t="s">
        <v>33</v>
      </c>
      <c r="B30" s="11">
        <v>217</v>
      </c>
      <c r="C30" s="11">
        <v>244.9</v>
      </c>
      <c r="D30" s="11">
        <v>238.49</v>
      </c>
      <c r="E30" s="11">
        <v>156.07</v>
      </c>
      <c r="F30" s="11">
        <v>494.76</v>
      </c>
      <c r="G30" s="11">
        <v>359.71</v>
      </c>
      <c r="H30" s="11">
        <v>731.85</v>
      </c>
      <c r="I30" s="11">
        <v>901.79</v>
      </c>
      <c r="J30" s="11">
        <v>1635.28</v>
      </c>
      <c r="K30" s="11">
        <v>2005.89</v>
      </c>
      <c r="L30" s="11">
        <v>2337</v>
      </c>
      <c r="M30" s="11">
        <v>2461.5</v>
      </c>
      <c r="N30" s="11">
        <v>2614.9</v>
      </c>
      <c r="O30" s="11">
        <v>2911.4</v>
      </c>
      <c r="P30" s="11">
        <v>4969</v>
      </c>
      <c r="Q30" s="11">
        <v>4767</v>
      </c>
      <c r="R30" s="11">
        <v>4834</v>
      </c>
      <c r="S30" s="11">
        <v>4633</v>
      </c>
      <c r="T30" s="11">
        <v>4163</v>
      </c>
      <c r="U30" s="11">
        <v>4083</v>
      </c>
      <c r="V30" s="11"/>
    </row>
    <row r="31" spans="1:22">
      <c r="A31" s="11" t="s">
        <v>34</v>
      </c>
      <c r="B31" s="11">
        <v>0</v>
      </c>
      <c r="C31" s="11">
        <v>0</v>
      </c>
      <c r="D31" s="11">
        <v>0</v>
      </c>
      <c r="E31" s="11">
        <v>0</v>
      </c>
      <c r="F31" s="11">
        <v>0</v>
      </c>
      <c r="G31" s="11">
        <v>2</v>
      </c>
      <c r="H31" s="11">
        <v>2</v>
      </c>
      <c r="I31" s="11">
        <v>2</v>
      </c>
      <c r="J31" s="11">
        <v>0</v>
      </c>
      <c r="K31" s="11">
        <v>0</v>
      </c>
      <c r="L31" s="11"/>
      <c r="M31" s="11"/>
      <c r="N31" s="11"/>
      <c r="O31" s="11"/>
      <c r="P31" s="11">
        <v>16</v>
      </c>
      <c r="Q31" s="11">
        <v>27</v>
      </c>
      <c r="R31" s="11">
        <v>26</v>
      </c>
      <c r="S31" s="11">
        <v>34</v>
      </c>
      <c r="T31" s="11">
        <v>41</v>
      </c>
      <c r="U31" s="11">
        <v>42</v>
      </c>
      <c r="V31" s="11"/>
    </row>
    <row r="32" spans="1:2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</row>
    <row r="33" spans="1:22">
      <c r="A33" s="11" t="s">
        <v>35</v>
      </c>
      <c r="B33" s="11">
        <v>250</v>
      </c>
      <c r="C33" s="11">
        <v>387.6</v>
      </c>
      <c r="D33" s="11">
        <v>341.59999999999997</v>
      </c>
      <c r="E33" s="11">
        <v>226.89999999999998</v>
      </c>
      <c r="F33" s="11">
        <v>215.27</v>
      </c>
      <c r="G33" s="11">
        <v>505.74</v>
      </c>
      <c r="H33" s="11">
        <v>557.36</v>
      </c>
      <c r="I33" s="11">
        <v>1082.6600000000001</v>
      </c>
      <c r="J33" s="11">
        <v>1285.71</v>
      </c>
      <c r="K33" s="11">
        <v>2257.04</v>
      </c>
      <c r="L33" s="11">
        <v>1471</v>
      </c>
      <c r="M33" s="11">
        <v>2623.2</v>
      </c>
      <c r="N33" s="11">
        <v>1440.1999999999998</v>
      </c>
      <c r="O33" s="11">
        <v>2176.8000000000002</v>
      </c>
      <c r="P33" s="11">
        <v>1836</v>
      </c>
      <c r="Q33" s="11">
        <v>1457</v>
      </c>
      <c r="R33" s="11">
        <v>1622</v>
      </c>
      <c r="S33" s="11">
        <v>2136</v>
      </c>
      <c r="T33" s="11">
        <v>1977</v>
      </c>
      <c r="U33" s="11">
        <v>1441</v>
      </c>
      <c r="V33" s="11"/>
    </row>
    <row r="34" spans="1:22">
      <c r="A34" s="11" t="s">
        <v>36</v>
      </c>
      <c r="B34" s="11">
        <v>58</v>
      </c>
      <c r="C34" s="11">
        <v>41.5</v>
      </c>
      <c r="D34" s="11">
        <v>48.22</v>
      </c>
      <c r="E34" s="11">
        <v>41.2</v>
      </c>
      <c r="F34" s="11">
        <v>92.99</v>
      </c>
      <c r="G34" s="11">
        <v>242.88</v>
      </c>
      <c r="H34" s="11">
        <v>65.5</v>
      </c>
      <c r="I34" s="11">
        <v>286.05</v>
      </c>
      <c r="J34" s="11">
        <v>479.79</v>
      </c>
      <c r="K34" s="11">
        <v>5460.01</v>
      </c>
      <c r="L34" s="11">
        <v>1453.6000000000001</v>
      </c>
      <c r="M34" s="11">
        <v>1206.9000000000001</v>
      </c>
      <c r="N34" s="11">
        <v>1200.3999999999999</v>
      </c>
      <c r="O34" s="11">
        <v>1150.2</v>
      </c>
      <c r="P34" s="11">
        <v>2041</v>
      </c>
      <c r="Q34" s="11">
        <v>2110</v>
      </c>
      <c r="R34" s="11">
        <v>1859</v>
      </c>
      <c r="S34" s="11">
        <v>2044</v>
      </c>
      <c r="T34" s="11">
        <v>2260</v>
      </c>
      <c r="U34" s="11">
        <v>1554</v>
      </c>
      <c r="V34" s="11"/>
    </row>
    <row r="35" spans="1:22">
      <c r="A35" s="11" t="s">
        <v>37</v>
      </c>
      <c r="B35" s="11">
        <v>3</v>
      </c>
      <c r="C35" s="11">
        <v>1.7</v>
      </c>
      <c r="D35" s="11">
        <v>4.6900000000000004</v>
      </c>
      <c r="E35" s="11">
        <v>1.35</v>
      </c>
      <c r="F35" s="11">
        <v>8.5299999999999994</v>
      </c>
      <c r="G35" s="11">
        <v>5.67</v>
      </c>
      <c r="H35" s="11">
        <v>14.86</v>
      </c>
      <c r="I35" s="11">
        <v>4</v>
      </c>
      <c r="J35" s="11">
        <v>4</v>
      </c>
      <c r="K35" s="11">
        <v>4</v>
      </c>
      <c r="L35" s="11">
        <v>4</v>
      </c>
      <c r="M35" s="11">
        <v>4</v>
      </c>
      <c r="N35" s="11">
        <v>1.5</v>
      </c>
      <c r="O35" s="11">
        <v>1.3</v>
      </c>
      <c r="P35" s="11">
        <v>14</v>
      </c>
      <c r="Q35" s="11">
        <v>6</v>
      </c>
      <c r="R35" s="11">
        <v>7</v>
      </c>
      <c r="S35" s="11">
        <v>3</v>
      </c>
      <c r="T35" s="11">
        <v>4</v>
      </c>
      <c r="U35" s="11">
        <v>3</v>
      </c>
      <c r="V35" s="11"/>
    </row>
    <row r="36" spans="1:22">
      <c r="A36" s="11" t="s">
        <v>38</v>
      </c>
      <c r="B36" s="11">
        <v>32</v>
      </c>
      <c r="C36" s="11">
        <v>94.7</v>
      </c>
      <c r="D36" s="11">
        <v>24.380000000000003</v>
      </c>
      <c r="E36" s="11">
        <v>296.44</v>
      </c>
      <c r="F36" s="11">
        <v>39.97</v>
      </c>
      <c r="G36" s="11">
        <v>77</v>
      </c>
      <c r="H36" s="11">
        <v>98</v>
      </c>
      <c r="I36" s="11">
        <v>236</v>
      </c>
      <c r="J36" s="11">
        <v>236.75</v>
      </c>
      <c r="K36" s="11">
        <v>225.96</v>
      </c>
      <c r="L36" s="11">
        <v>273.7</v>
      </c>
      <c r="M36" s="11">
        <v>266.89999999999998</v>
      </c>
      <c r="N36" s="11">
        <v>250.9</v>
      </c>
      <c r="O36" s="11">
        <v>489.5</v>
      </c>
      <c r="P36" s="11">
        <v>865</v>
      </c>
      <c r="Q36" s="11">
        <v>540</v>
      </c>
      <c r="R36" s="11">
        <v>613</v>
      </c>
      <c r="S36" s="11">
        <v>563</v>
      </c>
      <c r="T36" s="11">
        <v>929</v>
      </c>
      <c r="U36" s="11">
        <v>1135</v>
      </c>
      <c r="V36" s="11"/>
    </row>
    <row r="37" spans="1:22">
      <c r="A37" s="11" t="s">
        <v>39</v>
      </c>
      <c r="B37" s="11">
        <v>72</v>
      </c>
      <c r="C37" s="11">
        <v>54.699999999999996</v>
      </c>
      <c r="D37" s="11">
        <v>81.100000000000009</v>
      </c>
      <c r="E37" s="11">
        <v>88.4</v>
      </c>
      <c r="F37" s="11">
        <v>176.41</v>
      </c>
      <c r="G37" s="11">
        <v>142.03</v>
      </c>
      <c r="H37" s="11">
        <v>75.61</v>
      </c>
      <c r="I37" s="11">
        <v>91.47</v>
      </c>
      <c r="J37" s="11">
        <v>69.25</v>
      </c>
      <c r="K37" s="11">
        <v>87.02</v>
      </c>
      <c r="L37" s="11">
        <v>250.2</v>
      </c>
      <c r="M37" s="11">
        <v>203</v>
      </c>
      <c r="N37" s="11">
        <v>168</v>
      </c>
      <c r="O37" s="11">
        <v>255.9</v>
      </c>
      <c r="P37" s="11">
        <v>621</v>
      </c>
      <c r="Q37" s="11">
        <v>533</v>
      </c>
      <c r="R37" s="11">
        <v>886</v>
      </c>
      <c r="S37" s="11">
        <v>807</v>
      </c>
      <c r="T37" s="11">
        <v>755</v>
      </c>
      <c r="U37" s="11">
        <v>983</v>
      </c>
      <c r="V37" s="11"/>
    </row>
    <row r="38" spans="1:22"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</row>
    <row r="39" spans="1:22"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</row>
  </sheetData>
  <phoneticPr fontId="6" type="noConversion"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83546-E329-F64F-8073-B45AC4B23B0C}">
  <dimension ref="A1:V43"/>
  <sheetViews>
    <sheetView workbookViewId="0">
      <selection activeCell="A2" sqref="A1:A1048576"/>
    </sheetView>
  </sheetViews>
  <sheetFormatPr baseColWidth="10" defaultRowHeight="16"/>
  <cols>
    <col min="1" max="1" width="16.5" style="10" customWidth="1"/>
  </cols>
  <sheetData>
    <row r="1" spans="1:22" ht="17">
      <c r="A1" s="23" t="s">
        <v>40</v>
      </c>
      <c r="B1" s="8">
        <v>1997</v>
      </c>
      <c r="C1" s="8">
        <v>1998</v>
      </c>
      <c r="D1" s="8">
        <v>1999</v>
      </c>
      <c r="E1" s="8">
        <v>2000</v>
      </c>
      <c r="F1" s="8">
        <v>2001</v>
      </c>
      <c r="G1" s="8">
        <v>2002</v>
      </c>
      <c r="H1" s="8">
        <v>2003</v>
      </c>
      <c r="I1" s="8">
        <v>2004</v>
      </c>
      <c r="J1" s="8">
        <v>2005</v>
      </c>
      <c r="K1" s="8">
        <v>2006</v>
      </c>
      <c r="L1" s="8">
        <v>2007</v>
      </c>
      <c r="M1" s="8">
        <v>2008</v>
      </c>
      <c r="N1" s="8">
        <v>2009</v>
      </c>
      <c r="O1" s="8">
        <v>2010</v>
      </c>
      <c r="P1" s="8">
        <v>2011</v>
      </c>
      <c r="Q1" s="8">
        <v>2012</v>
      </c>
      <c r="R1" s="8">
        <v>2013</v>
      </c>
      <c r="S1" s="8">
        <v>2014</v>
      </c>
      <c r="T1" s="8">
        <v>2015</v>
      </c>
      <c r="U1" s="8">
        <v>2016</v>
      </c>
    </row>
    <row r="2" spans="1:22">
      <c r="A2" s="16" t="s">
        <v>9</v>
      </c>
      <c r="B2" s="16">
        <v>302</v>
      </c>
      <c r="C2" s="16">
        <v>265.10000000000002</v>
      </c>
      <c r="D2" s="16">
        <v>308.49</v>
      </c>
      <c r="E2" s="16">
        <v>223.1</v>
      </c>
      <c r="F2" s="16">
        <v>266.81</v>
      </c>
      <c r="G2" s="16">
        <v>239</v>
      </c>
      <c r="H2" s="16">
        <v>99</v>
      </c>
      <c r="I2" s="16">
        <v>101</v>
      </c>
      <c r="J2" s="16">
        <v>169.99</v>
      </c>
      <c r="K2" s="16">
        <v>62.58</v>
      </c>
      <c r="L2" s="16">
        <v>62.66</v>
      </c>
      <c r="M2" s="16">
        <v>38.58</v>
      </c>
      <c r="N2" s="16">
        <v>43.99</v>
      </c>
      <c r="O2" s="16">
        <v>40</v>
      </c>
      <c r="P2" s="16">
        <v>28</v>
      </c>
      <c r="Q2" s="16">
        <v>13</v>
      </c>
      <c r="R2" s="16">
        <v>0</v>
      </c>
      <c r="S2" s="16">
        <v>0</v>
      </c>
      <c r="T2" s="16"/>
      <c r="U2" s="16">
        <v>0</v>
      </c>
      <c r="V2" s="16"/>
    </row>
    <row r="3" spans="1:22">
      <c r="A3" s="11" t="s">
        <v>10</v>
      </c>
      <c r="B3" s="16">
        <v>29</v>
      </c>
      <c r="C3" s="16">
        <v>5</v>
      </c>
      <c r="D3" s="16">
        <v>9.379999999999999</v>
      </c>
      <c r="E3" s="16">
        <v>13.53</v>
      </c>
      <c r="F3" s="16">
        <v>10.42</v>
      </c>
      <c r="G3" s="16">
        <v>0.99</v>
      </c>
      <c r="H3" s="16">
        <v>0</v>
      </c>
      <c r="I3" s="16">
        <v>0</v>
      </c>
      <c r="J3" s="16">
        <v>0</v>
      </c>
      <c r="K3" s="16">
        <v>0</v>
      </c>
      <c r="L3" s="16">
        <v>0</v>
      </c>
      <c r="M3" s="16">
        <v>0</v>
      </c>
      <c r="N3" s="16">
        <v>0</v>
      </c>
      <c r="O3" s="16">
        <v>0</v>
      </c>
      <c r="P3" s="16"/>
      <c r="Q3" s="16">
        <v>0</v>
      </c>
      <c r="R3" s="16">
        <v>0</v>
      </c>
      <c r="S3" s="16">
        <v>0</v>
      </c>
      <c r="T3" s="16"/>
      <c r="U3" s="16">
        <v>0</v>
      </c>
      <c r="V3" s="16"/>
    </row>
    <row r="4" spans="1:22">
      <c r="A4" s="11" t="s">
        <v>11</v>
      </c>
      <c r="B4" s="16">
        <v>2654</v>
      </c>
      <c r="C4" s="16">
        <v>1942.3</v>
      </c>
      <c r="D4" s="16">
        <v>1654.5600000000002</v>
      </c>
      <c r="E4" s="16">
        <v>3036.6</v>
      </c>
      <c r="F4" s="16">
        <v>4376</v>
      </c>
      <c r="G4" s="16">
        <v>3951</v>
      </c>
      <c r="H4" s="16">
        <v>2649.69</v>
      </c>
      <c r="I4" s="16">
        <v>4215.7</v>
      </c>
      <c r="J4" s="16">
        <v>3071.98</v>
      </c>
      <c r="K4" s="16">
        <v>2721.99</v>
      </c>
      <c r="L4" s="16">
        <v>2457.9899999999998</v>
      </c>
      <c r="M4" s="16">
        <v>1536.9</v>
      </c>
      <c r="N4" s="16">
        <v>1167.99</v>
      </c>
      <c r="O4" s="16">
        <v>1831</v>
      </c>
      <c r="P4" s="16">
        <v>20184</v>
      </c>
      <c r="Q4" s="16">
        <v>21210</v>
      </c>
      <c r="R4" s="16">
        <v>1847</v>
      </c>
      <c r="S4" s="16">
        <v>1512</v>
      </c>
      <c r="T4" s="16">
        <v>884</v>
      </c>
      <c r="U4" s="16">
        <v>1287</v>
      </c>
      <c r="V4" s="16"/>
    </row>
    <row r="5" spans="1:22">
      <c r="A5" s="11" t="s">
        <v>12</v>
      </c>
      <c r="B5" s="16">
        <v>1368</v>
      </c>
      <c r="C5" s="16">
        <v>1107.1000000000001</v>
      </c>
      <c r="D5" s="16">
        <v>1083.1600000000001</v>
      </c>
      <c r="E5" s="16">
        <v>814.72</v>
      </c>
      <c r="F5" s="16">
        <v>942.79</v>
      </c>
      <c r="G5" s="16">
        <v>912.03</v>
      </c>
      <c r="H5" s="16">
        <v>1170.8800000000001</v>
      </c>
      <c r="I5" s="16">
        <v>803.22</v>
      </c>
      <c r="J5" s="16">
        <v>783.8</v>
      </c>
      <c r="K5" s="16">
        <v>983</v>
      </c>
      <c r="L5" s="16">
        <v>983</v>
      </c>
      <c r="M5" s="16">
        <v>983</v>
      </c>
      <c r="N5" s="16">
        <v>719</v>
      </c>
      <c r="O5" s="16">
        <v>996.93</v>
      </c>
      <c r="P5" s="16">
        <v>2578</v>
      </c>
      <c r="Q5" s="16">
        <v>1759</v>
      </c>
      <c r="R5" s="16">
        <v>2749</v>
      </c>
      <c r="S5" s="16">
        <v>2867</v>
      </c>
      <c r="T5" s="16">
        <v>2956</v>
      </c>
      <c r="U5" s="16">
        <v>3104</v>
      </c>
      <c r="V5" s="16"/>
    </row>
    <row r="6" spans="1:22">
      <c r="A6" s="11" t="s">
        <v>13</v>
      </c>
      <c r="B6" s="16">
        <v>1913</v>
      </c>
      <c r="C6" s="16">
        <v>2378.7000000000003</v>
      </c>
      <c r="D6" s="16">
        <v>1623.3</v>
      </c>
      <c r="E6" s="16">
        <v>1512.5</v>
      </c>
      <c r="F6" s="16">
        <v>1517.29</v>
      </c>
      <c r="G6" s="16">
        <v>1731.13</v>
      </c>
      <c r="H6" s="16">
        <v>2065.0300000000002</v>
      </c>
      <c r="I6" s="16">
        <v>2551.46</v>
      </c>
      <c r="J6" s="16">
        <v>3672.65</v>
      </c>
      <c r="K6" s="16">
        <v>2001</v>
      </c>
      <c r="L6" s="16">
        <v>2001</v>
      </c>
      <c r="M6" s="16">
        <v>2001</v>
      </c>
      <c r="N6" s="16">
        <v>1235.68</v>
      </c>
      <c r="O6" s="16">
        <v>2150.06</v>
      </c>
      <c r="P6" s="16">
        <v>2647</v>
      </c>
      <c r="Q6" s="16">
        <v>2426</v>
      </c>
      <c r="R6" s="16">
        <v>2233</v>
      </c>
      <c r="S6" s="16">
        <v>2256</v>
      </c>
      <c r="T6" s="16">
        <v>6921</v>
      </c>
      <c r="U6" s="16">
        <v>7329</v>
      </c>
      <c r="V6" s="16"/>
    </row>
    <row r="7" spans="1:22">
      <c r="A7" s="11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</row>
    <row r="8" spans="1:22">
      <c r="A8" s="11" t="s">
        <v>14</v>
      </c>
      <c r="B8" s="16">
        <v>3458</v>
      </c>
      <c r="C8" s="16">
        <v>3370.7</v>
      </c>
      <c r="D8" s="16">
        <v>3451.73</v>
      </c>
      <c r="E8" s="16">
        <v>4020.75</v>
      </c>
      <c r="F8" s="16">
        <v>4633.99</v>
      </c>
      <c r="G8" s="16">
        <v>3691.66</v>
      </c>
      <c r="H8" s="16">
        <v>2217.94</v>
      </c>
      <c r="I8" s="16">
        <v>2315.0100000000002</v>
      </c>
      <c r="J8" s="16">
        <v>2418.56</v>
      </c>
      <c r="K8" s="16">
        <v>2272.91</v>
      </c>
      <c r="L8" s="16">
        <v>2672.96</v>
      </c>
      <c r="M8" s="16">
        <v>2300.1999999999998</v>
      </c>
      <c r="N8" s="16">
        <v>1980.76</v>
      </c>
      <c r="O8" s="16">
        <v>2531.52</v>
      </c>
      <c r="P8" s="16">
        <v>4335</v>
      </c>
      <c r="Q8" s="16">
        <v>3948</v>
      </c>
      <c r="R8" s="16">
        <v>3883</v>
      </c>
      <c r="S8" s="16">
        <v>8725</v>
      </c>
      <c r="T8" s="16">
        <v>14630</v>
      </c>
      <c r="U8" s="16">
        <v>10286</v>
      </c>
      <c r="V8" s="16"/>
    </row>
    <row r="9" spans="1:22">
      <c r="A9" s="11" t="s">
        <v>15</v>
      </c>
      <c r="B9" s="16">
        <v>890</v>
      </c>
      <c r="C9" s="16">
        <v>852.5</v>
      </c>
      <c r="D9" s="16">
        <v>816.31000000000006</v>
      </c>
      <c r="E9" s="16">
        <v>688.44</v>
      </c>
      <c r="F9" s="16">
        <v>793.99</v>
      </c>
      <c r="G9" s="16">
        <v>792.93</v>
      </c>
      <c r="H9" s="16">
        <v>764</v>
      </c>
      <c r="I9" s="16">
        <v>924</v>
      </c>
      <c r="J9" s="16">
        <v>1132</v>
      </c>
      <c r="K9" s="16">
        <v>973.92</v>
      </c>
      <c r="L9" s="16">
        <v>1014.94</v>
      </c>
      <c r="M9" s="16">
        <v>1355.93</v>
      </c>
      <c r="N9" s="16">
        <v>1324.99</v>
      </c>
      <c r="O9" s="16">
        <v>952</v>
      </c>
      <c r="P9" s="16">
        <v>1290</v>
      </c>
      <c r="Q9" s="16">
        <v>993</v>
      </c>
      <c r="R9" s="16">
        <v>522</v>
      </c>
      <c r="S9" s="16">
        <v>593</v>
      </c>
      <c r="T9" s="16">
        <v>843</v>
      </c>
      <c r="U9" s="16">
        <v>734</v>
      </c>
      <c r="V9" s="16"/>
    </row>
    <row r="10" spans="1:22">
      <c r="A10" s="11" t="s">
        <v>16</v>
      </c>
      <c r="B10" s="16">
        <v>350</v>
      </c>
      <c r="C10" s="16">
        <v>447.5</v>
      </c>
      <c r="D10" s="16">
        <v>433.62</v>
      </c>
      <c r="E10" s="16">
        <v>430.23</v>
      </c>
      <c r="F10" s="16">
        <v>472.37</v>
      </c>
      <c r="G10" s="16">
        <v>448.07</v>
      </c>
      <c r="H10" s="16">
        <v>452.9</v>
      </c>
      <c r="I10" s="16">
        <v>261.99</v>
      </c>
      <c r="J10" s="16">
        <v>312.89</v>
      </c>
      <c r="K10" s="16">
        <v>858.55</v>
      </c>
      <c r="L10" s="16">
        <v>611.87</v>
      </c>
      <c r="M10" s="16">
        <v>824.94</v>
      </c>
      <c r="N10" s="16">
        <v>994</v>
      </c>
      <c r="O10" s="16">
        <v>834.99</v>
      </c>
      <c r="P10" s="16">
        <v>1308</v>
      </c>
      <c r="Q10" s="16">
        <v>918</v>
      </c>
      <c r="R10" s="16">
        <v>1557</v>
      </c>
      <c r="S10" s="16">
        <v>776</v>
      </c>
      <c r="T10" s="16">
        <v>1979</v>
      </c>
      <c r="U10" s="16">
        <v>1685</v>
      </c>
      <c r="V10" s="16"/>
    </row>
    <row r="11" spans="1:22">
      <c r="A11" s="11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</row>
    <row r="12" spans="1:22">
      <c r="A12" s="11" t="s">
        <v>17</v>
      </c>
      <c r="B12" s="16">
        <v>55</v>
      </c>
      <c r="C12" s="16">
        <v>168</v>
      </c>
      <c r="D12" s="16">
        <v>3.6100000000000003</v>
      </c>
      <c r="E12" s="16">
        <v>2.2000000000000002</v>
      </c>
      <c r="F12" s="16">
        <v>1.98</v>
      </c>
      <c r="G12" s="16">
        <v>8.9700000000000006</v>
      </c>
      <c r="H12" s="16">
        <v>0.99</v>
      </c>
      <c r="I12" s="16">
        <v>6.97</v>
      </c>
      <c r="J12" s="16">
        <v>7.99</v>
      </c>
      <c r="K12" s="16">
        <v>6.97</v>
      </c>
      <c r="L12" s="16">
        <v>19.95</v>
      </c>
      <c r="M12" s="16">
        <v>14.95</v>
      </c>
      <c r="N12" s="16">
        <v>12.96</v>
      </c>
      <c r="O12" s="16">
        <v>0.96</v>
      </c>
      <c r="P12" s="16">
        <v>11</v>
      </c>
      <c r="Q12" s="16">
        <v>10</v>
      </c>
      <c r="R12" s="16">
        <v>5</v>
      </c>
      <c r="S12" s="16">
        <v>2</v>
      </c>
      <c r="T12" s="16">
        <v>1</v>
      </c>
      <c r="U12" s="16">
        <v>1</v>
      </c>
      <c r="V12" s="16"/>
    </row>
    <row r="13" spans="1:22">
      <c r="A13" s="11" t="s">
        <v>18</v>
      </c>
      <c r="B13" s="16">
        <v>418</v>
      </c>
      <c r="C13" s="16">
        <v>435.5</v>
      </c>
      <c r="D13" s="16">
        <v>325.7</v>
      </c>
      <c r="E13" s="16">
        <v>355.18</v>
      </c>
      <c r="F13" s="16">
        <v>281.76</v>
      </c>
      <c r="G13" s="16">
        <v>286.91000000000003</v>
      </c>
      <c r="H13" s="16">
        <v>213.95</v>
      </c>
      <c r="I13" s="16">
        <v>225.36</v>
      </c>
      <c r="J13" s="16">
        <v>194.46</v>
      </c>
      <c r="K13" s="16">
        <v>196.85</v>
      </c>
      <c r="L13" s="16">
        <v>166.92</v>
      </c>
      <c r="M13" s="16">
        <v>139.91</v>
      </c>
      <c r="N13" s="16">
        <v>167.8</v>
      </c>
      <c r="O13" s="16">
        <v>214.46</v>
      </c>
      <c r="P13" s="16">
        <v>220</v>
      </c>
      <c r="Q13" s="16">
        <v>303</v>
      </c>
      <c r="R13" s="16">
        <v>197</v>
      </c>
      <c r="S13" s="16">
        <v>183</v>
      </c>
      <c r="T13" s="16">
        <v>98</v>
      </c>
      <c r="U13" s="16">
        <v>283</v>
      </c>
      <c r="V13" s="16"/>
    </row>
    <row r="14" spans="1:22">
      <c r="A14" s="11" t="s">
        <v>19</v>
      </c>
      <c r="B14" s="16">
        <v>245</v>
      </c>
      <c r="C14" s="16">
        <v>233</v>
      </c>
      <c r="D14" s="16">
        <v>175.86</v>
      </c>
      <c r="E14" s="16">
        <v>142.19999999999999</v>
      </c>
      <c r="F14" s="16">
        <v>129.82</v>
      </c>
      <c r="G14" s="16">
        <v>131.12</v>
      </c>
      <c r="H14" s="16">
        <v>33.340000000000003</v>
      </c>
      <c r="I14" s="16">
        <v>14.93</v>
      </c>
      <c r="J14" s="16">
        <v>22.66</v>
      </c>
      <c r="K14" s="16">
        <v>87.71</v>
      </c>
      <c r="L14" s="16">
        <v>99.38</v>
      </c>
      <c r="M14" s="16">
        <v>222.06</v>
      </c>
      <c r="N14" s="16">
        <v>73.790000000000006</v>
      </c>
      <c r="O14" s="16">
        <v>68.12</v>
      </c>
      <c r="P14" s="16">
        <v>51</v>
      </c>
      <c r="Q14" s="16">
        <v>67</v>
      </c>
      <c r="R14" s="16">
        <v>49</v>
      </c>
      <c r="S14" s="16">
        <v>41</v>
      </c>
      <c r="T14" s="16">
        <v>25</v>
      </c>
      <c r="U14" s="16">
        <v>27</v>
      </c>
      <c r="V14" s="16"/>
    </row>
    <row r="15" spans="1:22">
      <c r="A15" s="11" t="s">
        <v>20</v>
      </c>
      <c r="B15" s="16">
        <v>582</v>
      </c>
      <c r="C15" s="16">
        <v>633.6</v>
      </c>
      <c r="D15" s="16">
        <v>482.67</v>
      </c>
      <c r="E15" s="16">
        <v>488.87</v>
      </c>
      <c r="F15" s="16">
        <v>517.37</v>
      </c>
      <c r="G15" s="16">
        <v>404.08</v>
      </c>
      <c r="H15" s="16">
        <v>403.4</v>
      </c>
      <c r="I15" s="16">
        <v>327.39999999999998</v>
      </c>
      <c r="J15" s="16">
        <v>359.97</v>
      </c>
      <c r="K15" s="16">
        <v>418.86</v>
      </c>
      <c r="L15" s="16">
        <v>417.82</v>
      </c>
      <c r="M15" s="16">
        <v>450.98</v>
      </c>
      <c r="N15" s="16">
        <v>543.99</v>
      </c>
      <c r="O15" s="16">
        <v>517.88</v>
      </c>
      <c r="P15" s="16">
        <v>1096</v>
      </c>
      <c r="Q15" s="16">
        <v>895</v>
      </c>
      <c r="R15" s="16">
        <v>933</v>
      </c>
      <c r="S15" s="16">
        <v>893</v>
      </c>
      <c r="T15" s="16">
        <v>518</v>
      </c>
      <c r="U15" s="16">
        <v>1113</v>
      </c>
      <c r="V15" s="16"/>
    </row>
    <row r="16" spans="1:22">
      <c r="A16" s="11" t="s">
        <v>21</v>
      </c>
      <c r="B16" s="16">
        <v>206</v>
      </c>
      <c r="C16" s="16">
        <v>367.6</v>
      </c>
      <c r="D16" s="16">
        <v>439.49</v>
      </c>
      <c r="E16" s="16">
        <v>1036.72</v>
      </c>
      <c r="F16" s="16">
        <v>333.99</v>
      </c>
      <c r="G16" s="16">
        <v>90.97</v>
      </c>
      <c r="H16" s="16">
        <v>81</v>
      </c>
      <c r="I16" s="16">
        <v>76.959999999999994</v>
      </c>
      <c r="J16" s="16">
        <v>97.95</v>
      </c>
      <c r="K16" s="16">
        <v>72.94</v>
      </c>
      <c r="L16" s="16">
        <v>90.51</v>
      </c>
      <c r="M16" s="16">
        <v>88.99</v>
      </c>
      <c r="N16" s="16">
        <v>55.97</v>
      </c>
      <c r="O16" s="16">
        <v>107.96</v>
      </c>
      <c r="P16" s="16">
        <v>98</v>
      </c>
      <c r="Q16" s="16">
        <v>84</v>
      </c>
      <c r="R16" s="16">
        <v>51</v>
      </c>
      <c r="S16" s="16">
        <v>51</v>
      </c>
      <c r="T16" s="16">
        <v>87</v>
      </c>
      <c r="U16" s="16">
        <v>247</v>
      </c>
      <c r="V16" s="16"/>
    </row>
    <row r="17" spans="1:22">
      <c r="A17" s="11" t="s">
        <v>22</v>
      </c>
      <c r="B17" s="16">
        <v>3200</v>
      </c>
      <c r="C17" s="16">
        <v>3710.6</v>
      </c>
      <c r="D17" s="16">
        <v>3153.87</v>
      </c>
      <c r="E17" s="16">
        <v>3860.54</v>
      </c>
      <c r="F17" s="16">
        <v>3046.83</v>
      </c>
      <c r="G17" s="16">
        <v>4404.8</v>
      </c>
      <c r="H17" s="16">
        <v>4533.8999999999996</v>
      </c>
      <c r="I17" s="16">
        <v>776.99</v>
      </c>
      <c r="J17" s="16">
        <v>572.99</v>
      </c>
      <c r="K17" s="16">
        <v>559.79999999999995</v>
      </c>
      <c r="L17" s="16">
        <v>847.99</v>
      </c>
      <c r="M17" s="16">
        <v>801.98</v>
      </c>
      <c r="N17" s="16">
        <v>785.96</v>
      </c>
      <c r="O17" s="16">
        <v>556.91</v>
      </c>
      <c r="P17" s="16">
        <v>4420</v>
      </c>
      <c r="Q17" s="16">
        <v>4692</v>
      </c>
      <c r="R17" s="16">
        <v>4738</v>
      </c>
      <c r="S17" s="16">
        <v>4476</v>
      </c>
      <c r="T17" s="16">
        <v>4363</v>
      </c>
      <c r="U17" s="16">
        <v>6907</v>
      </c>
      <c r="V17" s="16"/>
    </row>
    <row r="18" spans="1:22">
      <c r="A18" s="11" t="s">
        <v>23</v>
      </c>
      <c r="B18" s="16">
        <v>1245</v>
      </c>
      <c r="C18" s="16">
        <v>1097.6000000000001</v>
      </c>
      <c r="D18" s="16">
        <v>1170.6899999999998</v>
      </c>
      <c r="E18" s="16">
        <v>1019.88</v>
      </c>
      <c r="F18" s="16">
        <v>950.26</v>
      </c>
      <c r="G18" s="16">
        <v>671.26</v>
      </c>
      <c r="H18" s="16">
        <v>640.21</v>
      </c>
      <c r="I18" s="16">
        <v>559.66999999999996</v>
      </c>
      <c r="J18" s="16">
        <v>560.47</v>
      </c>
      <c r="K18" s="16">
        <v>535.11</v>
      </c>
      <c r="L18" s="16">
        <v>426.84</v>
      </c>
      <c r="M18" s="16">
        <v>453.62</v>
      </c>
      <c r="N18" s="16">
        <v>237.97</v>
      </c>
      <c r="O18" s="16">
        <v>383.89</v>
      </c>
      <c r="P18" s="16">
        <v>350</v>
      </c>
      <c r="Q18" s="16">
        <v>487</v>
      </c>
      <c r="R18" s="16">
        <v>436</v>
      </c>
      <c r="S18" s="16">
        <v>428</v>
      </c>
      <c r="T18" s="16">
        <v>945</v>
      </c>
      <c r="U18" s="16">
        <v>2352</v>
      </c>
      <c r="V18" s="16"/>
    </row>
    <row r="19" spans="1:22">
      <c r="A19" s="11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</row>
    <row r="20" spans="1:22">
      <c r="A20" s="11" t="s">
        <v>24</v>
      </c>
      <c r="B20" s="16">
        <v>1287</v>
      </c>
      <c r="C20" s="16">
        <v>1272.6999999999998</v>
      </c>
      <c r="D20" s="16">
        <v>1186.3900000000001</v>
      </c>
      <c r="E20" s="16">
        <v>1119.51</v>
      </c>
      <c r="F20" s="16">
        <v>1268.6199999999999</v>
      </c>
      <c r="G20" s="16">
        <v>1381.72</v>
      </c>
      <c r="H20" s="16">
        <v>813.67</v>
      </c>
      <c r="I20" s="16">
        <v>927.97</v>
      </c>
      <c r="J20" s="16">
        <v>856.92</v>
      </c>
      <c r="K20" s="16">
        <v>703.95</v>
      </c>
      <c r="L20" s="16">
        <v>725.1</v>
      </c>
      <c r="M20" s="16">
        <v>253.46</v>
      </c>
      <c r="N20" s="16">
        <v>282.85000000000002</v>
      </c>
      <c r="O20" s="16">
        <v>721.8</v>
      </c>
      <c r="P20" s="16">
        <v>1200</v>
      </c>
      <c r="Q20" s="16">
        <v>560</v>
      </c>
      <c r="R20" s="16">
        <v>450</v>
      </c>
      <c r="S20" s="16">
        <v>717</v>
      </c>
      <c r="T20" s="16">
        <v>561</v>
      </c>
      <c r="U20" s="16">
        <v>541</v>
      </c>
      <c r="V20" s="16"/>
    </row>
    <row r="21" spans="1:22">
      <c r="A21" s="11" t="s">
        <v>25</v>
      </c>
      <c r="B21" s="16">
        <v>731</v>
      </c>
      <c r="C21" s="16">
        <v>716.69999999999993</v>
      </c>
      <c r="D21" s="16">
        <v>836.24</v>
      </c>
      <c r="E21" s="16">
        <v>789.54</v>
      </c>
      <c r="F21" s="16">
        <v>858.72</v>
      </c>
      <c r="G21" s="16">
        <v>892.08</v>
      </c>
      <c r="H21" s="16">
        <v>763.9</v>
      </c>
      <c r="I21" s="16">
        <v>757.99</v>
      </c>
      <c r="J21" s="16">
        <v>873.99</v>
      </c>
      <c r="K21" s="16">
        <v>769</v>
      </c>
      <c r="L21" s="16">
        <v>769</v>
      </c>
      <c r="M21" s="16">
        <v>282</v>
      </c>
      <c r="N21" s="16">
        <v>241</v>
      </c>
      <c r="O21" s="16">
        <v>237.51</v>
      </c>
      <c r="P21" s="16">
        <v>268</v>
      </c>
      <c r="Q21" s="16">
        <v>377</v>
      </c>
      <c r="R21" s="16">
        <v>412</v>
      </c>
      <c r="S21" s="16">
        <v>221</v>
      </c>
      <c r="T21" s="16">
        <v>488</v>
      </c>
      <c r="U21" s="16">
        <v>2138</v>
      </c>
      <c r="V21" s="16"/>
    </row>
    <row r="22" spans="1:22">
      <c r="A22" s="11" t="s">
        <v>26</v>
      </c>
      <c r="B22" s="16">
        <v>763</v>
      </c>
      <c r="C22" s="16">
        <v>653.29999999999995</v>
      </c>
      <c r="D22" s="16">
        <v>614.15000000000009</v>
      </c>
      <c r="E22" s="16">
        <v>519.05000000000007</v>
      </c>
      <c r="F22" s="16">
        <v>676.28</v>
      </c>
      <c r="G22" s="16">
        <v>536.27</v>
      </c>
      <c r="H22" s="16">
        <v>698.75</v>
      </c>
      <c r="I22" s="16">
        <v>710.65</v>
      </c>
      <c r="J22" s="16">
        <v>557.45000000000005</v>
      </c>
      <c r="K22" s="16">
        <v>663.58</v>
      </c>
      <c r="L22" s="16">
        <v>829.09</v>
      </c>
      <c r="M22" s="16">
        <v>607.16</v>
      </c>
      <c r="N22" s="16">
        <v>819.41</v>
      </c>
      <c r="O22" s="16">
        <v>766.05</v>
      </c>
      <c r="P22" s="16">
        <v>696</v>
      </c>
      <c r="Q22" s="16">
        <v>955</v>
      </c>
      <c r="R22" s="16">
        <v>888</v>
      </c>
      <c r="S22" s="16">
        <v>707</v>
      </c>
      <c r="T22" s="16">
        <v>468</v>
      </c>
      <c r="U22" s="16">
        <v>907</v>
      </c>
      <c r="V22" s="16"/>
    </row>
    <row r="23" spans="1:22">
      <c r="A23" s="11" t="s">
        <v>27</v>
      </c>
      <c r="B23" s="16">
        <v>377</v>
      </c>
      <c r="C23" s="16">
        <v>315.5</v>
      </c>
      <c r="D23" s="16">
        <v>408.76000000000005</v>
      </c>
      <c r="E23" s="16">
        <v>360.14</v>
      </c>
      <c r="F23" s="16">
        <v>456.91</v>
      </c>
      <c r="G23" s="16">
        <v>137.84</v>
      </c>
      <c r="H23" s="16">
        <v>162.86000000000001</v>
      </c>
      <c r="I23" s="16">
        <v>227.92</v>
      </c>
      <c r="J23" s="16">
        <v>376.9</v>
      </c>
      <c r="K23" s="16">
        <v>170.59</v>
      </c>
      <c r="L23" s="16">
        <v>164.65</v>
      </c>
      <c r="M23" s="16">
        <v>160.97</v>
      </c>
      <c r="N23" s="16">
        <v>137.97</v>
      </c>
      <c r="O23" s="16">
        <v>176.83</v>
      </c>
      <c r="P23" s="16">
        <v>75</v>
      </c>
      <c r="Q23" s="16">
        <v>253</v>
      </c>
      <c r="R23" s="16">
        <v>169</v>
      </c>
      <c r="S23" s="16">
        <v>150</v>
      </c>
      <c r="T23" s="16">
        <v>74</v>
      </c>
      <c r="U23" s="16">
        <v>174</v>
      </c>
      <c r="V23" s="16"/>
    </row>
    <row r="24" spans="1:22">
      <c r="A24" s="11" t="s">
        <v>28</v>
      </c>
      <c r="B24" s="16">
        <v>726</v>
      </c>
      <c r="C24" s="16">
        <v>586.4</v>
      </c>
      <c r="D24" s="16">
        <v>680.76</v>
      </c>
      <c r="E24" s="16">
        <v>678.4</v>
      </c>
      <c r="F24" s="16">
        <v>681.39</v>
      </c>
      <c r="G24" s="16">
        <v>681.06</v>
      </c>
      <c r="H24" s="16">
        <v>945.01</v>
      </c>
      <c r="I24" s="16">
        <v>1013.86</v>
      </c>
      <c r="J24" s="16">
        <v>1090.01</v>
      </c>
      <c r="K24" s="16">
        <v>895.44</v>
      </c>
      <c r="L24" s="16">
        <v>225.11</v>
      </c>
      <c r="M24" s="16">
        <v>419.61</v>
      </c>
      <c r="N24" s="16">
        <v>460.42</v>
      </c>
      <c r="O24" s="16">
        <v>438.46</v>
      </c>
      <c r="P24" s="16">
        <v>1516</v>
      </c>
      <c r="Q24" s="16">
        <v>1063</v>
      </c>
      <c r="R24" s="16">
        <v>1198</v>
      </c>
      <c r="S24" s="16">
        <v>1792</v>
      </c>
      <c r="T24" s="16">
        <v>2668</v>
      </c>
      <c r="U24" s="16">
        <v>2268</v>
      </c>
      <c r="V24" s="16"/>
    </row>
    <row r="25" spans="1:22">
      <c r="A25" s="11" t="s">
        <v>29</v>
      </c>
      <c r="B25" s="16">
        <v>40</v>
      </c>
      <c r="C25" s="16">
        <v>40.700000000000003</v>
      </c>
      <c r="D25" s="16">
        <v>38.32</v>
      </c>
      <c r="E25" s="16">
        <v>32.92</v>
      </c>
      <c r="F25" s="16">
        <v>15.99</v>
      </c>
      <c r="G25" s="16">
        <v>15</v>
      </c>
      <c r="H25" s="16">
        <v>31</v>
      </c>
      <c r="I25" s="16">
        <v>36</v>
      </c>
      <c r="J25" s="16">
        <v>37.86</v>
      </c>
      <c r="K25" s="16">
        <v>32.86</v>
      </c>
      <c r="L25" s="16">
        <v>15.95</v>
      </c>
      <c r="M25" s="16">
        <v>14.93</v>
      </c>
      <c r="N25" s="16">
        <v>11.96</v>
      </c>
      <c r="O25" s="16">
        <v>33</v>
      </c>
      <c r="P25" s="16">
        <v>42</v>
      </c>
      <c r="Q25" s="16">
        <v>116</v>
      </c>
      <c r="R25" s="16">
        <v>98</v>
      </c>
      <c r="S25" s="16">
        <v>207</v>
      </c>
      <c r="T25" s="16">
        <v>117</v>
      </c>
      <c r="U25" s="16">
        <v>65</v>
      </c>
      <c r="V25" s="16"/>
    </row>
    <row r="26" spans="1:22">
      <c r="A26" s="11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</row>
    <row r="27" spans="1:22">
      <c r="A27" s="11" t="s">
        <v>30</v>
      </c>
      <c r="B27" s="16">
        <v>276</v>
      </c>
      <c r="C27" s="16">
        <v>249.9</v>
      </c>
      <c r="D27" s="16">
        <v>285.7</v>
      </c>
      <c r="E27" s="16">
        <v>216.17</v>
      </c>
      <c r="F27" s="16">
        <v>218.56</v>
      </c>
      <c r="G27" s="16">
        <v>213.45</v>
      </c>
      <c r="H27" s="16">
        <v>218.78</v>
      </c>
      <c r="I27" s="16">
        <v>257.95999999999998</v>
      </c>
      <c r="J27" s="16">
        <v>208.94</v>
      </c>
      <c r="K27" s="16">
        <v>233.98</v>
      </c>
      <c r="L27" s="16">
        <v>191.52</v>
      </c>
      <c r="M27" s="16">
        <v>270.88</v>
      </c>
      <c r="N27" s="16">
        <v>261.82</v>
      </c>
      <c r="O27" s="16">
        <v>287.97000000000003</v>
      </c>
      <c r="P27" s="16">
        <v>199</v>
      </c>
      <c r="Q27" s="16">
        <v>97</v>
      </c>
      <c r="R27" s="16">
        <v>79</v>
      </c>
      <c r="S27" s="16">
        <v>72</v>
      </c>
      <c r="T27" s="16">
        <v>57</v>
      </c>
      <c r="U27" s="16">
        <v>157</v>
      </c>
      <c r="V27" s="16"/>
    </row>
    <row r="28" spans="1:22">
      <c r="A28" s="11" t="s">
        <v>31</v>
      </c>
      <c r="B28" s="16">
        <v>1627</v>
      </c>
      <c r="C28" s="16">
        <v>1471.8</v>
      </c>
      <c r="D28" s="16">
        <v>1711.87</v>
      </c>
      <c r="E28" s="16">
        <v>2014.8700000000001</v>
      </c>
      <c r="F28" s="16">
        <v>1940.04</v>
      </c>
      <c r="G28" s="16">
        <v>1984.24</v>
      </c>
      <c r="H28" s="16">
        <v>2098.62</v>
      </c>
      <c r="I28" s="16">
        <v>1966.76</v>
      </c>
      <c r="J28" s="16">
        <v>1321.5</v>
      </c>
      <c r="K28" s="16">
        <v>1119.8499999999999</v>
      </c>
      <c r="L28" s="16">
        <v>2174.16</v>
      </c>
      <c r="M28" s="16">
        <v>1343.24</v>
      </c>
      <c r="N28" s="16">
        <v>1070.54</v>
      </c>
      <c r="O28" s="16">
        <v>1294.94</v>
      </c>
      <c r="P28" s="16">
        <v>2773</v>
      </c>
      <c r="Q28" s="16">
        <v>2279</v>
      </c>
      <c r="R28" s="16">
        <v>3107</v>
      </c>
      <c r="S28" s="16">
        <v>2849</v>
      </c>
      <c r="T28" s="16">
        <v>2745</v>
      </c>
      <c r="U28" s="16">
        <v>3584</v>
      </c>
      <c r="V28" s="16"/>
    </row>
    <row r="29" spans="1:22">
      <c r="A29" s="11" t="s">
        <v>32</v>
      </c>
      <c r="B29" s="16">
        <v>631</v>
      </c>
      <c r="C29" s="16">
        <v>633.70000000000005</v>
      </c>
      <c r="D29" s="16">
        <v>633.95000000000005</v>
      </c>
      <c r="E29" s="16">
        <v>798.53</v>
      </c>
      <c r="F29" s="16">
        <v>725.98</v>
      </c>
      <c r="G29" s="16">
        <v>880.33</v>
      </c>
      <c r="H29" s="16">
        <v>1073.45</v>
      </c>
      <c r="I29" s="16">
        <v>1371.1</v>
      </c>
      <c r="J29" s="16">
        <v>1363.41</v>
      </c>
      <c r="K29" s="16">
        <v>1049.33</v>
      </c>
      <c r="L29" s="16">
        <v>1115.98</v>
      </c>
      <c r="M29" s="16">
        <v>1440.37</v>
      </c>
      <c r="N29" s="16">
        <v>1756.62</v>
      </c>
      <c r="O29" s="16">
        <v>1436.53</v>
      </c>
      <c r="P29" s="16">
        <v>1552</v>
      </c>
      <c r="Q29" s="16">
        <v>938</v>
      </c>
      <c r="R29" s="16">
        <v>2470</v>
      </c>
      <c r="S29" s="16">
        <v>1819</v>
      </c>
      <c r="T29" s="16">
        <v>1052</v>
      </c>
      <c r="U29" s="16">
        <v>1221</v>
      </c>
      <c r="V29" s="16"/>
    </row>
    <row r="30" spans="1:22">
      <c r="A30" s="11" t="s">
        <v>33</v>
      </c>
      <c r="B30" s="16">
        <v>917</v>
      </c>
      <c r="C30" s="16">
        <v>973.6</v>
      </c>
      <c r="D30" s="16">
        <v>1160.08</v>
      </c>
      <c r="E30" s="16">
        <v>1133.44</v>
      </c>
      <c r="F30" s="16">
        <v>1590.38</v>
      </c>
      <c r="G30" s="16">
        <v>1706.34</v>
      </c>
      <c r="H30" s="16">
        <v>1331.26</v>
      </c>
      <c r="I30" s="16">
        <v>1469.38</v>
      </c>
      <c r="J30" s="16">
        <v>1321.65</v>
      </c>
      <c r="K30" s="16">
        <v>1482.79</v>
      </c>
      <c r="L30" s="16">
        <v>1676.56</v>
      </c>
      <c r="M30" s="16">
        <v>1641.22</v>
      </c>
      <c r="N30" s="16">
        <v>1958.49</v>
      </c>
      <c r="O30" s="16">
        <v>1841.75</v>
      </c>
      <c r="P30" s="16">
        <v>3687</v>
      </c>
      <c r="Q30" s="16">
        <v>3513</v>
      </c>
      <c r="R30" s="16">
        <v>2863</v>
      </c>
      <c r="S30" s="16">
        <v>2826</v>
      </c>
      <c r="T30" s="16">
        <v>2894</v>
      </c>
      <c r="U30" s="16">
        <v>2765</v>
      </c>
      <c r="V30" s="16"/>
    </row>
    <row r="31" spans="1:22">
      <c r="A31" s="11" t="s">
        <v>34</v>
      </c>
      <c r="B31" s="16">
        <v>10</v>
      </c>
      <c r="C31" s="16">
        <v>9.4</v>
      </c>
      <c r="D31" s="16">
        <v>8.85</v>
      </c>
      <c r="E31" s="16">
        <v>17.05</v>
      </c>
      <c r="F31" s="16">
        <v>0</v>
      </c>
      <c r="G31" s="16"/>
      <c r="H31" s="16"/>
      <c r="I31" s="16">
        <v>0</v>
      </c>
      <c r="J31" s="16">
        <v>1</v>
      </c>
      <c r="K31" s="16">
        <v>1</v>
      </c>
      <c r="L31" s="16">
        <v>1</v>
      </c>
      <c r="M31" s="16">
        <v>2</v>
      </c>
      <c r="N31" s="16">
        <v>7</v>
      </c>
      <c r="O31" s="16">
        <v>7</v>
      </c>
      <c r="P31" s="16">
        <v>284</v>
      </c>
      <c r="Q31" s="16">
        <v>349</v>
      </c>
      <c r="R31" s="16">
        <v>346</v>
      </c>
      <c r="S31" s="16">
        <v>358</v>
      </c>
      <c r="T31" s="16">
        <v>367</v>
      </c>
      <c r="U31" s="16">
        <v>391</v>
      </c>
      <c r="V31" s="16"/>
    </row>
    <row r="32" spans="1:22">
      <c r="A32" s="11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</row>
    <row r="33" spans="1:22">
      <c r="A33" s="11" t="s">
        <v>35</v>
      </c>
      <c r="B33" s="16">
        <v>1533</v>
      </c>
      <c r="C33" s="16">
        <v>1528.1</v>
      </c>
      <c r="D33" s="16">
        <v>1622.24</v>
      </c>
      <c r="E33" s="16">
        <v>1590.78</v>
      </c>
      <c r="F33" s="16">
        <v>1679.79</v>
      </c>
      <c r="G33" s="16">
        <v>1763.75</v>
      </c>
      <c r="H33" s="16">
        <v>1690.13</v>
      </c>
      <c r="I33" s="16">
        <v>1889.97</v>
      </c>
      <c r="J33" s="16">
        <v>2186.33</v>
      </c>
      <c r="K33" s="16">
        <v>674</v>
      </c>
      <c r="L33" s="16">
        <v>706.23</v>
      </c>
      <c r="M33" s="16">
        <v>1015.79</v>
      </c>
      <c r="N33" s="16">
        <v>1094.98</v>
      </c>
      <c r="O33" s="16">
        <v>1029.98</v>
      </c>
      <c r="P33" s="16">
        <v>1008</v>
      </c>
      <c r="Q33" s="16">
        <v>1360</v>
      </c>
      <c r="R33" s="16">
        <v>1131</v>
      </c>
      <c r="S33" s="16">
        <v>1093</v>
      </c>
      <c r="T33" s="16">
        <v>1265</v>
      </c>
      <c r="U33" s="16">
        <v>579</v>
      </c>
      <c r="V33" s="16"/>
    </row>
    <row r="34" spans="1:22">
      <c r="A34" s="11" t="s">
        <v>36</v>
      </c>
      <c r="B34" s="16">
        <v>1002</v>
      </c>
      <c r="C34" s="16">
        <v>1115.5</v>
      </c>
      <c r="D34" s="16">
        <v>1067.27</v>
      </c>
      <c r="E34" s="16">
        <v>1130.17</v>
      </c>
      <c r="F34" s="16">
        <v>837.15</v>
      </c>
      <c r="G34" s="16">
        <v>1004.8</v>
      </c>
      <c r="H34" s="16">
        <v>1257.83</v>
      </c>
      <c r="I34" s="16">
        <v>1091.9000000000001</v>
      </c>
      <c r="J34" s="16">
        <v>1093.23</v>
      </c>
      <c r="K34" s="16">
        <v>807.69</v>
      </c>
      <c r="L34" s="16">
        <v>732.95</v>
      </c>
      <c r="M34" s="16">
        <v>986.85</v>
      </c>
      <c r="N34" s="16">
        <v>935.18</v>
      </c>
      <c r="O34" s="16">
        <v>1003.38</v>
      </c>
      <c r="P34" s="16">
        <v>1143</v>
      </c>
      <c r="Q34" s="16">
        <v>992</v>
      </c>
      <c r="R34" s="16">
        <v>768</v>
      </c>
      <c r="S34" s="16">
        <v>1014</v>
      </c>
      <c r="T34" s="16">
        <v>914</v>
      </c>
      <c r="U34" s="16">
        <v>964</v>
      </c>
      <c r="V34" s="16"/>
    </row>
    <row r="35" spans="1:22">
      <c r="A35" s="11" t="s">
        <v>37</v>
      </c>
      <c r="B35" s="16">
        <v>203</v>
      </c>
      <c r="C35" s="16">
        <v>224.3</v>
      </c>
      <c r="D35" s="16">
        <v>170.55</v>
      </c>
      <c r="E35" s="16">
        <v>241.53</v>
      </c>
      <c r="F35" s="16">
        <v>274.02999999999997</v>
      </c>
      <c r="G35" s="16">
        <v>209.02</v>
      </c>
      <c r="H35" s="16">
        <v>218.69</v>
      </c>
      <c r="I35" s="16">
        <v>342.82</v>
      </c>
      <c r="J35" s="16">
        <v>438.36</v>
      </c>
      <c r="K35" s="16">
        <v>547.4</v>
      </c>
      <c r="L35" s="16">
        <v>719.13</v>
      </c>
      <c r="M35" s="16">
        <v>846.84</v>
      </c>
      <c r="N35" s="16">
        <v>775.25</v>
      </c>
      <c r="O35" s="16">
        <v>959.49</v>
      </c>
      <c r="P35" s="16">
        <v>5226</v>
      </c>
      <c r="Q35" s="16">
        <v>5483</v>
      </c>
      <c r="R35" s="16">
        <v>5602</v>
      </c>
      <c r="S35" s="16">
        <v>5449</v>
      </c>
      <c r="T35" s="16">
        <v>7636</v>
      </c>
      <c r="U35" s="16">
        <v>7352</v>
      </c>
      <c r="V35" s="16"/>
    </row>
    <row r="36" spans="1:22">
      <c r="A36" s="11" t="s">
        <v>38</v>
      </c>
      <c r="B36" s="16">
        <v>268</v>
      </c>
      <c r="C36" s="16">
        <v>168.4</v>
      </c>
      <c r="D36" s="16">
        <v>236.01</v>
      </c>
      <c r="E36" s="16">
        <v>214.74</v>
      </c>
      <c r="F36" s="16">
        <v>233</v>
      </c>
      <c r="G36" s="16">
        <v>185</v>
      </c>
      <c r="H36" s="16">
        <v>255</v>
      </c>
      <c r="I36" s="16">
        <v>71</v>
      </c>
      <c r="J36" s="16">
        <v>90</v>
      </c>
      <c r="K36" s="16">
        <v>174</v>
      </c>
      <c r="L36" s="16">
        <v>174</v>
      </c>
      <c r="M36" s="16">
        <v>174</v>
      </c>
      <c r="N36" s="16">
        <v>170</v>
      </c>
      <c r="O36" s="16">
        <v>564</v>
      </c>
      <c r="P36" s="16">
        <v>435</v>
      </c>
      <c r="Q36" s="16">
        <v>398</v>
      </c>
      <c r="R36" s="16">
        <v>292</v>
      </c>
      <c r="S36" s="16">
        <v>329</v>
      </c>
      <c r="T36" s="16">
        <v>439</v>
      </c>
      <c r="U36" s="16">
        <v>610</v>
      </c>
      <c r="V36" s="16"/>
    </row>
    <row r="37" spans="1:22">
      <c r="A37" s="11" t="s">
        <v>39</v>
      </c>
      <c r="B37" s="16">
        <v>228</v>
      </c>
      <c r="C37" s="16">
        <v>183.5</v>
      </c>
      <c r="D37" s="16">
        <v>103.71000000000001</v>
      </c>
      <c r="E37" s="16">
        <v>143.33999999999997</v>
      </c>
      <c r="F37" s="16">
        <v>143.35</v>
      </c>
      <c r="G37" s="16">
        <v>299.42</v>
      </c>
      <c r="H37" s="16">
        <v>357.87</v>
      </c>
      <c r="I37" s="16">
        <v>371.78</v>
      </c>
      <c r="J37" s="16">
        <v>412.81</v>
      </c>
      <c r="K37" s="16">
        <v>610.41</v>
      </c>
      <c r="L37" s="16">
        <v>796.37</v>
      </c>
      <c r="M37" s="16">
        <v>1015.43</v>
      </c>
      <c r="N37" s="16">
        <v>1382.75</v>
      </c>
      <c r="O37" s="16">
        <v>1768.32</v>
      </c>
      <c r="P37" s="16">
        <v>1702</v>
      </c>
      <c r="Q37" s="16">
        <v>3251</v>
      </c>
      <c r="R37" s="16">
        <v>3562</v>
      </c>
      <c r="S37" s="16">
        <v>2628</v>
      </c>
      <c r="T37" s="16">
        <v>2368</v>
      </c>
      <c r="U37" s="16">
        <v>3527</v>
      </c>
      <c r="V37" s="16"/>
    </row>
    <row r="38" spans="1:22"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</row>
    <row r="39" spans="1:22"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</row>
    <row r="40" spans="1:22"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</row>
    <row r="41" spans="1:22"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</row>
    <row r="42" spans="1:22"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</row>
    <row r="43" spans="1:22"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</row>
  </sheetData>
  <phoneticPr fontId="6" type="noConversion"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D63CD-5B45-A446-A220-E823B927573F}">
  <dimension ref="A1:V39"/>
  <sheetViews>
    <sheetView workbookViewId="0">
      <selection activeCell="A2" sqref="A1:A1048576"/>
    </sheetView>
  </sheetViews>
  <sheetFormatPr baseColWidth="10" defaultRowHeight="16"/>
  <cols>
    <col min="1" max="1" width="16.5" style="10" customWidth="1"/>
  </cols>
  <sheetData>
    <row r="1" spans="1:22" ht="17">
      <c r="A1" s="23" t="s">
        <v>40</v>
      </c>
      <c r="B1" s="21">
        <v>1997</v>
      </c>
      <c r="C1" s="21">
        <v>1998</v>
      </c>
      <c r="D1" s="21">
        <v>1999</v>
      </c>
      <c r="E1" s="21">
        <v>2000</v>
      </c>
      <c r="F1" s="21">
        <v>2001</v>
      </c>
      <c r="G1" s="21">
        <v>2002</v>
      </c>
      <c r="H1" s="21">
        <v>2003</v>
      </c>
      <c r="I1" s="21">
        <v>2004</v>
      </c>
      <c r="J1" s="21">
        <v>2005</v>
      </c>
      <c r="K1" s="21">
        <v>2006</v>
      </c>
      <c r="L1" s="21">
        <v>2007</v>
      </c>
      <c r="M1" s="21">
        <v>2008</v>
      </c>
      <c r="N1" s="21">
        <v>2009</v>
      </c>
      <c r="O1" s="21">
        <v>2010</v>
      </c>
      <c r="P1" s="21">
        <v>2011</v>
      </c>
      <c r="Q1" s="21">
        <v>2012</v>
      </c>
      <c r="R1" s="21">
        <v>2013</v>
      </c>
      <c r="S1" s="21">
        <v>2014</v>
      </c>
      <c r="T1" s="21">
        <v>2015</v>
      </c>
      <c r="U1" s="21">
        <v>2016</v>
      </c>
    </row>
    <row r="2" spans="1:22">
      <c r="A2" s="16" t="s">
        <v>9</v>
      </c>
      <c r="B2" s="11"/>
      <c r="C2" s="11">
        <v>0.4</v>
      </c>
      <c r="D2" s="11">
        <v>0.71</v>
      </c>
      <c r="E2" s="11">
        <v>0.66</v>
      </c>
      <c r="F2" s="11">
        <v>0.35</v>
      </c>
      <c r="G2" s="11">
        <v>1.1499999999999999</v>
      </c>
      <c r="H2" s="11">
        <v>0.64</v>
      </c>
      <c r="I2" s="11">
        <v>0.62</v>
      </c>
      <c r="J2" s="11">
        <v>4.41</v>
      </c>
      <c r="K2" s="11">
        <v>5.56</v>
      </c>
      <c r="L2" s="11">
        <v>7.7</v>
      </c>
      <c r="M2" s="11">
        <v>6.8</v>
      </c>
      <c r="N2" s="11">
        <v>5.7</v>
      </c>
      <c r="O2" s="11">
        <v>6.5</v>
      </c>
      <c r="P2" s="11">
        <v>6.86</v>
      </c>
      <c r="Q2" s="11">
        <v>8.91</v>
      </c>
      <c r="R2" s="11">
        <v>6.81</v>
      </c>
      <c r="S2" s="11">
        <v>6.61</v>
      </c>
      <c r="T2" s="11">
        <v>7.37</v>
      </c>
      <c r="U2" s="11">
        <v>9.41</v>
      </c>
      <c r="V2" s="11"/>
    </row>
    <row r="3" spans="1:22">
      <c r="A3" s="11" t="s">
        <v>10</v>
      </c>
      <c r="B3" s="11">
        <v>1</v>
      </c>
      <c r="C3" s="11">
        <v>0.1</v>
      </c>
      <c r="D3" s="11">
        <v>0.05</v>
      </c>
      <c r="E3" s="11">
        <v>0.02</v>
      </c>
      <c r="F3" s="11">
        <v>2.0299999999999998</v>
      </c>
      <c r="G3" s="11">
        <v>0.43</v>
      </c>
      <c r="H3" s="11">
        <v>0.34</v>
      </c>
      <c r="I3" s="11">
        <v>0.9</v>
      </c>
      <c r="J3" s="11">
        <v>1.37</v>
      </c>
      <c r="K3" s="11">
        <v>1.92</v>
      </c>
      <c r="L3" s="11">
        <v>3.2</v>
      </c>
      <c r="M3" s="11">
        <v>3.2</v>
      </c>
      <c r="N3" s="11">
        <v>5.2</v>
      </c>
      <c r="O3" s="11">
        <v>8.6999999999999993</v>
      </c>
      <c r="P3" s="11">
        <v>7.18</v>
      </c>
      <c r="Q3" s="11">
        <v>7.51</v>
      </c>
      <c r="R3" s="11">
        <v>8.2899999999999991</v>
      </c>
      <c r="S3" s="11">
        <v>8.15</v>
      </c>
      <c r="T3" s="11">
        <v>9.43</v>
      </c>
      <c r="U3" s="11">
        <v>12.68</v>
      </c>
      <c r="V3" s="11"/>
    </row>
    <row r="4" spans="1:22">
      <c r="A4" s="11" t="s">
        <v>11</v>
      </c>
      <c r="B4" s="11">
        <v>6</v>
      </c>
      <c r="C4" s="11">
        <v>5.8</v>
      </c>
      <c r="D4" s="11">
        <v>4.71</v>
      </c>
      <c r="E4" s="11">
        <v>4.41</v>
      </c>
      <c r="F4" s="11">
        <v>4.5999999999999996</v>
      </c>
      <c r="G4" s="11">
        <v>4.33</v>
      </c>
      <c r="H4" s="11">
        <v>3.23</v>
      </c>
      <c r="I4" s="11">
        <v>1.2</v>
      </c>
      <c r="J4" s="11">
        <v>6.74</v>
      </c>
      <c r="K4" s="11">
        <v>3.76</v>
      </c>
      <c r="L4" s="11">
        <v>5.5</v>
      </c>
      <c r="M4" s="11">
        <v>4.0999999999999996</v>
      </c>
      <c r="N4" s="11">
        <v>11.4</v>
      </c>
      <c r="O4" s="11">
        <v>18</v>
      </c>
      <c r="P4" s="11">
        <v>18.79</v>
      </c>
      <c r="Q4" s="11">
        <v>21.91</v>
      </c>
      <c r="R4" s="11">
        <v>25.45</v>
      </c>
      <c r="S4" s="11">
        <v>19.14</v>
      </c>
      <c r="T4" s="11">
        <v>21.52</v>
      </c>
      <c r="U4" s="11">
        <v>21.7</v>
      </c>
      <c r="V4" s="11"/>
    </row>
    <row r="5" spans="1:22">
      <c r="A5" s="11" t="s">
        <v>12</v>
      </c>
      <c r="B5" s="11">
        <v>2</v>
      </c>
      <c r="C5" s="11">
        <v>1.1000000000000001</v>
      </c>
      <c r="D5" s="11">
        <v>1.26</v>
      </c>
      <c r="E5" s="11">
        <v>2.19</v>
      </c>
      <c r="F5" s="11">
        <v>2.35</v>
      </c>
      <c r="G5" s="11">
        <v>0.6</v>
      </c>
      <c r="H5" s="11">
        <v>11.83</v>
      </c>
      <c r="I5" s="11">
        <v>1.69</v>
      </c>
      <c r="J5" s="11">
        <v>1.46</v>
      </c>
      <c r="K5" s="11">
        <v>0.28999999999999998</v>
      </c>
      <c r="L5" s="11">
        <v>1.4</v>
      </c>
      <c r="M5" s="11">
        <v>0.8</v>
      </c>
      <c r="N5" s="11">
        <v>0.9</v>
      </c>
      <c r="O5" s="11">
        <v>1.5</v>
      </c>
      <c r="P5" s="11">
        <v>4.1100000000000003</v>
      </c>
      <c r="Q5" s="11">
        <v>5.09</v>
      </c>
      <c r="R5" s="11">
        <v>5.14</v>
      </c>
      <c r="S5" s="11">
        <v>4.76</v>
      </c>
      <c r="T5" s="11">
        <v>7.17</v>
      </c>
      <c r="U5" s="11">
        <v>15.24</v>
      </c>
      <c r="V5" s="11"/>
    </row>
    <row r="6" spans="1:22">
      <c r="A6" s="11" t="s">
        <v>13</v>
      </c>
      <c r="B6" s="11">
        <v>1</v>
      </c>
      <c r="C6" s="11">
        <v>6.2</v>
      </c>
      <c r="D6" s="11">
        <v>31.53</v>
      </c>
      <c r="E6" s="11">
        <v>29.49</v>
      </c>
      <c r="F6" s="11">
        <v>35.590000000000003</v>
      </c>
      <c r="G6" s="11">
        <v>4.62</v>
      </c>
      <c r="H6" s="11">
        <v>5.67</v>
      </c>
      <c r="I6" s="11">
        <v>6.26</v>
      </c>
      <c r="J6" s="11">
        <v>7.92</v>
      </c>
      <c r="K6" s="11">
        <v>20.92</v>
      </c>
      <c r="L6" s="11">
        <v>9.3000000000000007</v>
      </c>
      <c r="M6" s="11">
        <v>29.7</v>
      </c>
      <c r="N6" s="11">
        <v>12.7</v>
      </c>
      <c r="O6" s="11">
        <v>17.899999999999999</v>
      </c>
      <c r="P6" s="11">
        <v>49.93</v>
      </c>
      <c r="Q6" s="11">
        <v>39.840000000000003</v>
      </c>
      <c r="R6" s="11">
        <v>26.64</v>
      </c>
      <c r="S6" s="11">
        <v>38.299999999999997</v>
      </c>
      <c r="T6" s="11">
        <v>49.92</v>
      </c>
      <c r="U6" s="11">
        <v>136.72</v>
      </c>
      <c r="V6" s="11"/>
    </row>
    <row r="7" spans="1:22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</row>
    <row r="8" spans="1:22">
      <c r="A8" s="11" t="s">
        <v>14</v>
      </c>
      <c r="B8" s="11">
        <v>3</v>
      </c>
      <c r="C8" s="11">
        <v>2.7</v>
      </c>
      <c r="D8" s="11">
        <v>7.68</v>
      </c>
      <c r="E8" s="11">
        <v>29</v>
      </c>
      <c r="F8" s="11">
        <v>30.41</v>
      </c>
      <c r="G8" s="11">
        <v>12.38</v>
      </c>
      <c r="H8" s="11">
        <v>13.16</v>
      </c>
      <c r="I8" s="11">
        <v>16.13</v>
      </c>
      <c r="J8" s="11">
        <v>25.34</v>
      </c>
      <c r="K8" s="11">
        <v>24.72</v>
      </c>
      <c r="L8" s="11">
        <v>24.8</v>
      </c>
      <c r="M8" s="11">
        <v>21.2</v>
      </c>
      <c r="N8" s="11">
        <v>52.1</v>
      </c>
      <c r="O8" s="11">
        <v>50.9</v>
      </c>
      <c r="P8" s="11">
        <v>25.3</v>
      </c>
      <c r="Q8" s="11">
        <v>30.54</v>
      </c>
      <c r="R8" s="11">
        <v>39.75</v>
      </c>
      <c r="S8" s="11">
        <v>49.76</v>
      </c>
      <c r="T8" s="11">
        <v>51.71</v>
      </c>
      <c r="U8" s="11">
        <v>37.17</v>
      </c>
      <c r="V8" s="11"/>
    </row>
    <row r="9" spans="1:22">
      <c r="A9" s="11" t="s">
        <v>15</v>
      </c>
      <c r="B9" s="11"/>
      <c r="C9" s="11">
        <v>0.8</v>
      </c>
      <c r="D9" s="11">
        <v>7.0000000000000007E-2</v>
      </c>
      <c r="E9" s="11">
        <v>0.11</v>
      </c>
      <c r="F9" s="11">
        <v>0.15</v>
      </c>
      <c r="G9" s="11">
        <v>0.21</v>
      </c>
      <c r="H9" s="11">
        <v>1.79</v>
      </c>
      <c r="I9" s="11">
        <v>1.38</v>
      </c>
      <c r="J9" s="11">
        <v>1.4</v>
      </c>
      <c r="K9" s="11">
        <v>18.399999999999999</v>
      </c>
      <c r="L9" s="11">
        <v>19.3</v>
      </c>
      <c r="M9" s="11">
        <v>16.5</v>
      </c>
      <c r="N9" s="11">
        <v>21</v>
      </c>
      <c r="O9" s="11">
        <v>23.9</v>
      </c>
      <c r="P9" s="11">
        <v>29.9</v>
      </c>
      <c r="Q9" s="11">
        <v>4.2</v>
      </c>
      <c r="R9" s="11">
        <v>34.65</v>
      </c>
      <c r="S9" s="11">
        <v>42.02</v>
      </c>
      <c r="T9" s="11">
        <v>45.9</v>
      </c>
      <c r="U9" s="11">
        <v>66.73</v>
      </c>
      <c r="V9" s="11"/>
    </row>
    <row r="10" spans="1:22">
      <c r="A10" s="11" t="s">
        <v>16</v>
      </c>
      <c r="B10" s="11"/>
      <c r="C10" s="11">
        <v>1.1000000000000001</v>
      </c>
      <c r="D10" s="11">
        <v>0.35</v>
      </c>
      <c r="E10" s="11">
        <v>1.52</v>
      </c>
      <c r="F10" s="11">
        <v>0.39</v>
      </c>
      <c r="G10" s="11">
        <v>1.23</v>
      </c>
      <c r="H10" s="11">
        <v>1.33</v>
      </c>
      <c r="I10" s="11">
        <v>0.5</v>
      </c>
      <c r="J10" s="11">
        <v>10.29</v>
      </c>
      <c r="K10" s="11">
        <v>10.86</v>
      </c>
      <c r="L10" s="11">
        <v>9.6999999999999993</v>
      </c>
      <c r="M10" s="11">
        <v>11.1</v>
      </c>
      <c r="N10" s="11">
        <v>11.3</v>
      </c>
      <c r="O10" s="11">
        <v>10.8</v>
      </c>
      <c r="P10" s="11">
        <v>15.16</v>
      </c>
      <c r="Q10" s="11">
        <v>16.989999999999998</v>
      </c>
      <c r="R10" s="11">
        <v>17.68</v>
      </c>
      <c r="S10" s="11">
        <v>22.51</v>
      </c>
      <c r="T10" s="11">
        <v>23.45</v>
      </c>
      <c r="U10" s="11">
        <v>29.1</v>
      </c>
      <c r="V10" s="11"/>
    </row>
    <row r="11" spans="1:22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</row>
    <row r="12" spans="1:22">
      <c r="A12" s="11" t="s">
        <v>17</v>
      </c>
      <c r="B12" s="11">
        <v>2</v>
      </c>
      <c r="C12" s="11">
        <v>2.7</v>
      </c>
      <c r="D12" s="11">
        <v>3.38</v>
      </c>
      <c r="E12" s="11">
        <v>1.08</v>
      </c>
      <c r="F12" s="11">
        <v>8.5</v>
      </c>
      <c r="G12" s="11">
        <v>9.2100000000000009</v>
      </c>
      <c r="H12" s="11">
        <v>8.31</v>
      </c>
      <c r="I12" s="11">
        <v>6.05</v>
      </c>
      <c r="J12" s="11">
        <v>9.64</v>
      </c>
      <c r="K12" s="11">
        <v>14.1</v>
      </c>
      <c r="L12" s="11">
        <v>14.7</v>
      </c>
      <c r="M12" s="11">
        <v>18.399999999999999</v>
      </c>
      <c r="N12" s="11">
        <v>17</v>
      </c>
      <c r="O12" s="11">
        <v>23.4</v>
      </c>
      <c r="P12" s="11">
        <v>26.01</v>
      </c>
      <c r="Q12" s="11">
        <v>24.6</v>
      </c>
      <c r="R12" s="11">
        <v>25.64</v>
      </c>
      <c r="S12" s="11">
        <v>35.729999999999997</v>
      </c>
      <c r="T12" s="11">
        <v>30.44</v>
      </c>
      <c r="U12" s="11">
        <v>35.78</v>
      </c>
      <c r="V12" s="11"/>
    </row>
    <row r="13" spans="1:22">
      <c r="A13" s="11" t="s">
        <v>18</v>
      </c>
      <c r="B13" s="11">
        <v>20</v>
      </c>
      <c r="C13" s="11">
        <v>23.1</v>
      </c>
      <c r="D13" s="11">
        <v>7.8</v>
      </c>
      <c r="E13" s="11">
        <v>19.850000000000001</v>
      </c>
      <c r="F13" s="11">
        <v>18.21</v>
      </c>
      <c r="G13" s="11">
        <v>22.33</v>
      </c>
      <c r="H13" s="11">
        <v>24.81</v>
      </c>
      <c r="I13" s="11">
        <v>27.95</v>
      </c>
      <c r="J13" s="11">
        <v>26.91</v>
      </c>
      <c r="K13" s="11">
        <v>25.22</v>
      </c>
      <c r="L13" s="11">
        <v>37</v>
      </c>
      <c r="M13" s="11">
        <v>30.9</v>
      </c>
      <c r="N13" s="11">
        <v>33.5</v>
      </c>
      <c r="O13" s="11">
        <v>58.1</v>
      </c>
      <c r="P13" s="11">
        <v>93.33</v>
      </c>
      <c r="Q13" s="11">
        <v>97.64</v>
      </c>
      <c r="R13" s="11">
        <v>109.17</v>
      </c>
      <c r="S13" s="11">
        <v>113.07</v>
      </c>
      <c r="T13" s="11">
        <v>120.34</v>
      </c>
      <c r="U13" s="11">
        <v>157.74</v>
      </c>
      <c r="V13" s="11"/>
    </row>
    <row r="14" spans="1:22">
      <c r="A14" s="11" t="s">
        <v>19</v>
      </c>
      <c r="B14" s="11">
        <v>4</v>
      </c>
      <c r="C14" s="11">
        <v>2.4</v>
      </c>
      <c r="D14" s="11">
        <v>2.27</v>
      </c>
      <c r="E14" s="11">
        <v>2.65</v>
      </c>
      <c r="F14" s="11">
        <v>3.67</v>
      </c>
      <c r="G14" s="11">
        <v>4.05</v>
      </c>
      <c r="H14" s="11">
        <v>2.64</v>
      </c>
      <c r="I14" s="11">
        <v>4.12</v>
      </c>
      <c r="J14" s="11">
        <v>4.37</v>
      </c>
      <c r="K14" s="11">
        <v>24.87</v>
      </c>
      <c r="L14" s="11">
        <v>30.8</v>
      </c>
      <c r="M14" s="11">
        <v>22.6</v>
      </c>
      <c r="N14" s="11">
        <v>37.6</v>
      </c>
      <c r="O14" s="11">
        <v>35.6</v>
      </c>
      <c r="P14" s="11">
        <v>46.08</v>
      </c>
      <c r="Q14" s="11">
        <v>51.56</v>
      </c>
      <c r="R14" s="11">
        <v>70.989999999999995</v>
      </c>
      <c r="S14" s="11">
        <v>89.83</v>
      </c>
      <c r="T14" s="11">
        <v>107.06</v>
      </c>
      <c r="U14" s="11">
        <v>147.19999999999999</v>
      </c>
      <c r="V14" s="11"/>
    </row>
    <row r="15" spans="1:22">
      <c r="A15" s="11" t="s">
        <v>20</v>
      </c>
      <c r="B15" s="11">
        <v>1</v>
      </c>
      <c r="C15" s="11">
        <v>25.4</v>
      </c>
      <c r="D15" s="11">
        <v>1.52</v>
      </c>
      <c r="E15" s="11">
        <v>1.53</v>
      </c>
      <c r="F15" s="11">
        <v>22.69</v>
      </c>
      <c r="G15" s="11">
        <v>1.87</v>
      </c>
      <c r="H15" s="11">
        <v>2.38</v>
      </c>
      <c r="I15" s="11">
        <v>2.0099999999999998</v>
      </c>
      <c r="J15" s="11">
        <v>2.2200000000000002</v>
      </c>
      <c r="K15" s="11">
        <v>1.24</v>
      </c>
      <c r="L15" s="11">
        <v>1.1000000000000001</v>
      </c>
      <c r="M15" s="11">
        <v>7.4</v>
      </c>
      <c r="N15" s="11">
        <v>6.9</v>
      </c>
      <c r="O15" s="11">
        <v>7</v>
      </c>
      <c r="P15" s="11">
        <v>2.95</v>
      </c>
      <c r="Q15" s="11">
        <v>6.21</v>
      </c>
      <c r="R15" s="11">
        <v>11.33</v>
      </c>
      <c r="S15" s="11">
        <v>13.18</v>
      </c>
      <c r="T15" s="11">
        <v>23.34</v>
      </c>
      <c r="U15" s="11">
        <v>31.49</v>
      </c>
      <c r="V15" s="11"/>
    </row>
    <row r="16" spans="1:22">
      <c r="A16" s="11" t="s">
        <v>21</v>
      </c>
      <c r="B16" s="11">
        <v>2</v>
      </c>
      <c r="C16" s="11">
        <v>0.2</v>
      </c>
      <c r="D16" s="11">
        <v>0.36</v>
      </c>
      <c r="E16" s="11">
        <v>0.41</v>
      </c>
      <c r="F16" s="11">
        <v>1.46</v>
      </c>
      <c r="G16" s="11">
        <v>1.43</v>
      </c>
      <c r="H16" s="11">
        <v>0.88</v>
      </c>
      <c r="I16" s="11">
        <v>2.09</v>
      </c>
      <c r="J16" s="11">
        <v>2.04</v>
      </c>
      <c r="K16" s="11">
        <v>3.02</v>
      </c>
      <c r="L16" s="11">
        <v>2.4</v>
      </c>
      <c r="M16" s="11">
        <v>2.6</v>
      </c>
      <c r="N16" s="11">
        <v>4.0999999999999996</v>
      </c>
      <c r="O16" s="11">
        <v>5</v>
      </c>
      <c r="P16" s="11">
        <v>5.71</v>
      </c>
      <c r="Q16" s="11">
        <v>5.73</v>
      </c>
      <c r="R16" s="11">
        <v>9.24</v>
      </c>
      <c r="S16" s="11">
        <v>14.11</v>
      </c>
      <c r="T16" s="11">
        <v>22.84</v>
      </c>
      <c r="U16" s="11">
        <v>27.33</v>
      </c>
      <c r="V16" s="11"/>
    </row>
    <row r="17" spans="1:22">
      <c r="A17" s="11" t="s">
        <v>22</v>
      </c>
      <c r="B17" s="11">
        <v>1</v>
      </c>
      <c r="C17" s="11">
        <v>0.7</v>
      </c>
      <c r="D17" s="11">
        <v>0.47</v>
      </c>
      <c r="E17" s="11">
        <v>0.01</v>
      </c>
      <c r="F17" s="11">
        <v>0.01</v>
      </c>
      <c r="G17" s="11">
        <v>0.04</v>
      </c>
      <c r="H17" s="11">
        <v>0.23</v>
      </c>
      <c r="I17" s="11">
        <v>0.05</v>
      </c>
      <c r="J17" s="11">
        <v>0.06</v>
      </c>
      <c r="K17" s="11">
        <v>0.1</v>
      </c>
      <c r="L17" s="11">
        <v>0.1</v>
      </c>
      <c r="M17" s="11">
        <v>0.1</v>
      </c>
      <c r="N17" s="11">
        <v>0.4</v>
      </c>
      <c r="O17" s="11">
        <v>1.3</v>
      </c>
      <c r="P17" s="11">
        <v>5.2</v>
      </c>
      <c r="Q17" s="11">
        <v>5.0999999999999996</v>
      </c>
      <c r="R17" s="11">
        <v>7.4</v>
      </c>
      <c r="S17" s="11">
        <v>17.7</v>
      </c>
      <c r="T17" s="11">
        <v>12.53</v>
      </c>
      <c r="U17" s="11">
        <v>20.440000000000001</v>
      </c>
      <c r="V17" s="11"/>
    </row>
    <row r="18" spans="1:22">
      <c r="A18" s="11" t="s">
        <v>23</v>
      </c>
      <c r="B18" s="11">
        <v>9</v>
      </c>
      <c r="C18" s="11">
        <v>5.6</v>
      </c>
      <c r="D18" s="11">
        <v>6.28</v>
      </c>
      <c r="E18" s="11">
        <v>4.03</v>
      </c>
      <c r="F18" s="11">
        <v>3.8</v>
      </c>
      <c r="G18" s="11">
        <v>0.83</v>
      </c>
      <c r="H18" s="11">
        <v>1.01</v>
      </c>
      <c r="I18" s="11">
        <v>1.24</v>
      </c>
      <c r="J18" s="11">
        <v>2.82</v>
      </c>
      <c r="K18" s="11">
        <v>16.72</v>
      </c>
      <c r="L18" s="11">
        <v>59.3</v>
      </c>
      <c r="M18" s="11">
        <v>63.4</v>
      </c>
      <c r="N18" s="11">
        <v>54.1</v>
      </c>
      <c r="O18" s="11">
        <v>19.600000000000001</v>
      </c>
      <c r="P18" s="11">
        <v>290.95999999999998</v>
      </c>
      <c r="Q18" s="11">
        <v>66.14</v>
      </c>
      <c r="R18" s="11">
        <v>61.82</v>
      </c>
      <c r="S18" s="11">
        <v>62.77</v>
      </c>
      <c r="T18" s="11">
        <v>114.72</v>
      </c>
      <c r="U18" s="11">
        <v>203.91</v>
      </c>
      <c r="V18" s="11"/>
    </row>
    <row r="19" spans="1:22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</row>
    <row r="20" spans="1:22">
      <c r="A20" s="11" t="s">
        <v>24</v>
      </c>
      <c r="B20" s="11">
        <v>3</v>
      </c>
      <c r="C20" s="11">
        <v>4.4000000000000004</v>
      </c>
      <c r="D20" s="11">
        <v>3.46</v>
      </c>
      <c r="E20" s="11">
        <v>6.14</v>
      </c>
      <c r="F20" s="11">
        <v>1.22</v>
      </c>
      <c r="G20" s="11">
        <v>0.18</v>
      </c>
      <c r="H20" s="11">
        <v>3.78</v>
      </c>
      <c r="I20" s="11">
        <v>0.69</v>
      </c>
      <c r="J20" s="11">
        <v>1.53</v>
      </c>
      <c r="K20" s="11">
        <v>1.45</v>
      </c>
      <c r="L20" s="11">
        <v>2.2999999999999998</v>
      </c>
      <c r="M20" s="11">
        <v>5.2</v>
      </c>
      <c r="N20" s="11">
        <v>4</v>
      </c>
      <c r="O20" s="11">
        <v>3.5</v>
      </c>
      <c r="P20" s="11">
        <v>7.05</v>
      </c>
      <c r="Q20" s="11">
        <v>7.81</v>
      </c>
      <c r="R20" s="11">
        <v>17.100000000000001</v>
      </c>
      <c r="S20" s="11">
        <v>26.76</v>
      </c>
      <c r="T20" s="11">
        <v>42.14</v>
      </c>
      <c r="U20" s="11">
        <v>42.16</v>
      </c>
      <c r="V20" s="11"/>
    </row>
    <row r="21" spans="1:22">
      <c r="A21" s="11" t="s">
        <v>25</v>
      </c>
      <c r="B21" s="11">
        <v>1</v>
      </c>
      <c r="C21" s="11">
        <v>0.8</v>
      </c>
      <c r="D21" s="11">
        <v>4.0999999999999996</v>
      </c>
      <c r="E21" s="11">
        <v>0.91</v>
      </c>
      <c r="F21" s="11">
        <v>1.1299999999999999</v>
      </c>
      <c r="G21" s="11">
        <v>3.12</v>
      </c>
      <c r="H21" s="11">
        <v>2.12</v>
      </c>
      <c r="I21" s="11">
        <v>1.08</v>
      </c>
      <c r="J21" s="11">
        <v>0.41</v>
      </c>
      <c r="K21" s="11">
        <v>2.2799999999999998</v>
      </c>
      <c r="L21" s="11">
        <v>4.5999999999999996</v>
      </c>
      <c r="M21" s="11">
        <v>4.5</v>
      </c>
      <c r="N21" s="11">
        <v>4.8</v>
      </c>
      <c r="O21" s="11">
        <v>8.8000000000000007</v>
      </c>
      <c r="P21" s="11">
        <v>20.85</v>
      </c>
      <c r="Q21" s="11">
        <v>23.7</v>
      </c>
      <c r="R21" s="11">
        <v>19.899999999999999</v>
      </c>
      <c r="S21" s="11">
        <v>29.77</v>
      </c>
      <c r="T21" s="11">
        <v>37.22</v>
      </c>
      <c r="U21" s="11">
        <v>45.09</v>
      </c>
      <c r="V21" s="11"/>
    </row>
    <row r="22" spans="1:22">
      <c r="A22" s="11" t="s">
        <v>26</v>
      </c>
      <c r="B22" s="11">
        <v>4</v>
      </c>
      <c r="C22" s="11">
        <v>3.9</v>
      </c>
      <c r="D22" s="11">
        <v>3.52</v>
      </c>
      <c r="E22" s="11">
        <v>2.2000000000000002</v>
      </c>
      <c r="F22" s="11">
        <v>5.52</v>
      </c>
      <c r="G22" s="11">
        <v>6.99</v>
      </c>
      <c r="H22" s="11">
        <v>3.46</v>
      </c>
      <c r="I22" s="11">
        <v>10.18</v>
      </c>
      <c r="J22" s="11">
        <v>10.83</v>
      </c>
      <c r="K22" s="11">
        <v>3.75</v>
      </c>
      <c r="L22" s="11">
        <v>4.4000000000000004</v>
      </c>
      <c r="M22" s="11">
        <v>5.7</v>
      </c>
      <c r="N22" s="11">
        <v>5.5</v>
      </c>
      <c r="O22" s="11">
        <v>5.0999999999999996</v>
      </c>
      <c r="P22" s="11">
        <v>44.22</v>
      </c>
      <c r="Q22" s="11">
        <v>41.66</v>
      </c>
      <c r="R22" s="11">
        <v>20.79</v>
      </c>
      <c r="S22" s="11">
        <v>7.49</v>
      </c>
      <c r="T22" s="11">
        <v>13.02</v>
      </c>
      <c r="U22" s="11">
        <v>21.43</v>
      </c>
      <c r="V22" s="11"/>
    </row>
    <row r="23" spans="1:22">
      <c r="A23" s="11" t="s">
        <v>27</v>
      </c>
      <c r="B23" s="11">
        <v>29</v>
      </c>
      <c r="C23" s="11">
        <v>27.2</v>
      </c>
      <c r="D23" s="11">
        <v>25.8</v>
      </c>
      <c r="E23" s="11">
        <v>21.57</v>
      </c>
      <c r="F23" s="11">
        <v>23.16</v>
      </c>
      <c r="G23" s="11">
        <v>27.09</v>
      </c>
      <c r="H23" s="11">
        <v>29.05</v>
      </c>
      <c r="I23" s="11">
        <v>33.909999999999997</v>
      </c>
      <c r="J23" s="11">
        <v>40.54</v>
      </c>
      <c r="K23" s="11">
        <v>37.11</v>
      </c>
      <c r="L23" s="11">
        <v>35</v>
      </c>
      <c r="M23" s="11">
        <v>39.4</v>
      </c>
      <c r="N23" s="11">
        <v>39.5</v>
      </c>
      <c r="O23" s="11">
        <v>43.1</v>
      </c>
      <c r="P23" s="11">
        <v>56.91</v>
      </c>
      <c r="Q23" s="11">
        <v>62.82</v>
      </c>
      <c r="R23" s="11">
        <v>58.64</v>
      </c>
      <c r="S23" s="11">
        <v>82.8</v>
      </c>
      <c r="T23" s="11">
        <v>103.69</v>
      </c>
      <c r="U23" s="11">
        <v>121.21</v>
      </c>
      <c r="V23" s="11"/>
    </row>
    <row r="24" spans="1:22">
      <c r="A24" s="11" t="s">
        <v>28</v>
      </c>
      <c r="B24" s="11">
        <v>5</v>
      </c>
      <c r="C24" s="11">
        <v>3.3</v>
      </c>
      <c r="D24" s="11">
        <v>10.11</v>
      </c>
      <c r="E24" s="11">
        <v>18.68</v>
      </c>
      <c r="F24" s="11">
        <v>28.89</v>
      </c>
      <c r="G24" s="11">
        <v>25.77</v>
      </c>
      <c r="H24" s="11">
        <v>29.59</v>
      </c>
      <c r="I24" s="11">
        <v>30.43</v>
      </c>
      <c r="J24" s="11">
        <v>14.07</v>
      </c>
      <c r="K24" s="11">
        <v>19.87</v>
      </c>
      <c r="L24" s="11">
        <v>25.6</v>
      </c>
      <c r="M24" s="11">
        <v>1.6</v>
      </c>
      <c r="N24" s="11">
        <v>2.4</v>
      </c>
      <c r="O24" s="11">
        <v>1.9</v>
      </c>
      <c r="P24" s="11">
        <v>5.71</v>
      </c>
      <c r="Q24" s="11">
        <v>22.89</v>
      </c>
      <c r="R24" s="11">
        <v>6.72</v>
      </c>
      <c r="S24" s="11">
        <v>27.52</v>
      </c>
      <c r="T24" s="11">
        <v>30.48</v>
      </c>
      <c r="U24" s="11">
        <v>31.72</v>
      </c>
      <c r="V24" s="11"/>
    </row>
    <row r="25" spans="1:22">
      <c r="A25" s="11" t="s">
        <v>29</v>
      </c>
      <c r="B25" s="11"/>
      <c r="C25" s="11"/>
      <c r="D25" s="11"/>
      <c r="E25" s="11"/>
      <c r="F25" s="11"/>
      <c r="G25" s="11">
        <v>0.01</v>
      </c>
      <c r="H25" s="11">
        <v>0.01</v>
      </c>
      <c r="I25" s="11"/>
      <c r="J25" s="11"/>
      <c r="K25" s="11">
        <v>0.04</v>
      </c>
      <c r="L25" s="11">
        <v>0.1</v>
      </c>
      <c r="M25" s="11">
        <v>0.3</v>
      </c>
      <c r="N25" s="11">
        <v>0.2</v>
      </c>
      <c r="O25" s="11">
        <v>0.2</v>
      </c>
      <c r="P25" s="11">
        <v>0.52</v>
      </c>
      <c r="Q25" s="11">
        <v>1.56</v>
      </c>
      <c r="R25" s="11">
        <v>2.2400000000000002</v>
      </c>
      <c r="S25" s="11">
        <v>2.08</v>
      </c>
      <c r="T25" s="11">
        <v>3.96</v>
      </c>
      <c r="U25" s="11">
        <v>13.42</v>
      </c>
      <c r="V25" s="11"/>
    </row>
    <row r="26" spans="1:22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</row>
    <row r="27" spans="1:22">
      <c r="A27" s="11" t="s">
        <v>30</v>
      </c>
      <c r="B27" s="11">
        <v>1</v>
      </c>
      <c r="C27" s="11">
        <v>0.6</v>
      </c>
      <c r="D27" s="11">
        <v>0.53</v>
      </c>
      <c r="E27" s="11">
        <v>7.15</v>
      </c>
      <c r="F27" s="11">
        <v>13.41</v>
      </c>
      <c r="G27" s="11">
        <v>8.49</v>
      </c>
      <c r="H27" s="11">
        <v>8.48</v>
      </c>
      <c r="I27" s="11">
        <v>8.76</v>
      </c>
      <c r="J27" s="11">
        <v>2.31</v>
      </c>
      <c r="K27" s="11">
        <v>2.06</v>
      </c>
      <c r="L27" s="11">
        <v>3.8</v>
      </c>
      <c r="M27" s="11">
        <v>2.1</v>
      </c>
      <c r="N27" s="11">
        <v>5.4</v>
      </c>
      <c r="O27" s="11">
        <v>10.8</v>
      </c>
      <c r="P27" s="11">
        <v>43.61</v>
      </c>
      <c r="Q27" s="11">
        <v>11.8</v>
      </c>
      <c r="R27" s="11">
        <v>13.23</v>
      </c>
      <c r="S27" s="11">
        <v>14.99</v>
      </c>
      <c r="T27" s="11">
        <v>19.29</v>
      </c>
      <c r="U27" s="11">
        <v>24.06</v>
      </c>
      <c r="V27" s="11"/>
    </row>
    <row r="28" spans="1:22">
      <c r="A28" s="11" t="s">
        <v>31</v>
      </c>
      <c r="B28" s="11">
        <v>1</v>
      </c>
      <c r="C28" s="11">
        <v>3.5</v>
      </c>
      <c r="D28" s="11">
        <v>3.98</v>
      </c>
      <c r="E28" s="11">
        <v>0.4</v>
      </c>
      <c r="F28" s="11">
        <v>0.93</v>
      </c>
      <c r="G28" s="11">
        <v>2.66</v>
      </c>
      <c r="H28" s="11">
        <v>98.11</v>
      </c>
      <c r="I28" s="11">
        <v>0.75</v>
      </c>
      <c r="J28" s="11">
        <v>1.77</v>
      </c>
      <c r="K28" s="11">
        <v>1.19</v>
      </c>
      <c r="L28" s="11">
        <v>1.9</v>
      </c>
      <c r="M28" s="11">
        <v>17.8</v>
      </c>
      <c r="N28" s="11">
        <v>44</v>
      </c>
      <c r="O28" s="11">
        <v>39.700000000000003</v>
      </c>
      <c r="P28" s="11">
        <v>46.75</v>
      </c>
      <c r="Q28" s="11">
        <v>46.63</v>
      </c>
      <c r="R28" s="11">
        <v>25.4</v>
      </c>
      <c r="S28" s="11">
        <v>66.23</v>
      </c>
      <c r="T28" s="11">
        <v>51.75</v>
      </c>
      <c r="U28" s="11">
        <v>81.09</v>
      </c>
      <c r="V28" s="11"/>
    </row>
    <row r="29" spans="1:22">
      <c r="A29" s="11" t="s">
        <v>32</v>
      </c>
      <c r="B29" s="11">
        <v>25</v>
      </c>
      <c r="C29" s="11">
        <v>4.4000000000000004</v>
      </c>
      <c r="D29" s="11">
        <v>7.97</v>
      </c>
      <c r="E29" s="11">
        <v>15.46</v>
      </c>
      <c r="F29" s="11">
        <v>1.42</v>
      </c>
      <c r="G29" s="11">
        <v>91.16</v>
      </c>
      <c r="H29" s="11">
        <v>113.77</v>
      </c>
      <c r="I29" s="11">
        <v>109</v>
      </c>
      <c r="J29" s="11">
        <v>151.32</v>
      </c>
      <c r="K29" s="11">
        <v>26.79</v>
      </c>
      <c r="L29" s="11">
        <v>25.2</v>
      </c>
      <c r="M29" s="11">
        <v>48.5</v>
      </c>
      <c r="N29" s="11">
        <v>18.8</v>
      </c>
      <c r="O29" s="11">
        <v>25.8</v>
      </c>
      <c r="P29" s="11">
        <v>1.05</v>
      </c>
      <c r="Q29" s="11">
        <v>0.36</v>
      </c>
      <c r="R29" s="11">
        <v>5.24</v>
      </c>
      <c r="S29" s="11">
        <v>5.97</v>
      </c>
      <c r="T29" s="11">
        <v>7.89</v>
      </c>
      <c r="U29" s="11">
        <v>11.97</v>
      </c>
      <c r="V29" s="11"/>
    </row>
    <row r="30" spans="1:22">
      <c r="A30" s="11" t="s">
        <v>33</v>
      </c>
      <c r="B30" s="11">
        <v>1</v>
      </c>
      <c r="C30" s="11">
        <v>0.1</v>
      </c>
      <c r="D30" s="11">
        <v>0.44</v>
      </c>
      <c r="E30" s="11">
        <v>1.31</v>
      </c>
      <c r="F30" s="11">
        <v>2.2400000000000002</v>
      </c>
      <c r="G30" s="11">
        <v>0.28999999999999998</v>
      </c>
      <c r="H30" s="11">
        <v>0.15</v>
      </c>
      <c r="I30" s="11">
        <v>1.21</v>
      </c>
      <c r="J30" s="11">
        <v>2.72</v>
      </c>
      <c r="K30" s="11">
        <v>8.11</v>
      </c>
      <c r="L30" s="11">
        <v>7.6</v>
      </c>
      <c r="M30" s="11">
        <v>1.5</v>
      </c>
      <c r="N30" s="11">
        <v>0.5</v>
      </c>
      <c r="O30" s="11">
        <v>50</v>
      </c>
      <c r="P30" s="11">
        <v>19.510000000000002</v>
      </c>
      <c r="Q30" s="11">
        <v>53.13</v>
      </c>
      <c r="R30" s="11">
        <v>28.7</v>
      </c>
      <c r="S30" s="11">
        <v>28.58</v>
      </c>
      <c r="T30" s="11">
        <v>49.44</v>
      </c>
      <c r="U30" s="11">
        <v>40.130000000000003</v>
      </c>
      <c r="V30" s="11"/>
    </row>
    <row r="31" spans="1:22">
      <c r="A31" s="11" t="s">
        <v>34</v>
      </c>
      <c r="B31" s="11"/>
      <c r="C31" s="11"/>
      <c r="D31" s="11"/>
      <c r="E31" s="11"/>
      <c r="F31" s="11"/>
      <c r="G31" s="11"/>
      <c r="H31" s="11"/>
      <c r="I31" s="11"/>
      <c r="J31" s="11">
        <v>0</v>
      </c>
      <c r="K31" s="11">
        <v>0</v>
      </c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</row>
    <row r="32" spans="1:2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</row>
    <row r="33" spans="1:22">
      <c r="A33" s="11" t="s">
        <v>35</v>
      </c>
      <c r="B33" s="11">
        <v>1</v>
      </c>
      <c r="C33" s="11">
        <v>0.4</v>
      </c>
      <c r="D33" s="11">
        <v>0.16</v>
      </c>
      <c r="E33" s="11">
        <v>0.27</v>
      </c>
      <c r="F33" s="11">
        <v>0.73</v>
      </c>
      <c r="G33" s="11">
        <v>4.26</v>
      </c>
      <c r="H33" s="11">
        <v>0.64</v>
      </c>
      <c r="I33" s="11">
        <v>0.34</v>
      </c>
      <c r="J33" s="11">
        <v>0.28999999999999998</v>
      </c>
      <c r="K33" s="11">
        <v>2.96</v>
      </c>
      <c r="L33" s="11">
        <v>1</v>
      </c>
      <c r="M33" s="11">
        <v>2.8</v>
      </c>
      <c r="N33" s="11">
        <v>4.9000000000000004</v>
      </c>
      <c r="O33" s="11">
        <v>10.8</v>
      </c>
      <c r="P33" s="11">
        <v>9.86</v>
      </c>
      <c r="Q33" s="11">
        <v>12.11</v>
      </c>
      <c r="R33" s="11">
        <v>11.9</v>
      </c>
      <c r="S33" s="11">
        <v>34.78</v>
      </c>
      <c r="T33" s="11">
        <v>33.1</v>
      </c>
      <c r="U33" s="11">
        <v>35.9</v>
      </c>
      <c r="V33" s="11"/>
    </row>
    <row r="34" spans="1:22">
      <c r="A34" s="11" t="s">
        <v>36</v>
      </c>
      <c r="B34" s="11">
        <v>1</v>
      </c>
      <c r="C34" s="11">
        <v>0.6</v>
      </c>
      <c r="D34" s="11">
        <v>0.61</v>
      </c>
      <c r="E34" s="11">
        <v>3.8</v>
      </c>
      <c r="F34" s="11">
        <v>1.01</v>
      </c>
      <c r="G34" s="11">
        <v>1.1200000000000001</v>
      </c>
      <c r="H34" s="11">
        <v>2.5</v>
      </c>
      <c r="I34" s="11">
        <v>2.95</v>
      </c>
      <c r="J34" s="11">
        <v>1.21</v>
      </c>
      <c r="K34" s="11">
        <v>8.99</v>
      </c>
      <c r="L34" s="11">
        <v>2.8</v>
      </c>
      <c r="M34" s="11">
        <v>16.100000000000001</v>
      </c>
      <c r="N34" s="11">
        <v>16.399999999999999</v>
      </c>
      <c r="O34" s="11">
        <v>13.8</v>
      </c>
      <c r="P34" s="11">
        <v>17.920000000000002</v>
      </c>
      <c r="Q34" s="11">
        <v>11.44</v>
      </c>
      <c r="R34" s="11">
        <v>13.78</v>
      </c>
      <c r="S34" s="11">
        <v>19.829999999999998</v>
      </c>
      <c r="T34" s="11">
        <v>18.420000000000002</v>
      </c>
      <c r="U34" s="11">
        <v>15.39</v>
      </c>
      <c r="V34" s="11"/>
    </row>
    <row r="35" spans="1:22">
      <c r="A35" s="11" t="s">
        <v>37</v>
      </c>
      <c r="B35" s="11"/>
      <c r="C35" s="11"/>
      <c r="D35" s="11"/>
      <c r="E35" s="11">
        <v>0.35</v>
      </c>
      <c r="F35" s="11">
        <v>2.4700000000000002</v>
      </c>
      <c r="G35" s="11">
        <v>0.33</v>
      </c>
      <c r="H35" s="11">
        <v>0.14000000000000001</v>
      </c>
      <c r="I35" s="11">
        <v>0.14000000000000001</v>
      </c>
      <c r="J35" s="11"/>
      <c r="K35" s="11">
        <v>0.02</v>
      </c>
      <c r="L35" s="11">
        <v>0</v>
      </c>
      <c r="M35" s="11">
        <v>0</v>
      </c>
      <c r="N35" s="11"/>
      <c r="O35" s="11">
        <v>0.2</v>
      </c>
      <c r="P35" s="11">
        <v>6.1</v>
      </c>
      <c r="Q35" s="11">
        <v>0.12</v>
      </c>
      <c r="R35" s="11">
        <v>8.1</v>
      </c>
      <c r="S35" s="11">
        <v>5</v>
      </c>
      <c r="T35" s="11">
        <v>11.85</v>
      </c>
      <c r="U35" s="11">
        <v>5.69</v>
      </c>
      <c r="V35" s="11"/>
    </row>
    <row r="36" spans="1:22">
      <c r="A36" s="11" t="s">
        <v>38</v>
      </c>
      <c r="B36" s="11"/>
      <c r="C36" s="11"/>
      <c r="D36" s="11">
        <v>0.04</v>
      </c>
      <c r="E36" s="11">
        <v>0.06</v>
      </c>
      <c r="F36" s="11">
        <v>0.03</v>
      </c>
      <c r="G36" s="11">
        <v>3</v>
      </c>
      <c r="H36" s="11"/>
      <c r="I36" s="11"/>
      <c r="J36" s="11">
        <v>1.25</v>
      </c>
      <c r="K36" s="11">
        <v>0.04</v>
      </c>
      <c r="L36" s="11">
        <v>0.1</v>
      </c>
      <c r="M36" s="11">
        <v>0.1</v>
      </c>
      <c r="N36" s="11">
        <v>0.1</v>
      </c>
      <c r="O36" s="11">
        <v>1.5</v>
      </c>
      <c r="P36" s="11">
        <v>0.64</v>
      </c>
      <c r="Q36" s="11">
        <v>0.8</v>
      </c>
      <c r="R36" s="11">
        <v>0.27</v>
      </c>
      <c r="S36" s="11">
        <v>2.13</v>
      </c>
      <c r="T36" s="11">
        <v>4.17</v>
      </c>
      <c r="U36" s="11">
        <v>13.27</v>
      </c>
      <c r="V36" s="11"/>
    </row>
    <row r="37" spans="1:22">
      <c r="A37" s="11" t="s">
        <v>39</v>
      </c>
      <c r="B37" s="11">
        <v>4</v>
      </c>
      <c r="C37" s="11">
        <v>3.6</v>
      </c>
      <c r="D37" s="11">
        <v>3.32</v>
      </c>
      <c r="E37" s="11">
        <v>3.74</v>
      </c>
      <c r="F37" s="11">
        <v>12.59</v>
      </c>
      <c r="G37" s="11">
        <v>2.97</v>
      </c>
      <c r="H37" s="11">
        <v>5.39</v>
      </c>
      <c r="I37" s="11">
        <v>3.53</v>
      </c>
      <c r="J37" s="11">
        <v>3.75</v>
      </c>
      <c r="K37" s="11">
        <v>2.98</v>
      </c>
      <c r="L37" s="11">
        <v>4.9000000000000004</v>
      </c>
      <c r="M37" s="11">
        <v>5</v>
      </c>
      <c r="N37" s="11">
        <v>7.8</v>
      </c>
      <c r="O37" s="11">
        <v>9.3000000000000007</v>
      </c>
      <c r="P37" s="11">
        <v>8.33</v>
      </c>
      <c r="Q37" s="11">
        <v>9.4</v>
      </c>
      <c r="R37" s="11">
        <v>9.2100000000000009</v>
      </c>
      <c r="S37" s="11">
        <v>37.44</v>
      </c>
      <c r="T37" s="11">
        <v>99.83</v>
      </c>
      <c r="U37" s="11">
        <v>150.6</v>
      </c>
      <c r="V37" s="11"/>
    </row>
    <row r="38" spans="1:22"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</row>
    <row r="39" spans="1:22"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</row>
  </sheetData>
  <phoneticPr fontId="6" type="noConversion"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683B0-9C73-CA41-9A72-D82A6F72C34F}">
  <dimension ref="A1:V46"/>
  <sheetViews>
    <sheetView workbookViewId="0">
      <selection activeCell="A2" sqref="A1:A1048576"/>
    </sheetView>
  </sheetViews>
  <sheetFormatPr baseColWidth="10" defaultRowHeight="16"/>
  <cols>
    <col min="1" max="1" width="16.5" style="10" customWidth="1"/>
    <col min="2" max="16384" width="10.83203125" style="10"/>
  </cols>
  <sheetData>
    <row r="1" spans="1:22" ht="17">
      <c r="A1" s="23" t="s">
        <v>40</v>
      </c>
      <c r="B1" s="21">
        <v>1997</v>
      </c>
      <c r="C1" s="21">
        <v>1998</v>
      </c>
      <c r="D1" s="21">
        <v>1999</v>
      </c>
      <c r="E1" s="21">
        <v>2000</v>
      </c>
      <c r="F1" s="21">
        <v>2001</v>
      </c>
      <c r="G1" s="21">
        <v>2002</v>
      </c>
      <c r="H1" s="21">
        <v>2003</v>
      </c>
      <c r="I1" s="21">
        <v>2004</v>
      </c>
      <c r="J1" s="21">
        <v>2005</v>
      </c>
      <c r="K1" s="21">
        <v>2006</v>
      </c>
      <c r="L1" s="21">
        <v>2007</v>
      </c>
      <c r="M1" s="21">
        <v>2008</v>
      </c>
      <c r="N1" s="21">
        <v>2009</v>
      </c>
      <c r="O1" s="21">
        <v>2010</v>
      </c>
      <c r="P1" s="21">
        <v>2011</v>
      </c>
      <c r="Q1" s="21">
        <v>2012</v>
      </c>
      <c r="R1" s="21">
        <v>2013</v>
      </c>
      <c r="S1" s="21">
        <v>2014</v>
      </c>
      <c r="T1" s="21">
        <v>2015</v>
      </c>
      <c r="U1" s="21">
        <v>2016</v>
      </c>
    </row>
    <row r="2" spans="1:22">
      <c r="A2" s="16" t="s">
        <v>9</v>
      </c>
      <c r="B2" s="11"/>
      <c r="C2" s="11"/>
      <c r="D2" s="11">
        <v>0.08</v>
      </c>
      <c r="E2" s="11"/>
      <c r="F2" s="11">
        <v>0.19</v>
      </c>
      <c r="G2" s="11">
        <v>0</v>
      </c>
      <c r="H2" s="11">
        <v>0</v>
      </c>
      <c r="I2" s="11">
        <v>0</v>
      </c>
      <c r="J2" s="11">
        <v>0.01</v>
      </c>
      <c r="K2" s="11">
        <v>0.42</v>
      </c>
      <c r="L2" s="11">
        <v>0.34</v>
      </c>
      <c r="M2" s="11">
        <v>0.42</v>
      </c>
      <c r="N2" s="11">
        <v>0.01</v>
      </c>
      <c r="O2" s="11">
        <v>0</v>
      </c>
      <c r="P2" s="11"/>
      <c r="Q2" s="11">
        <v>0</v>
      </c>
      <c r="R2" s="11">
        <v>0.63</v>
      </c>
      <c r="S2" s="11">
        <v>0.02</v>
      </c>
      <c r="T2" s="11">
        <v>0.04</v>
      </c>
      <c r="U2" s="11">
        <v>0.15</v>
      </c>
      <c r="V2" s="11"/>
    </row>
    <row r="3" spans="1:22">
      <c r="A3" s="11" t="s">
        <v>10</v>
      </c>
      <c r="B3" s="11"/>
      <c r="C3" s="11">
        <v>1.9</v>
      </c>
      <c r="D3" s="11">
        <v>2.04</v>
      </c>
      <c r="E3" s="11">
        <v>0.4</v>
      </c>
      <c r="F3" s="11">
        <v>3.58</v>
      </c>
      <c r="G3" s="11">
        <v>0.01</v>
      </c>
      <c r="H3" s="11">
        <v>0.01</v>
      </c>
      <c r="I3" s="11">
        <v>0</v>
      </c>
      <c r="J3" s="11">
        <v>0</v>
      </c>
      <c r="K3" s="11">
        <v>0</v>
      </c>
      <c r="L3" s="11">
        <v>0</v>
      </c>
      <c r="M3" s="11">
        <v>0</v>
      </c>
      <c r="N3" s="11">
        <v>0</v>
      </c>
      <c r="O3" s="11">
        <v>0</v>
      </c>
      <c r="P3" s="11"/>
      <c r="Q3" s="11">
        <v>0</v>
      </c>
      <c r="R3" s="11">
        <v>0</v>
      </c>
      <c r="S3" s="11"/>
      <c r="T3" s="11">
        <v>0.01</v>
      </c>
      <c r="U3" s="11">
        <v>0.03</v>
      </c>
      <c r="V3" s="11"/>
    </row>
    <row r="4" spans="1:22">
      <c r="A4" s="11" t="s">
        <v>11</v>
      </c>
      <c r="B4" s="11">
        <v>48</v>
      </c>
      <c r="C4" s="11">
        <v>62</v>
      </c>
      <c r="D4" s="11">
        <v>25.82</v>
      </c>
      <c r="E4" s="11">
        <v>20.52</v>
      </c>
      <c r="F4" s="11"/>
      <c r="G4" s="11">
        <v>0</v>
      </c>
      <c r="H4" s="11">
        <v>0.31</v>
      </c>
      <c r="I4" s="11">
        <v>0.3</v>
      </c>
      <c r="J4" s="11">
        <v>0.02</v>
      </c>
      <c r="K4" s="11">
        <v>0.01</v>
      </c>
      <c r="L4" s="11">
        <v>0.01</v>
      </c>
      <c r="M4" s="11">
        <v>0.1</v>
      </c>
      <c r="N4" s="11">
        <v>0.01</v>
      </c>
      <c r="O4" s="11">
        <v>0</v>
      </c>
      <c r="P4" s="11"/>
      <c r="Q4" s="11">
        <v>0.32</v>
      </c>
      <c r="R4" s="11">
        <v>0.31</v>
      </c>
      <c r="S4" s="11">
        <v>0.52</v>
      </c>
      <c r="T4" s="11">
        <v>0.82</v>
      </c>
      <c r="U4" s="11">
        <v>5.46</v>
      </c>
      <c r="V4" s="11"/>
    </row>
    <row r="5" spans="1:22">
      <c r="A5" s="11" t="s">
        <v>12</v>
      </c>
      <c r="B5" s="11">
        <v>12</v>
      </c>
      <c r="C5" s="11">
        <v>4.8</v>
      </c>
      <c r="D5" s="11">
        <v>5.54</v>
      </c>
      <c r="E5" s="11">
        <v>2</v>
      </c>
      <c r="F5" s="11">
        <v>1.21</v>
      </c>
      <c r="G5" s="11">
        <v>1.97</v>
      </c>
      <c r="H5" s="11">
        <v>1.1200000000000001</v>
      </c>
      <c r="I5" s="11">
        <v>0.78</v>
      </c>
      <c r="J5" s="11">
        <v>1.2</v>
      </c>
      <c r="K5" s="11">
        <v>0.12</v>
      </c>
      <c r="L5" s="11">
        <v>0.08</v>
      </c>
      <c r="M5" s="11">
        <v>0</v>
      </c>
      <c r="N5" s="11">
        <v>0</v>
      </c>
      <c r="O5" s="11">
        <v>7.0000000000000007E-2</v>
      </c>
      <c r="P5" s="11">
        <v>0.04</v>
      </c>
      <c r="Q5" s="11">
        <v>0.16</v>
      </c>
      <c r="R5" s="11">
        <v>0.2</v>
      </c>
      <c r="S5" s="11">
        <v>0.33</v>
      </c>
      <c r="T5" s="11">
        <v>0.48</v>
      </c>
      <c r="U5" s="11">
        <v>2</v>
      </c>
      <c r="V5" s="11"/>
    </row>
    <row r="6" spans="1:22">
      <c r="A6" s="11" t="s">
        <v>13</v>
      </c>
      <c r="B6" s="11">
        <v>23</v>
      </c>
      <c r="C6" s="11">
        <v>37.700000000000003</v>
      </c>
      <c r="D6" s="11">
        <v>8.5399999999999991</v>
      </c>
      <c r="E6" s="11">
        <v>11.15</v>
      </c>
      <c r="F6" s="11">
        <v>17.71</v>
      </c>
      <c r="G6" s="11">
        <v>16.87</v>
      </c>
      <c r="H6" s="11">
        <v>17.97</v>
      </c>
      <c r="I6" s="11">
        <v>21.54</v>
      </c>
      <c r="J6" s="11">
        <v>20.350000000000001</v>
      </c>
      <c r="K6" s="11">
        <v>12.77</v>
      </c>
      <c r="L6" s="11">
        <v>8.49</v>
      </c>
      <c r="M6" s="11">
        <v>0</v>
      </c>
      <c r="N6" s="11">
        <v>0.32</v>
      </c>
      <c r="O6" s="11">
        <v>1.94</v>
      </c>
      <c r="P6" s="11">
        <v>11.65</v>
      </c>
      <c r="Q6" s="11">
        <v>7.81</v>
      </c>
      <c r="R6" s="11">
        <v>31.9</v>
      </c>
      <c r="S6" s="11">
        <v>40.21</v>
      </c>
      <c r="T6" s="11">
        <v>16.350000000000001</v>
      </c>
      <c r="U6" s="11">
        <v>91.43</v>
      </c>
      <c r="V6" s="11"/>
    </row>
    <row r="7" spans="1:22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</row>
    <row r="8" spans="1:22">
      <c r="A8" s="11" t="s">
        <v>14</v>
      </c>
      <c r="B8" s="11">
        <v>82</v>
      </c>
      <c r="C8" s="11">
        <v>21.5</v>
      </c>
      <c r="D8" s="11">
        <v>29.48</v>
      </c>
      <c r="E8" s="11">
        <v>46.27</v>
      </c>
      <c r="F8" s="11">
        <v>24.01</v>
      </c>
      <c r="G8" s="11">
        <v>34.340000000000003</v>
      </c>
      <c r="H8" s="11">
        <v>29.06</v>
      </c>
      <c r="I8" s="11">
        <v>8.99</v>
      </c>
      <c r="J8" s="11">
        <v>10.44</v>
      </c>
      <c r="K8" s="11">
        <v>0.09</v>
      </c>
      <c r="L8" s="11">
        <v>0.04</v>
      </c>
      <c r="M8" s="11">
        <v>33.799999999999997</v>
      </c>
      <c r="N8" s="11">
        <v>0.24</v>
      </c>
      <c r="O8" s="11">
        <v>3.48</v>
      </c>
      <c r="P8" s="11">
        <v>0.09</v>
      </c>
      <c r="Q8" s="11">
        <v>0.35</v>
      </c>
      <c r="R8" s="11">
        <v>5.39</v>
      </c>
      <c r="S8" s="11">
        <v>16.41</v>
      </c>
      <c r="T8" s="11">
        <v>1.3</v>
      </c>
      <c r="U8" s="11">
        <v>6.97</v>
      </c>
      <c r="V8" s="11"/>
    </row>
    <row r="9" spans="1:22">
      <c r="A9" s="11" t="s">
        <v>15</v>
      </c>
      <c r="B9" s="11"/>
      <c r="C9" s="11">
        <v>0.2</v>
      </c>
      <c r="D9" s="11">
        <v>0.01</v>
      </c>
      <c r="E9" s="11"/>
      <c r="F9" s="11">
        <v>0.01</v>
      </c>
      <c r="G9" s="11">
        <v>7.0000000000000007E-2</v>
      </c>
      <c r="H9" s="11">
        <v>0</v>
      </c>
      <c r="I9" s="11"/>
      <c r="J9" s="11">
        <v>0</v>
      </c>
      <c r="K9" s="11">
        <v>0.08</v>
      </c>
      <c r="L9" s="11">
        <v>0.06</v>
      </c>
      <c r="M9" s="11">
        <v>7.0000000000000007E-2</v>
      </c>
      <c r="N9" s="11">
        <v>0.01</v>
      </c>
      <c r="O9" s="11">
        <v>0</v>
      </c>
      <c r="P9" s="11">
        <v>0.03</v>
      </c>
      <c r="Q9" s="11">
        <v>0.02</v>
      </c>
      <c r="R9" s="11">
        <v>0</v>
      </c>
      <c r="S9" s="11">
        <v>0.82</v>
      </c>
      <c r="T9" s="11">
        <v>0.61</v>
      </c>
      <c r="U9" s="11">
        <v>74.39</v>
      </c>
      <c r="V9" s="11"/>
    </row>
    <row r="10" spans="1:22">
      <c r="A10" s="11" t="s">
        <v>16</v>
      </c>
      <c r="B10" s="11"/>
      <c r="C10" s="11"/>
      <c r="D10" s="11">
        <v>0.69</v>
      </c>
      <c r="E10" s="11"/>
      <c r="F10" s="11">
        <v>1.63</v>
      </c>
      <c r="G10" s="11">
        <v>0.93</v>
      </c>
      <c r="H10" s="11">
        <v>0.1</v>
      </c>
      <c r="I10" s="11">
        <v>0.01</v>
      </c>
      <c r="J10" s="11">
        <v>0.11</v>
      </c>
      <c r="K10" s="11">
        <v>0.45</v>
      </c>
      <c r="L10" s="11">
        <v>0.13</v>
      </c>
      <c r="M10" s="11">
        <v>0.06</v>
      </c>
      <c r="N10" s="11">
        <v>0</v>
      </c>
      <c r="O10" s="11">
        <v>0.01</v>
      </c>
      <c r="P10" s="11">
        <v>0.73</v>
      </c>
      <c r="Q10" s="11">
        <v>0.14000000000000001</v>
      </c>
      <c r="R10" s="11">
        <v>0.56999999999999995</v>
      </c>
      <c r="S10" s="11">
        <v>0.53</v>
      </c>
      <c r="T10" s="11">
        <v>0.55000000000000004</v>
      </c>
      <c r="U10" s="11">
        <v>8.99</v>
      </c>
      <c r="V10" s="11"/>
    </row>
    <row r="11" spans="1:22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</row>
    <row r="12" spans="1:22">
      <c r="A12" s="11" t="s">
        <v>17</v>
      </c>
      <c r="B12" s="11"/>
      <c r="C12" s="11"/>
      <c r="D12" s="11">
        <v>0.03</v>
      </c>
      <c r="E12" s="11">
        <v>0.03</v>
      </c>
      <c r="F12" s="11">
        <v>0.02</v>
      </c>
      <c r="G12" s="11">
        <v>0.03</v>
      </c>
      <c r="H12" s="11">
        <v>0.01</v>
      </c>
      <c r="I12" s="11">
        <v>0.03</v>
      </c>
      <c r="J12" s="11">
        <v>0.01</v>
      </c>
      <c r="K12" s="11">
        <v>0.03</v>
      </c>
      <c r="L12" s="11">
        <v>0.05</v>
      </c>
      <c r="M12" s="11">
        <v>0.05</v>
      </c>
      <c r="N12" s="11">
        <v>0.04</v>
      </c>
      <c r="O12" s="11">
        <v>0.04</v>
      </c>
      <c r="P12" s="11">
        <v>0.34</v>
      </c>
      <c r="Q12" s="11">
        <v>0.14000000000000001</v>
      </c>
      <c r="R12" s="11">
        <v>0.39</v>
      </c>
      <c r="S12" s="11">
        <v>1.1299999999999999</v>
      </c>
      <c r="T12" s="11">
        <v>1.22</v>
      </c>
      <c r="U12" s="11">
        <v>1.19</v>
      </c>
      <c r="V12" s="11"/>
    </row>
    <row r="13" spans="1:22">
      <c r="A13" s="11" t="s">
        <v>18</v>
      </c>
      <c r="B13" s="11"/>
      <c r="C13" s="11">
        <v>3.8</v>
      </c>
      <c r="D13" s="11">
        <v>4.17</v>
      </c>
      <c r="E13" s="11">
        <v>3.87</v>
      </c>
      <c r="F13" s="11">
        <v>0.24</v>
      </c>
      <c r="G13" s="11">
        <v>0.09</v>
      </c>
      <c r="H13" s="11">
        <v>1.05</v>
      </c>
      <c r="I13" s="11">
        <v>1.64</v>
      </c>
      <c r="J13" s="11">
        <v>2.54</v>
      </c>
      <c r="K13" s="11">
        <v>0.15</v>
      </c>
      <c r="L13" s="11">
        <v>0.08</v>
      </c>
      <c r="M13" s="11">
        <v>0.09</v>
      </c>
      <c r="N13" s="11">
        <v>0.2</v>
      </c>
      <c r="O13" s="11">
        <v>0.54</v>
      </c>
      <c r="P13" s="11">
        <v>1.01</v>
      </c>
      <c r="Q13" s="11">
        <v>2.79</v>
      </c>
      <c r="R13" s="11">
        <v>3.76</v>
      </c>
      <c r="S13" s="11">
        <v>7.02</v>
      </c>
      <c r="T13" s="11">
        <v>11.08</v>
      </c>
      <c r="U13" s="11">
        <v>30.18</v>
      </c>
      <c r="V13" s="11"/>
    </row>
    <row r="14" spans="1:22">
      <c r="A14" s="11" t="s">
        <v>19</v>
      </c>
      <c r="B14" s="11"/>
      <c r="C14" s="11">
        <v>0.2</v>
      </c>
      <c r="D14" s="11">
        <v>0.1</v>
      </c>
      <c r="E14" s="11">
        <v>0.05</v>
      </c>
      <c r="F14" s="11">
        <v>0.18</v>
      </c>
      <c r="G14" s="11">
        <v>0.88</v>
      </c>
      <c r="H14" s="11">
        <v>0.66</v>
      </c>
      <c r="I14" s="11">
        <v>1.07</v>
      </c>
      <c r="J14" s="11">
        <v>2.34</v>
      </c>
      <c r="K14" s="11">
        <v>2.29</v>
      </c>
      <c r="L14" s="11">
        <v>1.62</v>
      </c>
      <c r="M14" s="11">
        <v>0.94</v>
      </c>
      <c r="N14" s="11">
        <v>1.21</v>
      </c>
      <c r="O14" s="11">
        <v>0.88</v>
      </c>
      <c r="P14" s="11">
        <v>1.31</v>
      </c>
      <c r="Q14" s="11">
        <v>1.97</v>
      </c>
      <c r="R14" s="11">
        <v>4.33</v>
      </c>
      <c r="S14" s="11">
        <v>11.39</v>
      </c>
      <c r="T14" s="11">
        <v>18.47</v>
      </c>
      <c r="U14" s="11">
        <v>13.46</v>
      </c>
      <c r="V14" s="11"/>
    </row>
    <row r="15" spans="1:22">
      <c r="A15" s="11" t="s">
        <v>20</v>
      </c>
      <c r="B15" s="11">
        <v>35</v>
      </c>
      <c r="C15" s="11">
        <v>4.5999999999999996</v>
      </c>
      <c r="D15" s="11">
        <v>1.44</v>
      </c>
      <c r="E15" s="11">
        <v>0.8</v>
      </c>
      <c r="F15" s="11">
        <v>5.63</v>
      </c>
      <c r="G15" s="11">
        <v>5.92</v>
      </c>
      <c r="H15" s="11">
        <v>5.6</v>
      </c>
      <c r="I15" s="11">
        <v>5.6</v>
      </c>
      <c r="J15" s="11">
        <v>0.03</v>
      </c>
      <c r="K15" s="11">
        <v>0.14000000000000001</v>
      </c>
      <c r="L15" s="11">
        <v>0.18</v>
      </c>
      <c r="M15" s="11">
        <v>0.02</v>
      </c>
      <c r="N15" s="11">
        <v>0.01</v>
      </c>
      <c r="O15" s="11">
        <v>0.12</v>
      </c>
      <c r="P15" s="11">
        <v>0.19</v>
      </c>
      <c r="Q15" s="11">
        <v>0.28999999999999998</v>
      </c>
      <c r="R15" s="11">
        <v>0.28000000000000003</v>
      </c>
      <c r="S15" s="11">
        <v>0.61</v>
      </c>
      <c r="T15" s="11">
        <v>2.23</v>
      </c>
      <c r="U15" s="11">
        <v>37.840000000000003</v>
      </c>
      <c r="V15" s="11"/>
    </row>
    <row r="16" spans="1:22">
      <c r="A16" s="11" t="s">
        <v>21</v>
      </c>
      <c r="B16" s="11"/>
      <c r="C16" s="11"/>
      <c r="D16" s="11">
        <v>0.01</v>
      </c>
      <c r="E16" s="11">
        <v>0.01</v>
      </c>
      <c r="F16" s="11">
        <v>0.01</v>
      </c>
      <c r="G16" s="11">
        <v>0.03</v>
      </c>
      <c r="H16" s="11">
        <v>0</v>
      </c>
      <c r="I16" s="11">
        <v>0.04</v>
      </c>
      <c r="J16" s="11">
        <v>1.05</v>
      </c>
      <c r="K16" s="11">
        <v>0.06</v>
      </c>
      <c r="L16" s="11">
        <v>0.49</v>
      </c>
      <c r="M16" s="11">
        <v>0.01</v>
      </c>
      <c r="N16" s="11">
        <v>0.03</v>
      </c>
      <c r="O16" s="11">
        <v>0.04</v>
      </c>
      <c r="P16" s="11">
        <v>0.27</v>
      </c>
      <c r="Q16" s="11">
        <v>0.17</v>
      </c>
      <c r="R16" s="11">
        <v>4.92</v>
      </c>
      <c r="S16" s="11">
        <v>5</v>
      </c>
      <c r="T16" s="11">
        <v>6.19</v>
      </c>
      <c r="U16" s="11">
        <v>14.11</v>
      </c>
      <c r="V16" s="11"/>
    </row>
    <row r="17" spans="1:22">
      <c r="A17" s="11" t="s">
        <v>22</v>
      </c>
      <c r="B17" s="11"/>
      <c r="C17" s="11"/>
      <c r="D17" s="11">
        <v>0.02</v>
      </c>
      <c r="E17" s="11">
        <v>0.86</v>
      </c>
      <c r="F17" s="11">
        <v>0.17</v>
      </c>
      <c r="G17" s="11">
        <v>0.2</v>
      </c>
      <c r="H17" s="11">
        <v>0.1</v>
      </c>
      <c r="I17" s="11">
        <v>0.01</v>
      </c>
      <c r="J17" s="11">
        <v>0.01</v>
      </c>
      <c r="K17" s="11">
        <v>0.2</v>
      </c>
      <c r="L17" s="11">
        <v>0.01</v>
      </c>
      <c r="M17" s="11">
        <v>0.02</v>
      </c>
      <c r="N17" s="11">
        <v>0.04</v>
      </c>
      <c r="O17" s="11">
        <v>0.09</v>
      </c>
      <c r="P17" s="11">
        <v>0.19</v>
      </c>
      <c r="Q17" s="11">
        <v>0.33</v>
      </c>
      <c r="R17" s="11">
        <v>1.2</v>
      </c>
      <c r="S17" s="11">
        <v>1.62</v>
      </c>
      <c r="T17" s="11">
        <v>3.37</v>
      </c>
      <c r="U17" s="11">
        <v>3.69</v>
      </c>
      <c r="V17" s="11"/>
    </row>
    <row r="18" spans="1:22">
      <c r="A18" s="11" t="s">
        <v>23</v>
      </c>
      <c r="B18" s="11">
        <v>27</v>
      </c>
      <c r="C18" s="11">
        <v>26.3</v>
      </c>
      <c r="D18" s="11">
        <v>27.43</v>
      </c>
      <c r="E18" s="11">
        <v>29.65</v>
      </c>
      <c r="F18" s="11">
        <v>29.74</v>
      </c>
      <c r="G18" s="11">
        <v>30.74</v>
      </c>
      <c r="H18" s="11">
        <v>29.79</v>
      </c>
      <c r="I18" s="11">
        <v>25.33</v>
      </c>
      <c r="J18" s="11">
        <v>38.53</v>
      </c>
      <c r="K18" s="11">
        <v>42.89</v>
      </c>
      <c r="L18" s="11">
        <v>0.16</v>
      </c>
      <c r="M18" s="11">
        <v>0.38</v>
      </c>
      <c r="N18" s="11">
        <v>0.03</v>
      </c>
      <c r="O18" s="11">
        <v>0.11</v>
      </c>
      <c r="P18" s="11">
        <v>0.26</v>
      </c>
      <c r="Q18" s="11">
        <v>6.29</v>
      </c>
      <c r="R18" s="11">
        <v>8.7899999999999991</v>
      </c>
      <c r="S18" s="11">
        <v>12.39</v>
      </c>
      <c r="T18" s="11">
        <v>43.22</v>
      </c>
      <c r="U18" s="11">
        <v>82.59</v>
      </c>
      <c r="V18" s="11"/>
    </row>
    <row r="19" spans="1:22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</row>
    <row r="20" spans="1:22">
      <c r="A20" s="11" t="s">
        <v>24</v>
      </c>
      <c r="B20" s="11">
        <v>1</v>
      </c>
      <c r="C20" s="11">
        <v>6.4</v>
      </c>
      <c r="D20" s="11">
        <v>3.07</v>
      </c>
      <c r="E20" s="11">
        <v>2.5099999999999998</v>
      </c>
      <c r="F20" s="11">
        <v>1.38</v>
      </c>
      <c r="G20" s="11">
        <v>2.2799999999999998</v>
      </c>
      <c r="H20" s="11">
        <v>1.33</v>
      </c>
      <c r="I20" s="11">
        <v>0.03</v>
      </c>
      <c r="J20" s="11">
        <v>0.08</v>
      </c>
      <c r="K20" s="11">
        <v>0.05</v>
      </c>
      <c r="L20" s="11">
        <v>1.9</v>
      </c>
      <c r="M20" s="11">
        <v>0.54</v>
      </c>
      <c r="N20" s="11">
        <v>0.15</v>
      </c>
      <c r="O20" s="11">
        <v>0.2</v>
      </c>
      <c r="P20" s="11">
        <v>1.37</v>
      </c>
      <c r="Q20" s="11">
        <v>0.42</v>
      </c>
      <c r="R20" s="11">
        <v>0.05</v>
      </c>
      <c r="S20" s="11">
        <v>0.54</v>
      </c>
      <c r="T20" s="11">
        <v>3.35</v>
      </c>
      <c r="U20" s="11">
        <v>1.83</v>
      </c>
      <c r="V20" s="11"/>
    </row>
    <row r="21" spans="1:22">
      <c r="A21" s="11" t="s">
        <v>25</v>
      </c>
      <c r="B21" s="11">
        <v>9</v>
      </c>
      <c r="C21" s="11">
        <v>3.7</v>
      </c>
      <c r="D21" s="11">
        <v>2.06</v>
      </c>
      <c r="E21" s="11">
        <v>1.37</v>
      </c>
      <c r="F21" s="11">
        <v>2.2799999999999998</v>
      </c>
      <c r="G21" s="11">
        <v>0.92</v>
      </c>
      <c r="H21" s="11">
        <v>0.1</v>
      </c>
      <c r="I21" s="11">
        <v>0.01</v>
      </c>
      <c r="J21" s="11">
        <v>0.01</v>
      </c>
      <c r="K21" s="11">
        <v>0</v>
      </c>
      <c r="L21" s="11">
        <v>0</v>
      </c>
      <c r="M21" s="11">
        <v>10</v>
      </c>
      <c r="N21" s="11">
        <v>10</v>
      </c>
      <c r="O21" s="11">
        <v>0.49</v>
      </c>
      <c r="P21" s="11">
        <v>0.32</v>
      </c>
      <c r="Q21" s="11">
        <v>0.41</v>
      </c>
      <c r="R21" s="11">
        <v>9.94</v>
      </c>
      <c r="S21" s="11">
        <v>6.2</v>
      </c>
      <c r="T21" s="11">
        <v>1.57</v>
      </c>
      <c r="U21" s="11">
        <v>2.11</v>
      </c>
      <c r="V21" s="11"/>
    </row>
    <row r="22" spans="1:22">
      <c r="A22" s="11" t="s">
        <v>26</v>
      </c>
      <c r="B22" s="11">
        <v>7</v>
      </c>
      <c r="C22" s="11">
        <v>8.6</v>
      </c>
      <c r="D22" s="11">
        <v>14.06</v>
      </c>
      <c r="E22" s="11">
        <v>15.18</v>
      </c>
      <c r="F22" s="11">
        <v>20.72</v>
      </c>
      <c r="G22" s="11">
        <v>13.73</v>
      </c>
      <c r="H22" s="11">
        <v>19.25</v>
      </c>
      <c r="I22" s="11">
        <v>8.35</v>
      </c>
      <c r="J22" s="11">
        <v>3.55</v>
      </c>
      <c r="K22" s="11">
        <v>9.42</v>
      </c>
      <c r="L22" s="11">
        <v>0.91</v>
      </c>
      <c r="M22" s="11">
        <v>3.84</v>
      </c>
      <c r="N22" s="11">
        <v>2.59</v>
      </c>
      <c r="O22" s="11">
        <v>2.95</v>
      </c>
      <c r="P22" s="11">
        <v>23.15</v>
      </c>
      <c r="Q22" s="11">
        <v>21.37</v>
      </c>
      <c r="R22" s="11">
        <v>29.07</v>
      </c>
      <c r="S22" s="11">
        <v>22.74</v>
      </c>
      <c r="T22" s="11">
        <v>26.17</v>
      </c>
      <c r="U22" s="11">
        <v>43.17</v>
      </c>
      <c r="V22" s="11"/>
    </row>
    <row r="23" spans="1:22">
      <c r="A23" s="11" t="s">
        <v>27</v>
      </c>
      <c r="B23" s="11">
        <v>8</v>
      </c>
      <c r="C23" s="11">
        <v>1.6</v>
      </c>
      <c r="D23" s="11">
        <v>3.65</v>
      </c>
      <c r="E23" s="11">
        <v>0.26</v>
      </c>
      <c r="F23" s="11">
        <v>0.09</v>
      </c>
      <c r="G23" s="11">
        <v>0.16</v>
      </c>
      <c r="H23" s="11">
        <v>0.14000000000000001</v>
      </c>
      <c r="I23" s="11">
        <v>0.08</v>
      </c>
      <c r="J23" s="11">
        <v>0.1</v>
      </c>
      <c r="K23" s="11">
        <v>1.41</v>
      </c>
      <c r="L23" s="11">
        <v>3.35</v>
      </c>
      <c r="M23" s="11">
        <v>0.03</v>
      </c>
      <c r="N23" s="11">
        <v>0.03</v>
      </c>
      <c r="O23" s="11">
        <v>0.17</v>
      </c>
      <c r="P23" s="11">
        <v>0.46</v>
      </c>
      <c r="Q23" s="11">
        <v>0.4</v>
      </c>
      <c r="R23" s="11">
        <v>0.59</v>
      </c>
      <c r="S23" s="11">
        <v>1.29</v>
      </c>
      <c r="T23" s="11">
        <v>4.53</v>
      </c>
      <c r="U23" s="11">
        <v>1.79</v>
      </c>
      <c r="V23" s="11"/>
    </row>
    <row r="24" spans="1:22">
      <c r="A24" s="11" t="s">
        <v>28</v>
      </c>
      <c r="B24" s="11">
        <v>4</v>
      </c>
      <c r="C24" s="11">
        <v>6</v>
      </c>
      <c r="D24" s="11">
        <v>2.15</v>
      </c>
      <c r="E24" s="11">
        <v>3.51</v>
      </c>
      <c r="F24" s="11">
        <v>8.61</v>
      </c>
      <c r="G24" s="11">
        <v>7.94</v>
      </c>
      <c r="H24" s="11">
        <v>9.99</v>
      </c>
      <c r="I24" s="11">
        <v>76.14</v>
      </c>
      <c r="J24" s="11">
        <v>28.99</v>
      </c>
      <c r="K24" s="11">
        <v>0.56000000000000005</v>
      </c>
      <c r="L24" s="11">
        <v>0.89</v>
      </c>
      <c r="M24" s="11">
        <v>0.39</v>
      </c>
      <c r="N24" s="11">
        <v>0.57999999999999996</v>
      </c>
      <c r="O24" s="11">
        <v>0.54</v>
      </c>
      <c r="P24" s="11">
        <v>7.44</v>
      </c>
      <c r="Q24" s="11">
        <v>7.61</v>
      </c>
      <c r="R24" s="11">
        <v>14.95</v>
      </c>
      <c r="S24" s="11">
        <v>9.24</v>
      </c>
      <c r="T24" s="11">
        <v>4.3099999999999996</v>
      </c>
      <c r="U24" s="11">
        <v>32.799999999999997</v>
      </c>
      <c r="V24" s="11"/>
    </row>
    <row r="25" spans="1:22">
      <c r="A25" s="11" t="s">
        <v>29</v>
      </c>
      <c r="B25" s="11"/>
      <c r="C25" s="11"/>
      <c r="D25" s="11"/>
      <c r="E25" s="11"/>
      <c r="F25" s="11">
        <v>0.01</v>
      </c>
      <c r="G25" s="11">
        <v>0</v>
      </c>
      <c r="H25" s="11">
        <v>0</v>
      </c>
      <c r="I25" s="11"/>
      <c r="J25" s="11">
        <v>1.1399999999999999</v>
      </c>
      <c r="K25" s="11">
        <v>1.1399999999999999</v>
      </c>
      <c r="L25" s="11">
        <v>1.05</v>
      </c>
      <c r="M25" s="11">
        <v>7.0000000000000007E-2</v>
      </c>
      <c r="N25" s="11">
        <v>0.04</v>
      </c>
      <c r="O25" s="11">
        <v>0</v>
      </c>
      <c r="P25" s="11">
        <v>7.0000000000000007E-2</v>
      </c>
      <c r="Q25" s="11">
        <v>0.03</v>
      </c>
      <c r="R25" s="11">
        <v>0.24</v>
      </c>
      <c r="S25" s="11">
        <v>0.19</v>
      </c>
      <c r="T25" s="11">
        <v>0.12</v>
      </c>
      <c r="U25" s="11">
        <v>1.29</v>
      </c>
      <c r="V25" s="11"/>
    </row>
    <row r="26" spans="1:22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</row>
    <row r="27" spans="1:22">
      <c r="A27" s="11" t="s">
        <v>30</v>
      </c>
      <c r="B27" s="11">
        <v>29</v>
      </c>
      <c r="C27" s="11">
        <v>25.4</v>
      </c>
      <c r="D27" s="11">
        <v>25.1</v>
      </c>
      <c r="E27" s="11">
        <v>9.2200000000000006</v>
      </c>
      <c r="F27" s="11">
        <v>6.44</v>
      </c>
      <c r="G27" s="11">
        <v>7.55</v>
      </c>
      <c r="H27" s="11">
        <v>13.22</v>
      </c>
      <c r="I27" s="11">
        <v>11.04</v>
      </c>
      <c r="J27" s="11">
        <v>0.06</v>
      </c>
      <c r="K27" s="11">
        <v>1.02</v>
      </c>
      <c r="L27" s="11">
        <v>0.48</v>
      </c>
      <c r="M27" s="11">
        <v>0.12</v>
      </c>
      <c r="N27" s="11">
        <v>0.18</v>
      </c>
      <c r="O27" s="11">
        <v>0.03</v>
      </c>
      <c r="P27" s="11">
        <v>0.51</v>
      </c>
      <c r="Q27" s="11">
        <v>0.05</v>
      </c>
      <c r="R27" s="11">
        <v>1.03</v>
      </c>
      <c r="S27" s="11">
        <v>1.04</v>
      </c>
      <c r="T27" s="11">
        <v>1.23</v>
      </c>
      <c r="U27" s="11">
        <v>1.91</v>
      </c>
      <c r="V27" s="11"/>
    </row>
    <row r="28" spans="1:22">
      <c r="A28" s="11" t="s">
        <v>31</v>
      </c>
      <c r="B28" s="11">
        <v>4</v>
      </c>
      <c r="C28" s="11">
        <v>18.8</v>
      </c>
      <c r="D28" s="11">
        <v>26.18</v>
      </c>
      <c r="E28" s="11">
        <v>0.27</v>
      </c>
      <c r="F28" s="11">
        <v>44.96</v>
      </c>
      <c r="G28" s="11">
        <v>85.76</v>
      </c>
      <c r="H28" s="11">
        <v>87.38</v>
      </c>
      <c r="I28" s="11">
        <v>3.24</v>
      </c>
      <c r="J28" s="11">
        <v>3.5</v>
      </c>
      <c r="K28" s="11">
        <v>5.15</v>
      </c>
      <c r="L28" s="11">
        <v>9.84</v>
      </c>
      <c r="M28" s="11">
        <v>4.76</v>
      </c>
      <c r="N28" s="11">
        <v>5.46</v>
      </c>
      <c r="O28" s="11">
        <v>28.06</v>
      </c>
      <c r="P28" s="11">
        <v>1.1200000000000001</v>
      </c>
      <c r="Q28" s="11">
        <v>0.9</v>
      </c>
      <c r="R28" s="11">
        <v>0.69</v>
      </c>
      <c r="S28" s="11">
        <v>1.42</v>
      </c>
      <c r="T28" s="11">
        <v>1.81</v>
      </c>
      <c r="U28" s="11">
        <v>22.59</v>
      </c>
      <c r="V28" s="11"/>
    </row>
    <row r="29" spans="1:22">
      <c r="A29" s="11" t="s">
        <v>32</v>
      </c>
      <c r="B29" s="11">
        <v>49</v>
      </c>
      <c r="C29" s="11">
        <v>47</v>
      </c>
      <c r="D29" s="11">
        <v>54.24</v>
      </c>
      <c r="E29" s="11">
        <v>43.88</v>
      </c>
      <c r="F29" s="11">
        <v>56.02</v>
      </c>
      <c r="G29" s="11">
        <v>101.67</v>
      </c>
      <c r="H29" s="11">
        <v>20.55</v>
      </c>
      <c r="I29" s="11">
        <v>30.9</v>
      </c>
      <c r="J29" s="11">
        <v>60.59</v>
      </c>
      <c r="K29" s="11">
        <v>46.67</v>
      </c>
      <c r="L29" s="11">
        <v>18.02</v>
      </c>
      <c r="M29" s="11">
        <v>5.63</v>
      </c>
      <c r="N29" s="11">
        <v>35.380000000000003</v>
      </c>
      <c r="O29" s="11">
        <v>36.47</v>
      </c>
      <c r="P29" s="11">
        <v>25.69</v>
      </c>
      <c r="Q29" s="11">
        <v>19.61</v>
      </c>
      <c r="R29" s="11">
        <v>3.8</v>
      </c>
      <c r="S29" s="11">
        <v>3.07</v>
      </c>
      <c r="T29" s="11">
        <v>0.5</v>
      </c>
      <c r="U29" s="11">
        <v>2.71</v>
      </c>
      <c r="V29" s="11"/>
    </row>
    <row r="30" spans="1:22">
      <c r="A30" s="11" t="s">
        <v>33</v>
      </c>
      <c r="B30" s="11">
        <v>63</v>
      </c>
      <c r="C30" s="11">
        <v>65.099999999999994</v>
      </c>
      <c r="D30" s="11">
        <v>77.97</v>
      </c>
      <c r="E30" s="11">
        <v>10.77</v>
      </c>
      <c r="F30" s="11">
        <v>29.62</v>
      </c>
      <c r="G30" s="11">
        <v>23.66</v>
      </c>
      <c r="H30" s="11">
        <v>33.74</v>
      </c>
      <c r="I30" s="11">
        <v>14.62</v>
      </c>
      <c r="J30" s="11">
        <v>26.35</v>
      </c>
      <c r="K30" s="11">
        <v>52.21</v>
      </c>
      <c r="L30" s="11">
        <v>14.44</v>
      </c>
      <c r="M30" s="11">
        <v>46.78</v>
      </c>
      <c r="N30" s="11">
        <v>43.51</v>
      </c>
      <c r="O30" s="11">
        <v>3.25</v>
      </c>
      <c r="P30" s="11">
        <v>27.05</v>
      </c>
      <c r="Q30" s="11">
        <v>76.47</v>
      </c>
      <c r="R30" s="11">
        <v>69.239999999999995</v>
      </c>
      <c r="S30" s="11">
        <v>79.930000000000007</v>
      </c>
      <c r="T30" s="11">
        <v>71.180000000000007</v>
      </c>
      <c r="U30" s="11">
        <v>59.89</v>
      </c>
      <c r="V30" s="11"/>
    </row>
    <row r="31" spans="1:22">
      <c r="A31" s="11" t="s">
        <v>34</v>
      </c>
      <c r="B31" s="11"/>
      <c r="C31" s="11"/>
      <c r="D31" s="11">
        <v>0.76</v>
      </c>
      <c r="E31" s="11"/>
      <c r="F31" s="11"/>
      <c r="G31" s="11"/>
      <c r="H31" s="11">
        <v>2</v>
      </c>
      <c r="I31" s="11"/>
      <c r="J31" s="11">
        <v>0</v>
      </c>
      <c r="K31" s="11">
        <v>0</v>
      </c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</row>
    <row r="32" spans="1:2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</row>
    <row r="33" spans="1:22">
      <c r="A33" s="11" t="s">
        <v>35</v>
      </c>
      <c r="B33" s="11"/>
      <c r="C33" s="11">
        <v>0.7</v>
      </c>
      <c r="D33" s="11">
        <v>4.46</v>
      </c>
      <c r="E33" s="11">
        <v>3.77</v>
      </c>
      <c r="F33" s="11">
        <v>6.21</v>
      </c>
      <c r="G33" s="11">
        <v>2.25</v>
      </c>
      <c r="H33" s="11">
        <v>2.87</v>
      </c>
      <c r="I33" s="11">
        <v>3.03</v>
      </c>
      <c r="J33" s="11">
        <v>2.67</v>
      </c>
      <c r="K33" s="11">
        <v>9</v>
      </c>
      <c r="L33" s="11">
        <v>4.7699999999999996</v>
      </c>
      <c r="M33" s="11">
        <v>3.21</v>
      </c>
      <c r="N33" s="11">
        <v>4.0199999999999996</v>
      </c>
      <c r="O33" s="11">
        <v>0.02</v>
      </c>
      <c r="P33" s="11">
        <v>6.06</v>
      </c>
      <c r="Q33" s="11">
        <v>7.63</v>
      </c>
      <c r="R33" s="11">
        <v>9.2100000000000009</v>
      </c>
      <c r="S33" s="11">
        <v>10.02</v>
      </c>
      <c r="T33" s="11">
        <v>15.21</v>
      </c>
      <c r="U33" s="11">
        <v>15.21</v>
      </c>
      <c r="V33" s="11"/>
    </row>
    <row r="34" spans="1:22">
      <c r="A34" s="11" t="s">
        <v>36</v>
      </c>
      <c r="B34" s="11">
        <v>8</v>
      </c>
      <c r="C34" s="11">
        <v>14.3</v>
      </c>
      <c r="D34" s="11">
        <v>7.63</v>
      </c>
      <c r="E34" s="11">
        <v>11.09</v>
      </c>
      <c r="F34" s="11">
        <v>10.85</v>
      </c>
      <c r="G34" s="11">
        <v>19.2</v>
      </c>
      <c r="H34" s="11">
        <v>36.17</v>
      </c>
      <c r="I34" s="11">
        <v>40.1</v>
      </c>
      <c r="J34" s="11">
        <v>11.77</v>
      </c>
      <c r="K34" s="11">
        <v>0.31</v>
      </c>
      <c r="L34" s="11">
        <v>0.05</v>
      </c>
      <c r="M34" s="11">
        <v>1.1499999999999999</v>
      </c>
      <c r="N34" s="11">
        <v>1.82</v>
      </c>
      <c r="O34" s="11">
        <v>8.6199999999999992</v>
      </c>
      <c r="P34" s="11">
        <v>8.06</v>
      </c>
      <c r="Q34" s="11">
        <v>10.07</v>
      </c>
      <c r="R34" s="11">
        <v>10.28</v>
      </c>
      <c r="S34" s="11">
        <v>6.37</v>
      </c>
      <c r="T34" s="11">
        <v>17.7</v>
      </c>
      <c r="U34" s="11">
        <v>39.29</v>
      </c>
      <c r="V34" s="11"/>
    </row>
    <row r="35" spans="1:22">
      <c r="A35" s="11" t="s">
        <v>37</v>
      </c>
      <c r="B35" s="11"/>
      <c r="C35" s="11"/>
      <c r="D35" s="11">
        <v>0.13</v>
      </c>
      <c r="E35" s="11">
        <v>0.15</v>
      </c>
      <c r="F35" s="11">
        <v>8.9700000000000006</v>
      </c>
      <c r="G35" s="11">
        <v>10.98</v>
      </c>
      <c r="H35" s="11">
        <v>73.31</v>
      </c>
      <c r="I35" s="11">
        <v>62.18</v>
      </c>
      <c r="J35" s="11">
        <v>76.64</v>
      </c>
      <c r="K35" s="11">
        <v>75.599999999999994</v>
      </c>
      <c r="L35" s="11">
        <v>75.87</v>
      </c>
      <c r="M35" s="11">
        <v>75.16</v>
      </c>
      <c r="N35" s="11">
        <v>74.75</v>
      </c>
      <c r="O35" s="11">
        <v>75.510000000000005</v>
      </c>
      <c r="P35" s="11">
        <v>298.06</v>
      </c>
      <c r="Q35" s="11">
        <v>347.51</v>
      </c>
      <c r="R35" s="11">
        <v>325.04000000000002</v>
      </c>
      <c r="S35" s="11">
        <v>176.81</v>
      </c>
      <c r="T35" s="11">
        <v>354.15</v>
      </c>
      <c r="U35" s="11">
        <v>424.25</v>
      </c>
      <c r="V35" s="11"/>
    </row>
    <row r="36" spans="1:22">
      <c r="A36" s="11" t="s">
        <v>38</v>
      </c>
      <c r="B36" s="11"/>
      <c r="C36" s="11"/>
      <c r="D36" s="11"/>
      <c r="E36" s="11"/>
      <c r="F36" s="11"/>
      <c r="G36" s="11">
        <v>0</v>
      </c>
      <c r="H36" s="11">
        <v>0</v>
      </c>
      <c r="I36" s="11">
        <v>0</v>
      </c>
      <c r="J36" s="11">
        <v>0</v>
      </c>
      <c r="K36" s="11">
        <v>0</v>
      </c>
      <c r="L36" s="11">
        <v>0</v>
      </c>
      <c r="M36" s="11">
        <v>0</v>
      </c>
      <c r="N36" s="11">
        <v>0</v>
      </c>
      <c r="O36" s="11">
        <v>0</v>
      </c>
      <c r="P36" s="11">
        <v>0.36</v>
      </c>
      <c r="Q36" s="11">
        <v>1.17</v>
      </c>
      <c r="R36" s="11">
        <v>0.89</v>
      </c>
      <c r="S36" s="11">
        <v>0.16</v>
      </c>
      <c r="T36" s="11">
        <v>0.5</v>
      </c>
      <c r="U36" s="11">
        <v>1.1399999999999999</v>
      </c>
      <c r="V36" s="11"/>
    </row>
    <row r="37" spans="1:22">
      <c r="A37" s="11" t="s">
        <v>39</v>
      </c>
      <c r="B37" s="11">
        <v>41</v>
      </c>
      <c r="C37" s="11">
        <v>26</v>
      </c>
      <c r="D37" s="11">
        <v>70.63</v>
      </c>
      <c r="E37" s="11">
        <v>57.95</v>
      </c>
      <c r="F37" s="11">
        <v>26.65</v>
      </c>
      <c r="G37" s="11">
        <v>14.58</v>
      </c>
      <c r="H37" s="11">
        <v>39.130000000000003</v>
      </c>
      <c r="I37" s="11">
        <v>28.22</v>
      </c>
      <c r="J37" s="11">
        <v>45.19</v>
      </c>
      <c r="K37" s="11">
        <v>4.59</v>
      </c>
      <c r="L37" s="11">
        <v>10.63</v>
      </c>
      <c r="M37" s="11">
        <v>8.57</v>
      </c>
      <c r="N37" s="11">
        <v>38.25</v>
      </c>
      <c r="O37" s="11">
        <v>2.68</v>
      </c>
      <c r="P37" s="11">
        <v>407.91</v>
      </c>
      <c r="Q37" s="11">
        <v>332.49</v>
      </c>
      <c r="R37" s="11">
        <v>273.20999999999998</v>
      </c>
      <c r="S37" s="11">
        <v>273.60000000000002</v>
      </c>
      <c r="T37" s="11">
        <v>202.04</v>
      </c>
      <c r="U37" s="11">
        <v>135.82</v>
      </c>
      <c r="V37" s="11"/>
    </row>
    <row r="38" spans="1:22"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</row>
    <row r="39" spans="1:22"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</row>
    <row r="40" spans="1:22"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</row>
    <row r="41" spans="1:22"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</row>
    <row r="42" spans="1:22"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</row>
    <row r="43" spans="1:22"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</row>
    <row r="44" spans="1:22"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</row>
    <row r="45" spans="1:22"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</row>
    <row r="46" spans="1:22"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</row>
  </sheetData>
  <phoneticPr fontId="6" type="noConversion"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2545D-6EEB-3044-9ABB-1337FEC8CCEC}">
  <dimension ref="A1:V37"/>
  <sheetViews>
    <sheetView workbookViewId="0">
      <selection activeCell="A2" sqref="A2"/>
    </sheetView>
  </sheetViews>
  <sheetFormatPr baseColWidth="10" defaultRowHeight="16"/>
  <cols>
    <col min="1" max="1" width="25.1640625" style="10" customWidth="1"/>
    <col min="2" max="16384" width="10.83203125" style="10"/>
  </cols>
  <sheetData>
    <row r="1" spans="1:22" ht="17">
      <c r="A1" s="19" t="s">
        <v>40</v>
      </c>
      <c r="B1" s="20">
        <v>1997</v>
      </c>
      <c r="C1" s="20">
        <v>1998</v>
      </c>
      <c r="D1" s="20">
        <v>1999</v>
      </c>
      <c r="E1" s="20">
        <v>2000</v>
      </c>
      <c r="F1" s="20">
        <v>2001</v>
      </c>
      <c r="G1" s="20">
        <v>2002</v>
      </c>
      <c r="H1" s="20">
        <v>2003</v>
      </c>
      <c r="I1" s="20">
        <v>2004</v>
      </c>
      <c r="J1" s="20">
        <v>2005</v>
      </c>
      <c r="K1" s="20">
        <v>2006</v>
      </c>
      <c r="L1" s="20">
        <v>2007</v>
      </c>
      <c r="M1" s="20">
        <v>2008</v>
      </c>
      <c r="N1" s="20">
        <v>2009</v>
      </c>
      <c r="O1" s="20">
        <v>2010</v>
      </c>
      <c r="P1" s="20">
        <v>2011</v>
      </c>
      <c r="Q1" s="20">
        <v>2012</v>
      </c>
      <c r="R1" s="20">
        <v>2013</v>
      </c>
      <c r="S1" s="20">
        <v>2014</v>
      </c>
      <c r="T1" s="20">
        <v>2015</v>
      </c>
      <c r="U1" s="20">
        <v>2016</v>
      </c>
    </row>
    <row r="2" spans="1:22">
      <c r="A2" s="16" t="s">
        <v>9</v>
      </c>
      <c r="B2" s="22">
        <v>245.22042285200183</v>
      </c>
      <c r="C2" s="22">
        <v>222.50000000000003</v>
      </c>
      <c r="D2" s="22">
        <v>171.7</v>
      </c>
      <c r="E2" s="22">
        <v>87.989999999999981</v>
      </c>
      <c r="F2" s="22">
        <v>55.09</v>
      </c>
      <c r="G2" s="22">
        <v>43.870000000000005</v>
      </c>
      <c r="H2" s="22">
        <v>120.19999999999999</v>
      </c>
      <c r="I2" s="22">
        <v>98.199999999999989</v>
      </c>
      <c r="J2" s="22">
        <v>18.400000000000034</v>
      </c>
      <c r="K2" s="22">
        <v>40.500000000000057</v>
      </c>
      <c r="L2" s="22">
        <v>25.680000000000064</v>
      </c>
      <c r="M2" s="22">
        <v>15.019999999999982</v>
      </c>
      <c r="N2" s="22">
        <v>11.710000000000036</v>
      </c>
      <c r="O2" s="22">
        <v>19.310000000000059</v>
      </c>
      <c r="P2" s="22">
        <v>11.149999999999977</v>
      </c>
      <c r="Q2" s="22">
        <v>15.17999999999995</v>
      </c>
      <c r="R2" s="22">
        <v>4.7300000000000182</v>
      </c>
      <c r="S2" s="22">
        <v>3.0099999999999909</v>
      </c>
      <c r="T2" s="22">
        <v>167.89999999999998</v>
      </c>
      <c r="U2" s="22">
        <v>1.3999999999999773</v>
      </c>
      <c r="V2" s="22"/>
    </row>
    <row r="3" spans="1:22">
      <c r="A3" s="11" t="s">
        <v>10</v>
      </c>
      <c r="B3" s="22">
        <v>96.764179104477606</v>
      </c>
      <c r="C3" s="22">
        <v>101.29999999999998</v>
      </c>
      <c r="D3" s="22">
        <v>92.100000000000009</v>
      </c>
      <c r="E3" s="22">
        <v>90</v>
      </c>
      <c r="F3" s="22">
        <v>96.399999999999991</v>
      </c>
      <c r="G3" s="22">
        <v>73.289999999999992</v>
      </c>
      <c r="H3" s="22">
        <v>67.700000000000017</v>
      </c>
      <c r="I3" s="22">
        <v>70.899999999999991</v>
      </c>
      <c r="J3" s="22">
        <v>28.200000000000017</v>
      </c>
      <c r="K3" s="22">
        <v>23.299999999999983</v>
      </c>
      <c r="L3" s="22">
        <v>11.039999999999992</v>
      </c>
      <c r="M3" s="22">
        <v>11.260000000000019</v>
      </c>
      <c r="N3" s="22">
        <v>10.719999999999999</v>
      </c>
      <c r="O3" s="22">
        <v>0</v>
      </c>
      <c r="P3" s="22">
        <v>0</v>
      </c>
      <c r="Q3" s="22">
        <v>0.36000000000001364</v>
      </c>
      <c r="R3" s="22">
        <v>6.3999999999999773</v>
      </c>
      <c r="S3" s="22">
        <v>7.1799999999999784</v>
      </c>
      <c r="T3" s="22">
        <v>17.5</v>
      </c>
      <c r="U3" s="22">
        <v>15.699999999999989</v>
      </c>
      <c r="V3" s="22"/>
    </row>
    <row r="4" spans="1:22">
      <c r="A4" s="11" t="s">
        <v>11</v>
      </c>
      <c r="B4" s="22">
        <v>198.95404904950601</v>
      </c>
      <c r="C4" s="22">
        <v>201.56</v>
      </c>
      <c r="D4" s="22">
        <v>175.40000000000003</v>
      </c>
      <c r="E4" s="22">
        <v>187.04000000000002</v>
      </c>
      <c r="F4" s="22">
        <v>406.74000000000007</v>
      </c>
      <c r="G4" s="22">
        <v>408.37000000000006</v>
      </c>
      <c r="H4" s="22">
        <v>420.70000000000005</v>
      </c>
      <c r="I4" s="22">
        <v>430.36</v>
      </c>
      <c r="J4" s="22">
        <v>368.8</v>
      </c>
      <c r="K4" s="22">
        <v>358.90000000000003</v>
      </c>
      <c r="L4" s="22">
        <v>320.08000000000004</v>
      </c>
      <c r="M4" s="22">
        <v>284.02</v>
      </c>
      <c r="N4" s="22">
        <v>278.02</v>
      </c>
      <c r="O4" s="22">
        <v>177.82</v>
      </c>
      <c r="P4" s="22">
        <v>160.41999999999996</v>
      </c>
      <c r="Q4" s="22">
        <v>107.45000000000005</v>
      </c>
      <c r="R4" s="22">
        <v>97.869999999999948</v>
      </c>
      <c r="S4" s="22">
        <v>82.220000000000027</v>
      </c>
      <c r="T4" s="22">
        <v>25.399999999999977</v>
      </c>
      <c r="U4" s="22">
        <v>16</v>
      </c>
      <c r="V4" s="22"/>
    </row>
    <row r="5" spans="1:22">
      <c r="A5" s="11" t="s">
        <v>12</v>
      </c>
      <c r="B5" s="22">
        <v>215.17890724724128</v>
      </c>
      <c r="C5" s="22">
        <v>218.94</v>
      </c>
      <c r="D5" s="22">
        <v>237.73</v>
      </c>
      <c r="E5" s="22">
        <v>475.1</v>
      </c>
      <c r="F5" s="22">
        <v>482.23</v>
      </c>
      <c r="G5" s="22">
        <v>374.32</v>
      </c>
      <c r="H5" s="22">
        <v>400.9</v>
      </c>
      <c r="I5" s="22">
        <v>505.4</v>
      </c>
      <c r="J5" s="22">
        <v>538.40000000000009</v>
      </c>
      <c r="K5" s="22">
        <v>360.40000000000003</v>
      </c>
      <c r="L5" s="22">
        <v>225.85</v>
      </c>
      <c r="M5" s="22">
        <v>186.01</v>
      </c>
      <c r="N5" s="22">
        <v>139</v>
      </c>
      <c r="O5" s="22">
        <v>95.450000000000045</v>
      </c>
      <c r="P5" s="22">
        <v>94.5</v>
      </c>
      <c r="Q5" s="22">
        <v>77.5</v>
      </c>
      <c r="R5" s="22">
        <v>47.730000000000018</v>
      </c>
      <c r="S5" s="22">
        <v>35.300000000000011</v>
      </c>
      <c r="T5" s="22">
        <v>12.699999999999989</v>
      </c>
      <c r="U5" s="22">
        <v>25.299999999999955</v>
      </c>
      <c r="V5" s="22"/>
    </row>
    <row r="6" spans="1:22">
      <c r="A6" s="11" t="s">
        <v>13</v>
      </c>
      <c r="B6" s="22">
        <v>162.46790280625515</v>
      </c>
      <c r="C6" s="22">
        <v>139.57</v>
      </c>
      <c r="D6" s="22">
        <v>132.28000000000003</v>
      </c>
      <c r="E6" s="22">
        <v>143.74</v>
      </c>
      <c r="F6" s="22">
        <v>228.47000000000003</v>
      </c>
      <c r="G6" s="22">
        <v>253.4</v>
      </c>
      <c r="H6" s="22">
        <v>265.09000000000003</v>
      </c>
      <c r="I6" s="22">
        <v>193.23</v>
      </c>
      <c r="J6" s="22">
        <v>188.6</v>
      </c>
      <c r="K6" s="22">
        <v>168.89999999999998</v>
      </c>
      <c r="L6" s="22">
        <v>161.05000000000001</v>
      </c>
      <c r="M6" s="22">
        <v>161.15</v>
      </c>
      <c r="N6" s="22">
        <v>102.59999999999997</v>
      </c>
      <c r="O6" s="22">
        <v>57.449999999999989</v>
      </c>
      <c r="P6" s="22">
        <v>56.19</v>
      </c>
      <c r="Q6" s="22">
        <v>33.890000000000043</v>
      </c>
      <c r="R6" s="22">
        <v>22.560000000000002</v>
      </c>
      <c r="S6" s="22">
        <v>12.75</v>
      </c>
      <c r="T6" s="22">
        <v>7.5</v>
      </c>
      <c r="U6" s="22">
        <v>3.9000000000000341</v>
      </c>
      <c r="V6" s="22"/>
    </row>
    <row r="7" spans="1:22">
      <c r="A7" s="11"/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</row>
    <row r="8" spans="1:22">
      <c r="A8" s="11" t="s">
        <v>14</v>
      </c>
      <c r="B8" s="22">
        <v>494.56442995324102</v>
      </c>
      <c r="C8" s="22">
        <v>516.78</v>
      </c>
      <c r="D8" s="22">
        <v>462.52</v>
      </c>
      <c r="E8" s="22">
        <v>449.65000000000003</v>
      </c>
      <c r="F8" s="22">
        <v>511.73</v>
      </c>
      <c r="G8" s="22">
        <v>480.34999999999997</v>
      </c>
      <c r="H8" s="22">
        <v>422.8</v>
      </c>
      <c r="I8" s="22">
        <v>393.9</v>
      </c>
      <c r="J8" s="22">
        <v>383.7</v>
      </c>
      <c r="K8" s="22">
        <v>343.9</v>
      </c>
      <c r="L8" s="22">
        <v>335.37</v>
      </c>
      <c r="M8" s="22">
        <v>320.45000000000005</v>
      </c>
      <c r="N8" s="22">
        <v>326.33999999999997</v>
      </c>
      <c r="O8" s="22">
        <v>243.79999999999995</v>
      </c>
      <c r="P8" s="22">
        <v>171.27999999999997</v>
      </c>
      <c r="Q8" s="22">
        <v>119.36000000000001</v>
      </c>
      <c r="R8" s="22">
        <v>114.89999999999998</v>
      </c>
      <c r="S8" s="22">
        <v>77.169999999999959</v>
      </c>
      <c r="T8" s="22">
        <v>44.5</v>
      </c>
      <c r="U8" s="22">
        <v>62.899999999999977</v>
      </c>
      <c r="V8" s="22"/>
    </row>
    <row r="9" spans="1:22">
      <c r="A9" s="11" t="s">
        <v>15</v>
      </c>
      <c r="B9" s="22">
        <v>408.40417438158227</v>
      </c>
      <c r="C9" s="22">
        <v>437.14000000000004</v>
      </c>
      <c r="D9" s="22">
        <v>364.27000000000004</v>
      </c>
      <c r="E9" s="22">
        <v>319.46999999999997</v>
      </c>
      <c r="F9" s="22">
        <v>298.96000000000004</v>
      </c>
      <c r="G9" s="22">
        <v>277.99999999999994</v>
      </c>
      <c r="H9" s="22">
        <v>296.48</v>
      </c>
      <c r="I9" s="22">
        <v>271.39999999999998</v>
      </c>
      <c r="J9" s="22">
        <v>347.2</v>
      </c>
      <c r="K9" s="22">
        <v>458.6</v>
      </c>
      <c r="L9" s="22">
        <v>351.27</v>
      </c>
      <c r="M9" s="22">
        <v>379.80999999999995</v>
      </c>
      <c r="N9" s="22">
        <v>321.14999999999998</v>
      </c>
      <c r="O9" s="22">
        <v>277.11</v>
      </c>
      <c r="P9" s="22">
        <v>250.38</v>
      </c>
      <c r="Q9" s="22">
        <v>275.67</v>
      </c>
      <c r="R9" s="22">
        <v>190.03000000000003</v>
      </c>
      <c r="S9" s="22">
        <v>192.20000000000005</v>
      </c>
      <c r="T9" s="22">
        <v>75.100000000000023</v>
      </c>
      <c r="U9" s="22">
        <v>73.200000000000045</v>
      </c>
      <c r="V9" s="22"/>
    </row>
    <row r="10" spans="1:22">
      <c r="A10" s="11" t="s">
        <v>16</v>
      </c>
      <c r="B10" s="22">
        <v>698.32404827871721</v>
      </c>
      <c r="C10" s="22">
        <v>652.44000000000005</v>
      </c>
      <c r="D10" s="22">
        <v>612.71</v>
      </c>
      <c r="E10" s="22">
        <v>552.3599999999999</v>
      </c>
      <c r="F10" s="22">
        <v>861.99999999999989</v>
      </c>
      <c r="G10" s="22">
        <v>755.38</v>
      </c>
      <c r="H10" s="22">
        <v>756.28000000000009</v>
      </c>
      <c r="I10" s="22">
        <v>784.52</v>
      </c>
      <c r="J10" s="22">
        <v>762.5</v>
      </c>
      <c r="K10" s="22">
        <v>761.6</v>
      </c>
      <c r="L10" s="22">
        <v>741.9</v>
      </c>
      <c r="M10" s="22">
        <v>661.19</v>
      </c>
      <c r="N10" s="22">
        <v>639.91999999999996</v>
      </c>
      <c r="O10" s="22">
        <v>466.61</v>
      </c>
      <c r="P10" s="22">
        <v>448.58</v>
      </c>
      <c r="Q10" s="22">
        <v>372.2</v>
      </c>
      <c r="R10" s="22">
        <v>265.24</v>
      </c>
      <c r="S10" s="22">
        <v>227.65999999999997</v>
      </c>
      <c r="T10" s="22">
        <v>113.80000000000001</v>
      </c>
      <c r="U10" s="22">
        <v>105</v>
      </c>
      <c r="V10" s="22"/>
    </row>
    <row r="11" spans="1:22">
      <c r="A11" s="11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</row>
    <row r="12" spans="1:22">
      <c r="A12" s="11" t="s">
        <v>17</v>
      </c>
      <c r="B12" s="22">
        <v>109.1051063829787</v>
      </c>
      <c r="C12" s="22">
        <v>113</v>
      </c>
      <c r="D12" s="22">
        <v>141.80000000000001</v>
      </c>
      <c r="E12" s="22">
        <v>143.11000000000001</v>
      </c>
      <c r="F12" s="22">
        <v>163.48000000000002</v>
      </c>
      <c r="G12" s="22">
        <v>348.26</v>
      </c>
      <c r="H12" s="22">
        <v>516</v>
      </c>
      <c r="I12" s="22">
        <v>486.44000000000005</v>
      </c>
      <c r="J12" s="22">
        <v>399.9</v>
      </c>
      <c r="K12" s="22">
        <v>277.09999999999997</v>
      </c>
      <c r="L12" s="22">
        <v>143.92999999999995</v>
      </c>
      <c r="M12" s="22">
        <v>173.20999999999998</v>
      </c>
      <c r="N12" s="22">
        <v>150.70000000000005</v>
      </c>
      <c r="O12" s="22">
        <v>132.77999999999997</v>
      </c>
      <c r="P12" s="22">
        <v>274.31</v>
      </c>
      <c r="Q12" s="22">
        <v>117.49000000000001</v>
      </c>
      <c r="R12" s="22">
        <v>69.25</v>
      </c>
      <c r="S12" s="22">
        <v>0</v>
      </c>
      <c r="T12" s="22">
        <v>0</v>
      </c>
      <c r="U12" s="22">
        <v>0</v>
      </c>
      <c r="V12" s="22"/>
    </row>
    <row r="13" spans="1:22">
      <c r="A13" s="11" t="s">
        <v>18</v>
      </c>
      <c r="B13" s="22">
        <v>27.773697219361509</v>
      </c>
      <c r="C13" s="22">
        <v>28.180000000000007</v>
      </c>
      <c r="D13" s="22">
        <v>25.45999999999998</v>
      </c>
      <c r="E13" s="22">
        <v>24.089999999999975</v>
      </c>
      <c r="F13" s="22">
        <v>77.779999999999973</v>
      </c>
      <c r="G13" s="22">
        <v>104.95000000000005</v>
      </c>
      <c r="H13" s="22">
        <v>79.519999999999982</v>
      </c>
      <c r="I13" s="22">
        <v>74</v>
      </c>
      <c r="J13" s="22">
        <v>142.69999999999993</v>
      </c>
      <c r="K13" s="22">
        <v>127.19999999999993</v>
      </c>
      <c r="L13" s="22">
        <v>117.57999999999993</v>
      </c>
      <c r="M13" s="22">
        <v>85.610000000000014</v>
      </c>
      <c r="N13" s="22">
        <v>86.389999999999986</v>
      </c>
      <c r="O13" s="22">
        <v>65.309999999999945</v>
      </c>
      <c r="P13" s="22">
        <v>69.759999999999991</v>
      </c>
      <c r="Q13" s="22">
        <v>49.210000000000036</v>
      </c>
      <c r="R13" s="22">
        <v>31.720000000000027</v>
      </c>
      <c r="S13" s="22">
        <v>25.590000000000146</v>
      </c>
      <c r="T13" s="22">
        <v>0</v>
      </c>
      <c r="U13" s="22">
        <v>1.0999999999999091</v>
      </c>
      <c r="V13" s="22"/>
    </row>
    <row r="14" spans="1:22">
      <c r="A14" s="11" t="s">
        <v>19</v>
      </c>
      <c r="B14" s="22">
        <v>65.238315988647116</v>
      </c>
      <c r="C14" s="22">
        <v>70.300000000000011</v>
      </c>
      <c r="D14" s="22">
        <v>64.889999999999986</v>
      </c>
      <c r="E14" s="22">
        <v>62.949999999999989</v>
      </c>
      <c r="F14" s="22">
        <v>50.569999999999993</v>
      </c>
      <c r="G14" s="22">
        <v>79.980000000000018</v>
      </c>
      <c r="H14" s="22">
        <v>102.21000000000004</v>
      </c>
      <c r="I14" s="22">
        <v>99.740000000000009</v>
      </c>
      <c r="J14" s="22">
        <v>134.20000000000005</v>
      </c>
      <c r="K14" s="22">
        <v>80.600000000000023</v>
      </c>
      <c r="L14" s="22">
        <v>97.649999999999977</v>
      </c>
      <c r="M14" s="22">
        <v>84.159999999999968</v>
      </c>
      <c r="N14" s="22">
        <v>22.240000000000009</v>
      </c>
      <c r="O14" s="22">
        <v>16.330000000000041</v>
      </c>
      <c r="P14" s="22">
        <v>36.350000000000023</v>
      </c>
      <c r="Q14" s="22">
        <v>10.910000000000082</v>
      </c>
      <c r="R14" s="22">
        <v>6.3199999999999363</v>
      </c>
      <c r="S14" s="22">
        <v>9.9999999999909051E-3</v>
      </c>
      <c r="T14" s="22">
        <v>10.399999999999864</v>
      </c>
      <c r="U14" s="22">
        <v>0.29999999999995453</v>
      </c>
      <c r="V14" s="22"/>
    </row>
    <row r="15" spans="1:22">
      <c r="A15" s="11" t="s">
        <v>20</v>
      </c>
      <c r="B15" s="22">
        <v>142.44733477965221</v>
      </c>
      <c r="C15" s="22">
        <v>149.46999999999997</v>
      </c>
      <c r="D15" s="22">
        <v>162.76</v>
      </c>
      <c r="E15" s="22">
        <v>162.84000000000003</v>
      </c>
      <c r="F15" s="22">
        <v>194.64000000000001</v>
      </c>
      <c r="G15" s="22">
        <v>218.27999999999997</v>
      </c>
      <c r="H15" s="22">
        <v>259.73</v>
      </c>
      <c r="I15" s="22">
        <v>347.65</v>
      </c>
      <c r="J15" s="22">
        <v>392.70000000000005</v>
      </c>
      <c r="K15" s="22">
        <v>277.8</v>
      </c>
      <c r="L15" s="22">
        <v>203.85000000000002</v>
      </c>
      <c r="M15" s="22">
        <v>196.57999999999998</v>
      </c>
      <c r="N15" s="22">
        <v>169.15999999999997</v>
      </c>
      <c r="O15" s="22">
        <v>154.25</v>
      </c>
      <c r="P15" s="22">
        <v>56.620000000000005</v>
      </c>
      <c r="Q15" s="22">
        <v>39.149999999999977</v>
      </c>
      <c r="R15" s="22">
        <v>5.3899999999999864</v>
      </c>
      <c r="S15" s="22">
        <v>2.3000000000000114</v>
      </c>
      <c r="T15" s="22">
        <v>2.1999999999999886</v>
      </c>
      <c r="U15" s="22">
        <v>0.39999999999997726</v>
      </c>
      <c r="V15" s="22"/>
    </row>
    <row r="16" spans="1:22">
      <c r="A16" s="11" t="s">
        <v>21</v>
      </c>
      <c r="B16" s="22">
        <v>81.69694748858447</v>
      </c>
      <c r="C16" s="22">
        <v>96.79</v>
      </c>
      <c r="D16" s="22">
        <v>68.259999999999991</v>
      </c>
      <c r="E16" s="22">
        <v>40.759999999999991</v>
      </c>
      <c r="F16" s="22">
        <v>56.449999999999989</v>
      </c>
      <c r="G16" s="22">
        <v>79.960000000000008</v>
      </c>
      <c r="H16" s="22">
        <v>61.809999999999974</v>
      </c>
      <c r="I16" s="22">
        <v>54.69</v>
      </c>
      <c r="J16" s="22">
        <v>42.600000000000023</v>
      </c>
      <c r="K16" s="22">
        <v>127.69999999999999</v>
      </c>
      <c r="L16" s="22">
        <v>69.13</v>
      </c>
      <c r="M16" s="22">
        <v>48.009999999999991</v>
      </c>
      <c r="N16" s="22">
        <v>29.299999999999955</v>
      </c>
      <c r="O16" s="22">
        <v>33.550000000000011</v>
      </c>
      <c r="P16" s="22">
        <v>23.629999999999995</v>
      </c>
      <c r="Q16" s="22">
        <v>17.699999999999989</v>
      </c>
      <c r="R16" s="22">
        <v>10.150000000000091</v>
      </c>
      <c r="S16" s="22">
        <v>12.830000000000041</v>
      </c>
      <c r="T16" s="22">
        <v>5</v>
      </c>
      <c r="U16" s="22">
        <v>10.299999999999955</v>
      </c>
      <c r="V16" s="22"/>
    </row>
    <row r="17" spans="1:22">
      <c r="A17" s="11" t="s">
        <v>22</v>
      </c>
      <c r="B17" s="22">
        <v>37.155067617408406</v>
      </c>
      <c r="C17" s="22">
        <v>34.390000000000015</v>
      </c>
      <c r="D17" s="22">
        <v>64.059999999999988</v>
      </c>
      <c r="E17" s="22">
        <v>74.67</v>
      </c>
      <c r="F17" s="22">
        <v>103.61999999999999</v>
      </c>
      <c r="G17" s="22">
        <v>98.2</v>
      </c>
      <c r="H17" s="22">
        <v>119.58999999999999</v>
      </c>
      <c r="I17" s="22">
        <v>132.6</v>
      </c>
      <c r="J17" s="22">
        <v>135.19999999999999</v>
      </c>
      <c r="K17" s="22">
        <v>132.6</v>
      </c>
      <c r="L17" s="22">
        <v>74.349999999999994</v>
      </c>
      <c r="M17" s="22">
        <v>50.56</v>
      </c>
      <c r="N17" s="22">
        <v>43.789999999999964</v>
      </c>
      <c r="O17" s="22">
        <v>40.080000000000013</v>
      </c>
      <c r="P17" s="22">
        <v>35.960000000000036</v>
      </c>
      <c r="Q17" s="22">
        <v>35.819999999999993</v>
      </c>
      <c r="R17" s="22">
        <v>22.779999999999973</v>
      </c>
      <c r="S17" s="22">
        <v>21.319999999999993</v>
      </c>
      <c r="T17" s="22">
        <v>18.300000000000011</v>
      </c>
      <c r="U17" s="22">
        <v>20.100000000000023</v>
      </c>
      <c r="V17" s="22"/>
    </row>
    <row r="18" spans="1:22">
      <c r="A18" s="11" t="s">
        <v>23</v>
      </c>
      <c r="B18" s="22">
        <v>71.424330272397583</v>
      </c>
      <c r="C18" s="22">
        <v>77.960000000000036</v>
      </c>
      <c r="D18" s="22">
        <v>89.810000000000059</v>
      </c>
      <c r="E18" s="22">
        <v>79.189999999999941</v>
      </c>
      <c r="F18" s="22">
        <v>190.12</v>
      </c>
      <c r="G18" s="22">
        <v>202.10000000000002</v>
      </c>
      <c r="H18" s="22">
        <v>162.49000000000012</v>
      </c>
      <c r="I18" s="22">
        <v>173.54999999999995</v>
      </c>
      <c r="J18" s="22">
        <v>436.9</v>
      </c>
      <c r="K18" s="22">
        <v>281.89999999999998</v>
      </c>
      <c r="L18" s="22">
        <v>182.27999999999997</v>
      </c>
      <c r="M18" s="22">
        <v>204.49</v>
      </c>
      <c r="N18" s="22">
        <v>90.700000000000045</v>
      </c>
      <c r="O18" s="22">
        <v>80.37</v>
      </c>
      <c r="P18" s="22">
        <v>71.610000000000014</v>
      </c>
      <c r="Q18" s="22">
        <v>20.6400000000001</v>
      </c>
      <c r="R18" s="22">
        <v>5.3700000000000045</v>
      </c>
      <c r="S18" s="22">
        <v>0</v>
      </c>
      <c r="T18" s="22">
        <v>0</v>
      </c>
      <c r="U18" s="22">
        <v>0</v>
      </c>
      <c r="V18" s="22"/>
    </row>
    <row r="19" spans="1:22">
      <c r="A19" s="11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</row>
    <row r="20" spans="1:22">
      <c r="A20" s="11" t="s">
        <v>24</v>
      </c>
      <c r="B20" s="22">
        <v>136.47714931945563</v>
      </c>
      <c r="C20" s="22">
        <v>142.71000000000004</v>
      </c>
      <c r="D20" s="22">
        <v>120.50000000000006</v>
      </c>
      <c r="E20" s="22">
        <v>113.53000000000003</v>
      </c>
      <c r="F20" s="22">
        <v>125.57</v>
      </c>
      <c r="G20" s="22">
        <v>168.88</v>
      </c>
      <c r="H20" s="22">
        <v>227.36000000000007</v>
      </c>
      <c r="I20" s="22">
        <v>304.63</v>
      </c>
      <c r="J20" s="22">
        <v>318.70000000000005</v>
      </c>
      <c r="K20" s="22">
        <v>388</v>
      </c>
      <c r="L20" s="22">
        <v>332.6</v>
      </c>
      <c r="M20" s="22">
        <v>247.62999999999994</v>
      </c>
      <c r="N20" s="22">
        <v>167.61</v>
      </c>
      <c r="O20" s="22">
        <v>120.94000000000005</v>
      </c>
      <c r="P20" s="22">
        <v>113.67999999999995</v>
      </c>
      <c r="Q20" s="22">
        <v>108.24000000000001</v>
      </c>
      <c r="R20" s="22">
        <v>80.279999999999973</v>
      </c>
      <c r="S20" s="22">
        <v>59.629999999999995</v>
      </c>
      <c r="T20" s="22">
        <v>35.699999999999932</v>
      </c>
      <c r="U20" s="22">
        <v>11.5</v>
      </c>
      <c r="V20" s="22"/>
    </row>
    <row r="21" spans="1:22">
      <c r="A21" s="11" t="s">
        <v>25</v>
      </c>
      <c r="B21" s="22">
        <v>260.78473239199627</v>
      </c>
      <c r="C21" s="22">
        <v>266.58999999999997</v>
      </c>
      <c r="D21" s="22">
        <v>166.65999999999997</v>
      </c>
      <c r="E21" s="22">
        <v>170.52000000000004</v>
      </c>
      <c r="F21" s="22">
        <v>263.56</v>
      </c>
      <c r="G21" s="22">
        <v>271.99</v>
      </c>
      <c r="H21" s="22">
        <v>302.73999999999995</v>
      </c>
      <c r="I21" s="22">
        <v>378.54999999999995</v>
      </c>
      <c r="J21" s="22">
        <v>344.80000000000007</v>
      </c>
      <c r="K21" s="22">
        <v>452.79999999999995</v>
      </c>
      <c r="L21" s="22">
        <v>391.28000000000003</v>
      </c>
      <c r="M21" s="22">
        <v>320.11</v>
      </c>
      <c r="N21" s="22">
        <v>301.83</v>
      </c>
      <c r="O21" s="22">
        <v>274.27</v>
      </c>
      <c r="P21" s="22">
        <v>287.01</v>
      </c>
      <c r="Q21" s="22">
        <v>204.18999999999994</v>
      </c>
      <c r="R21" s="22">
        <v>108.92000000000007</v>
      </c>
      <c r="S21" s="22">
        <v>72.740000000000009</v>
      </c>
      <c r="T21" s="22">
        <v>70.700000000000045</v>
      </c>
      <c r="U21" s="22">
        <v>37</v>
      </c>
      <c r="V21" s="22"/>
    </row>
    <row r="22" spans="1:22">
      <c r="A22" s="11" t="s">
        <v>26</v>
      </c>
      <c r="B22" s="22">
        <v>164.07972273567466</v>
      </c>
      <c r="C22" s="22">
        <v>169.04</v>
      </c>
      <c r="D22" s="22">
        <v>176.48999999999998</v>
      </c>
      <c r="E22" s="22">
        <v>171.54999999999998</v>
      </c>
      <c r="F22" s="22">
        <v>169.38</v>
      </c>
      <c r="G22" s="22">
        <v>207.17999999999998</v>
      </c>
      <c r="H22" s="22">
        <v>343.9</v>
      </c>
      <c r="I22" s="22">
        <v>329.9</v>
      </c>
      <c r="J22" s="22">
        <v>293.10000000000002</v>
      </c>
      <c r="K22" s="22">
        <v>262.7</v>
      </c>
      <c r="L22" s="22">
        <v>241.44</v>
      </c>
      <c r="M22" s="22">
        <v>219.70999999999998</v>
      </c>
      <c r="N22" s="22">
        <v>170.99</v>
      </c>
      <c r="O22" s="22">
        <v>106.13000000000005</v>
      </c>
      <c r="P22" s="22">
        <v>72.590000000000032</v>
      </c>
      <c r="Q22" s="22">
        <v>28.229999999999905</v>
      </c>
      <c r="R22" s="22">
        <v>24.489999999999895</v>
      </c>
      <c r="S22" s="22">
        <v>1.8199999999999363</v>
      </c>
      <c r="T22" s="22">
        <v>1.3000000000000682</v>
      </c>
      <c r="U22" s="22">
        <v>0.80000000000006821</v>
      </c>
      <c r="V22" s="22"/>
    </row>
    <row r="23" spans="1:22">
      <c r="A23" s="11" t="s">
        <v>27</v>
      </c>
      <c r="B23" s="22">
        <v>74.030121823307127</v>
      </c>
      <c r="C23" s="22">
        <v>85.490000000000009</v>
      </c>
      <c r="D23" s="22">
        <v>82.350000000000023</v>
      </c>
      <c r="E23" s="22">
        <v>83.3599999999999</v>
      </c>
      <c r="F23" s="22">
        <v>111.68999999999994</v>
      </c>
      <c r="G23" s="22">
        <v>429.67999999999995</v>
      </c>
      <c r="H23" s="22">
        <v>834.74</v>
      </c>
      <c r="I23" s="22">
        <v>803.63</v>
      </c>
      <c r="J23" s="22">
        <v>850.99999999999989</v>
      </c>
      <c r="K23" s="22">
        <v>726.6</v>
      </c>
      <c r="L23" s="22">
        <v>677.98</v>
      </c>
      <c r="M23" s="22">
        <v>675.08999999999992</v>
      </c>
      <c r="N23" s="22">
        <v>688.72</v>
      </c>
      <c r="O23" s="22">
        <v>540.54</v>
      </c>
      <c r="P23" s="22">
        <v>529.79</v>
      </c>
      <c r="Q23" s="22">
        <v>446.32000000000016</v>
      </c>
      <c r="R23" s="22">
        <v>321.79000000000019</v>
      </c>
      <c r="S23" s="22">
        <v>301.52999999999997</v>
      </c>
      <c r="T23" s="22">
        <v>195.80000000000018</v>
      </c>
      <c r="U23" s="22">
        <v>90.400000000000091</v>
      </c>
      <c r="V23" s="22"/>
    </row>
    <row r="24" spans="1:22">
      <c r="A24" s="11" t="s">
        <v>28</v>
      </c>
      <c r="B24" s="22">
        <v>44.323312651331719</v>
      </c>
      <c r="C24" s="22">
        <v>44.050000000000011</v>
      </c>
      <c r="D24" s="22">
        <v>53.339999999999989</v>
      </c>
      <c r="E24" s="22">
        <v>36.390000000000015</v>
      </c>
      <c r="F24" s="22">
        <v>57.52000000000001</v>
      </c>
      <c r="G24" s="22">
        <v>75.69</v>
      </c>
      <c r="H24" s="22">
        <v>88.9</v>
      </c>
      <c r="I24" s="22">
        <v>89.449999999999989</v>
      </c>
      <c r="J24" s="22">
        <v>79.099999999999994</v>
      </c>
      <c r="K24" s="22">
        <v>84.6</v>
      </c>
      <c r="L24" s="22">
        <v>77.930000000000007</v>
      </c>
      <c r="M24" s="22">
        <v>43.97999999999999</v>
      </c>
      <c r="N24" s="22">
        <v>32.859999999999985</v>
      </c>
      <c r="O24" s="22">
        <v>21.72</v>
      </c>
      <c r="P24" s="22">
        <v>11.539999999999992</v>
      </c>
      <c r="Q24" s="22">
        <v>5.3299999999999841</v>
      </c>
      <c r="R24" s="22">
        <v>10.769999999999982</v>
      </c>
      <c r="S24" s="22">
        <v>15.569999999999993</v>
      </c>
      <c r="T24" s="22">
        <v>5.1999999999999886</v>
      </c>
      <c r="U24" s="22">
        <v>4.3000000000000114</v>
      </c>
      <c r="V24" s="22"/>
    </row>
    <row r="25" spans="1:22">
      <c r="A25" s="11" t="s">
        <v>29</v>
      </c>
      <c r="B25" s="22">
        <v>13.367966171054434</v>
      </c>
      <c r="C25" s="22">
        <v>9.730000000000004</v>
      </c>
      <c r="D25" s="22">
        <v>15.100000000000001</v>
      </c>
      <c r="E25" s="22">
        <v>12.059999999999995</v>
      </c>
      <c r="F25" s="22">
        <v>13.5</v>
      </c>
      <c r="G25" s="22">
        <v>19.799999999999997</v>
      </c>
      <c r="H25" s="22">
        <v>22.900000000000006</v>
      </c>
      <c r="I25" s="22">
        <v>26.43</v>
      </c>
      <c r="J25" s="22">
        <v>25.1</v>
      </c>
      <c r="K25" s="22">
        <v>-2.3000000000000043</v>
      </c>
      <c r="L25" s="22">
        <v>33.31</v>
      </c>
      <c r="M25" s="22">
        <v>29.880000000000003</v>
      </c>
      <c r="N25" s="22">
        <v>31.08</v>
      </c>
      <c r="O25" s="22">
        <v>31.28</v>
      </c>
      <c r="P25" s="22">
        <v>9.8199999999999932</v>
      </c>
      <c r="Q25" s="22">
        <v>0.10000000000000853</v>
      </c>
      <c r="R25" s="22">
        <v>0.13000000000000966</v>
      </c>
      <c r="S25" s="22">
        <v>0.25</v>
      </c>
      <c r="T25" s="22">
        <v>0.29999999999998295</v>
      </c>
      <c r="U25" s="22">
        <v>9.9999999999994316E-2</v>
      </c>
      <c r="V25" s="22"/>
    </row>
    <row r="26" spans="1:22">
      <c r="A26" s="11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</row>
    <row r="27" spans="1:22">
      <c r="A27" s="11" t="s">
        <v>30</v>
      </c>
      <c r="B27" s="22">
        <v>46.972231509625118</v>
      </c>
      <c r="C27" s="22">
        <v>50.61999999999999</v>
      </c>
      <c r="D27" s="22">
        <v>26.889999999999986</v>
      </c>
      <c r="E27" s="22">
        <v>36.710000000000008</v>
      </c>
      <c r="F27" s="22">
        <v>149.6</v>
      </c>
      <c r="G27" s="22">
        <v>197.64</v>
      </c>
      <c r="H27" s="22">
        <v>183.82000000000002</v>
      </c>
      <c r="I27" s="22">
        <v>120.83999999999999</v>
      </c>
      <c r="J27" s="22">
        <v>107.4</v>
      </c>
      <c r="K27" s="22">
        <v>99.9</v>
      </c>
      <c r="L27" s="22">
        <v>35.430000000000007</v>
      </c>
      <c r="M27" s="22">
        <v>26.159999999999997</v>
      </c>
      <c r="N27" s="22">
        <v>9.25</v>
      </c>
      <c r="O27" s="22">
        <v>3.0200000000000102</v>
      </c>
      <c r="P27" s="22">
        <v>1.2800000000000296</v>
      </c>
      <c r="Q27" s="22">
        <v>2.4300000000000068</v>
      </c>
      <c r="R27" s="22">
        <v>1.9800000000000182</v>
      </c>
      <c r="S27" s="22">
        <v>3.1999999999999886</v>
      </c>
      <c r="T27" s="22">
        <v>6.1000000000000227</v>
      </c>
      <c r="U27" s="22">
        <v>0</v>
      </c>
      <c r="V27" s="22"/>
    </row>
    <row r="28" spans="1:22">
      <c r="A28" s="11" t="s">
        <v>31</v>
      </c>
      <c r="B28" s="22">
        <v>227.91109525508384</v>
      </c>
      <c r="C28" s="22">
        <v>228.4</v>
      </c>
      <c r="D28" s="22">
        <v>193.83000000000004</v>
      </c>
      <c r="E28" s="22">
        <v>206.91</v>
      </c>
      <c r="F28" s="22">
        <v>265</v>
      </c>
      <c r="G28" s="22">
        <v>265.02</v>
      </c>
      <c r="H28" s="22">
        <v>307.63</v>
      </c>
      <c r="I28" s="22">
        <v>320.14</v>
      </c>
      <c r="J28" s="22">
        <v>292.90000000000003</v>
      </c>
      <c r="K28" s="22">
        <v>209.60000000000002</v>
      </c>
      <c r="L28" s="22">
        <v>165.01</v>
      </c>
      <c r="M28" s="22">
        <v>106.71000000000004</v>
      </c>
      <c r="N28" s="22">
        <v>97.350000000000023</v>
      </c>
      <c r="O28" s="22">
        <v>86.220000000000027</v>
      </c>
      <c r="P28" s="22">
        <v>77.37</v>
      </c>
      <c r="Q28" s="22">
        <v>82.309999999999945</v>
      </c>
      <c r="R28" s="22">
        <v>37.669999999999959</v>
      </c>
      <c r="S28" s="22">
        <v>36.090000000000032</v>
      </c>
      <c r="T28" s="22">
        <v>26.5</v>
      </c>
      <c r="U28" s="22">
        <v>12.5</v>
      </c>
      <c r="V28" s="22"/>
    </row>
    <row r="29" spans="1:22">
      <c r="A29" s="11" t="s">
        <v>32</v>
      </c>
      <c r="B29" s="22">
        <v>66.326606026151211</v>
      </c>
      <c r="C29" s="22">
        <v>60.45</v>
      </c>
      <c r="D29" s="22">
        <v>64.739999999999995</v>
      </c>
      <c r="E29" s="22">
        <v>193.59</v>
      </c>
      <c r="F29" s="22">
        <v>125.3</v>
      </c>
      <c r="G29" s="22">
        <v>129.95999999999998</v>
      </c>
      <c r="H29" s="22">
        <v>138.30000000000001</v>
      </c>
      <c r="I29" s="22">
        <v>122</v>
      </c>
      <c r="J29" s="22">
        <v>74.400000000000006</v>
      </c>
      <c r="K29" s="22">
        <v>57.899999999999991</v>
      </c>
      <c r="L29" s="22">
        <v>53.050000000000011</v>
      </c>
      <c r="M29" s="22">
        <v>44.20999999999998</v>
      </c>
      <c r="N29" s="22">
        <v>38.25</v>
      </c>
      <c r="O29" s="22">
        <v>19.97</v>
      </c>
      <c r="P29" s="22">
        <v>24.97</v>
      </c>
      <c r="Q29" s="22">
        <v>19.050000000000011</v>
      </c>
      <c r="R29" s="22">
        <v>19.309999999999974</v>
      </c>
      <c r="S29" s="22">
        <v>18.45999999999998</v>
      </c>
      <c r="T29" s="22">
        <v>16.600000000000023</v>
      </c>
      <c r="U29" s="22">
        <v>15.699999999999989</v>
      </c>
      <c r="V29" s="22"/>
    </row>
    <row r="30" spans="1:22">
      <c r="A30" s="11" t="s">
        <v>33</v>
      </c>
      <c r="B30" s="22">
        <v>36.478917896678979</v>
      </c>
      <c r="C30" s="22">
        <v>39.690000000000012</v>
      </c>
      <c r="D30" s="22">
        <v>42.59</v>
      </c>
      <c r="E30" s="22">
        <v>38.44</v>
      </c>
      <c r="F30" s="22">
        <v>56.66</v>
      </c>
      <c r="G30" s="22">
        <v>44.449999999999989</v>
      </c>
      <c r="H30" s="22">
        <v>58.389999999999986</v>
      </c>
      <c r="I30" s="22">
        <v>49.169999999999987</v>
      </c>
      <c r="J30" s="22">
        <v>36.5</v>
      </c>
      <c r="K30" s="22">
        <v>143</v>
      </c>
      <c r="L30" s="22">
        <v>50.21999999999997</v>
      </c>
      <c r="M30" s="22">
        <v>56.859999999999985</v>
      </c>
      <c r="N30" s="22">
        <v>53.950000000000017</v>
      </c>
      <c r="O30" s="22">
        <v>31.100000000000023</v>
      </c>
      <c r="P30" s="22">
        <v>77.649999999999977</v>
      </c>
      <c r="Q30" s="22">
        <v>53.080000000000013</v>
      </c>
      <c r="R30" s="22">
        <v>40.129999999999995</v>
      </c>
      <c r="S30" s="22">
        <v>26.330000000000041</v>
      </c>
      <c r="T30" s="22">
        <v>36.899999999999977</v>
      </c>
      <c r="U30" s="22">
        <v>30.400000000000034</v>
      </c>
      <c r="V30" s="22"/>
    </row>
    <row r="31" spans="1:22">
      <c r="A31" s="11" t="s">
        <v>34</v>
      </c>
      <c r="B31" s="22">
        <v>20.66</v>
      </c>
      <c r="C31" s="22">
        <v>16.399999999999999</v>
      </c>
      <c r="D31" s="22">
        <v>29.1</v>
      </c>
      <c r="E31" s="22">
        <v>33.26</v>
      </c>
      <c r="F31" s="22">
        <v>20.100000000000001</v>
      </c>
      <c r="G31" s="22">
        <v>0</v>
      </c>
      <c r="H31" s="22">
        <v>38</v>
      </c>
      <c r="I31" s="22">
        <v>38</v>
      </c>
      <c r="J31" s="22">
        <v>44.5</v>
      </c>
      <c r="K31" s="22">
        <v>135.4</v>
      </c>
      <c r="L31" s="22">
        <v>7.2900000000000009</v>
      </c>
      <c r="M31" s="22">
        <v>23</v>
      </c>
      <c r="N31" s="22">
        <v>22.91</v>
      </c>
      <c r="O31" s="22">
        <v>16.3</v>
      </c>
      <c r="P31" s="22">
        <v>17.260000000000002</v>
      </c>
      <c r="Q31" s="22">
        <v>25.62</v>
      </c>
      <c r="R31" s="22">
        <v>24.11</v>
      </c>
      <c r="S31" s="22">
        <v>30.78</v>
      </c>
      <c r="T31" s="22">
        <v>32.9</v>
      </c>
      <c r="U31" s="22">
        <v>4.1000000000000014</v>
      </c>
      <c r="V31" s="22"/>
    </row>
    <row r="32" spans="1:22">
      <c r="A32" s="11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</row>
    <row r="33" spans="1:22">
      <c r="A33" s="11" t="s">
        <v>35</v>
      </c>
      <c r="B33" s="22">
        <v>98.633087266016361</v>
      </c>
      <c r="C33" s="22">
        <v>102.05000000000001</v>
      </c>
      <c r="D33" s="22">
        <v>109.42999999999999</v>
      </c>
      <c r="E33" s="22">
        <v>130.15</v>
      </c>
      <c r="F33" s="22">
        <v>81.949999999999989</v>
      </c>
      <c r="G33" s="22">
        <v>150.72999999999996</v>
      </c>
      <c r="H33" s="22">
        <v>215.54999999999998</v>
      </c>
      <c r="I33" s="22">
        <v>222.39999999999998</v>
      </c>
      <c r="J33" s="22">
        <v>223.2</v>
      </c>
      <c r="K33" s="22">
        <v>101</v>
      </c>
      <c r="L33" s="22">
        <v>158.72</v>
      </c>
      <c r="M33" s="22">
        <v>100.63</v>
      </c>
      <c r="N33" s="22">
        <v>109.85000000000002</v>
      </c>
      <c r="O33" s="22">
        <v>78.300000000000011</v>
      </c>
      <c r="P33" s="22">
        <v>41.659999999999968</v>
      </c>
      <c r="Q33" s="22">
        <v>49.860000000000014</v>
      </c>
      <c r="R33" s="22">
        <v>15.560000000000002</v>
      </c>
      <c r="S33" s="22">
        <v>21.879999999999939</v>
      </c>
      <c r="T33" s="22">
        <v>10.300000000000068</v>
      </c>
      <c r="U33" s="22">
        <v>7.7999999999999545</v>
      </c>
      <c r="V33" s="22"/>
    </row>
    <row r="34" spans="1:22">
      <c r="A34" s="11" t="s">
        <v>36</v>
      </c>
      <c r="B34" s="22">
        <v>111.26344812204479</v>
      </c>
      <c r="C34" s="22">
        <v>112.63000000000001</v>
      </c>
      <c r="D34" s="22">
        <v>112.97</v>
      </c>
      <c r="E34" s="22">
        <v>86.78</v>
      </c>
      <c r="F34" s="22">
        <v>149.18</v>
      </c>
      <c r="G34" s="22">
        <v>155.63</v>
      </c>
      <c r="H34" s="22">
        <v>179.14000000000001</v>
      </c>
      <c r="I34" s="22">
        <v>179.02000000000004</v>
      </c>
      <c r="J34" s="22">
        <v>246.5</v>
      </c>
      <c r="K34" s="22">
        <v>217.5</v>
      </c>
      <c r="L34" s="22">
        <v>191.52</v>
      </c>
      <c r="M34" s="22">
        <v>177.71</v>
      </c>
      <c r="N34" s="22">
        <v>178.26</v>
      </c>
      <c r="O34" s="22">
        <v>172.65</v>
      </c>
      <c r="P34" s="22">
        <v>161.01</v>
      </c>
      <c r="Q34" s="22">
        <v>157.79000000000002</v>
      </c>
      <c r="R34" s="22">
        <v>157.44999999999999</v>
      </c>
      <c r="S34" s="22">
        <v>94.62</v>
      </c>
      <c r="T34" s="22">
        <v>94</v>
      </c>
      <c r="U34" s="22">
        <v>70.099999999999994</v>
      </c>
      <c r="V34" s="22"/>
    </row>
    <row r="35" spans="1:22">
      <c r="A35" s="11" t="s">
        <v>37</v>
      </c>
      <c r="B35" s="22">
        <v>38.927435610302354</v>
      </c>
      <c r="C35" s="22">
        <v>50.599999999999994</v>
      </c>
      <c r="D35" s="22">
        <v>53.3</v>
      </c>
      <c r="E35" s="22">
        <v>52.5</v>
      </c>
      <c r="F35" s="22">
        <v>24.699999999999996</v>
      </c>
      <c r="G35" s="22">
        <v>27.9</v>
      </c>
      <c r="H35" s="22">
        <v>8</v>
      </c>
      <c r="I35" s="22">
        <v>2.6500000000000057</v>
      </c>
      <c r="J35" s="22">
        <v>0</v>
      </c>
      <c r="K35" s="22">
        <v>3.1999999999999957</v>
      </c>
      <c r="L35" s="22">
        <v>3.3099999999999952</v>
      </c>
      <c r="M35" s="22">
        <v>15.75</v>
      </c>
      <c r="N35" s="22">
        <v>30.479999999999997</v>
      </c>
      <c r="O35" s="22">
        <v>28.240000000000002</v>
      </c>
      <c r="P35" s="22">
        <v>8.75</v>
      </c>
      <c r="Q35" s="22">
        <v>7.1499999999999986</v>
      </c>
      <c r="R35" s="22">
        <v>16.420000000000002</v>
      </c>
      <c r="S35" s="22">
        <v>10.649999999999991</v>
      </c>
      <c r="T35" s="22">
        <v>10.5</v>
      </c>
      <c r="U35" s="22">
        <v>3.0999999999999943</v>
      </c>
      <c r="V35" s="22"/>
    </row>
    <row r="36" spans="1:22">
      <c r="A36" s="11" t="s">
        <v>38</v>
      </c>
      <c r="B36" s="22">
        <v>40.828827663761594</v>
      </c>
      <c r="C36" s="22">
        <v>42.39</v>
      </c>
      <c r="D36" s="22">
        <v>50.660000000000004</v>
      </c>
      <c r="E36" s="22">
        <v>47.3</v>
      </c>
      <c r="F36" s="22">
        <v>68.7</v>
      </c>
      <c r="G36" s="22">
        <v>76.900000000000006</v>
      </c>
      <c r="H36" s="22">
        <v>82.6</v>
      </c>
      <c r="I36" s="22">
        <v>95.700000000000017</v>
      </c>
      <c r="J36" s="22">
        <v>47.900000000000006</v>
      </c>
      <c r="K36" s="22">
        <v>43.4</v>
      </c>
      <c r="L36" s="22">
        <v>52.34</v>
      </c>
      <c r="M36" s="22">
        <v>41.69</v>
      </c>
      <c r="N36" s="22">
        <v>40.870000000000005</v>
      </c>
      <c r="O36" s="22">
        <v>6.8599999999999994</v>
      </c>
      <c r="P36" s="22">
        <v>39.820000000000007</v>
      </c>
      <c r="Q36" s="22">
        <v>34.13000000000001</v>
      </c>
      <c r="R36" s="22">
        <v>7.9500000000000028</v>
      </c>
      <c r="S36" s="22">
        <v>7.9899999999999949</v>
      </c>
      <c r="T36" s="22">
        <v>13.299999999999983</v>
      </c>
      <c r="U36" s="22">
        <v>2</v>
      </c>
      <c r="V36" s="22"/>
    </row>
    <row r="37" spans="1:22">
      <c r="A37" s="11" t="s">
        <v>39</v>
      </c>
      <c r="B37" s="22">
        <v>26.982351220263297</v>
      </c>
      <c r="C37" s="22">
        <v>29.119999999999976</v>
      </c>
      <c r="D37" s="22">
        <v>19.150000000000006</v>
      </c>
      <c r="E37" s="22">
        <v>259.24</v>
      </c>
      <c r="F37" s="22">
        <v>169.84000000000003</v>
      </c>
      <c r="G37" s="22">
        <v>225.39999999999998</v>
      </c>
      <c r="H37" s="22">
        <v>228.33999999999997</v>
      </c>
      <c r="I37" s="22">
        <v>221.5</v>
      </c>
      <c r="J37" s="22">
        <v>220.20000000000002</v>
      </c>
      <c r="K37" s="22">
        <v>224.39999999999998</v>
      </c>
      <c r="L37" s="22">
        <v>244.39999999999998</v>
      </c>
      <c r="M37" s="22">
        <v>140.44999999999999</v>
      </c>
      <c r="N37" s="22">
        <v>117.42000000000002</v>
      </c>
      <c r="O37" s="22">
        <v>89.22999999999999</v>
      </c>
      <c r="P37" s="22">
        <v>70.700000000000045</v>
      </c>
      <c r="Q37" s="22">
        <v>74.96999999999997</v>
      </c>
      <c r="R37" s="22">
        <v>77.199999999999989</v>
      </c>
      <c r="S37" s="22">
        <v>65.38</v>
      </c>
      <c r="T37" s="22">
        <v>72.600000000000023</v>
      </c>
      <c r="U37" s="22">
        <v>63.300000000000011</v>
      </c>
      <c r="V37" s="22"/>
    </row>
  </sheetData>
  <phoneticPr fontId="6" type="noConversion"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38B5C-8432-6648-BA3F-2F081FED86EB}">
  <dimension ref="A1:U37"/>
  <sheetViews>
    <sheetView workbookViewId="0">
      <selection activeCell="B1" sqref="B1"/>
    </sheetView>
  </sheetViews>
  <sheetFormatPr baseColWidth="10" defaultRowHeight="16"/>
  <cols>
    <col min="1" max="1" width="20.5" style="10" customWidth="1"/>
    <col min="2" max="16384" width="10.83203125" style="10"/>
  </cols>
  <sheetData>
    <row r="1" spans="1:21" ht="17">
      <c r="A1" s="19" t="s">
        <v>40</v>
      </c>
      <c r="B1" s="20">
        <v>1997</v>
      </c>
      <c r="C1" s="20">
        <v>1998</v>
      </c>
      <c r="D1" s="20">
        <v>1999</v>
      </c>
      <c r="E1" s="20">
        <v>2000</v>
      </c>
      <c r="F1" s="20">
        <v>2001</v>
      </c>
      <c r="G1" s="20">
        <v>2002</v>
      </c>
      <c r="H1" s="20">
        <v>2003</v>
      </c>
      <c r="I1" s="20">
        <v>2004</v>
      </c>
      <c r="J1" s="20">
        <v>2005</v>
      </c>
      <c r="K1" s="20">
        <v>2006</v>
      </c>
      <c r="L1" s="20">
        <v>2007</v>
      </c>
      <c r="M1" s="20">
        <v>2008</v>
      </c>
      <c r="N1" s="20">
        <v>2009</v>
      </c>
      <c r="O1" s="20">
        <v>2010</v>
      </c>
      <c r="P1" s="20">
        <v>2011</v>
      </c>
      <c r="Q1" s="20">
        <v>2012</v>
      </c>
      <c r="R1" s="20">
        <v>2013</v>
      </c>
      <c r="S1" s="20">
        <v>2014</v>
      </c>
      <c r="T1" s="20">
        <v>2015</v>
      </c>
      <c r="U1" s="20">
        <v>2016</v>
      </c>
    </row>
    <row r="2" spans="1:21">
      <c r="A2" s="12" t="s">
        <v>9</v>
      </c>
      <c r="B2" s="14">
        <v>2310.0551519999999</v>
      </c>
      <c r="C2" s="14">
        <v>2381.5959000000003</v>
      </c>
      <c r="D2" s="14">
        <v>2322.2881200000002</v>
      </c>
      <c r="E2" s="14">
        <v>2379.1323120000002</v>
      </c>
      <c r="F2" s="14">
        <v>2328.085368</v>
      </c>
      <c r="G2" s="14">
        <v>2175.0825000000004</v>
      </c>
      <c r="H2" s="14">
        <v>2335.75425</v>
      </c>
      <c r="I2" s="14">
        <v>2542.0238220000001</v>
      </c>
      <c r="J2" s="14">
        <v>2578.199631</v>
      </c>
      <c r="K2" s="14">
        <v>2521.3145490000002</v>
      </c>
      <c r="L2" s="14">
        <v>2479.8929755199997</v>
      </c>
      <c r="M2" s="14">
        <v>2188.9130719923</v>
      </c>
      <c r="N2" s="14">
        <v>2109.3052901991</v>
      </c>
      <c r="O2" s="14">
        <v>2096.0482332299998</v>
      </c>
      <c r="P2" s="14">
        <v>1722.0282224100001</v>
      </c>
      <c r="Q2" s="14">
        <v>1652.8038883518</v>
      </c>
      <c r="R2" s="14">
        <v>1443.1033950000001</v>
      </c>
      <c r="S2" s="14">
        <v>1241.0340628584001</v>
      </c>
      <c r="T2" s="14">
        <v>832.71549000000005</v>
      </c>
      <c r="U2" s="14">
        <v>605.65895999999998</v>
      </c>
    </row>
    <row r="3" spans="1:21">
      <c r="A3" s="11" t="s">
        <v>10</v>
      </c>
      <c r="B3" s="14">
        <v>1791.551046</v>
      </c>
      <c r="C3" s="14">
        <v>1790.3516880000002</v>
      </c>
      <c r="D3" s="14">
        <v>1773.1172100000003</v>
      </c>
      <c r="E3" s="14">
        <v>1906.0346520000003</v>
      </c>
      <c r="F3" s="14">
        <v>2007.2676780000002</v>
      </c>
      <c r="G3" s="14">
        <v>2237.3992860000003</v>
      </c>
      <c r="H3" s="14">
        <v>2428.3874100000003</v>
      </c>
      <c r="I3" s="14">
        <v>2825.1367560000003</v>
      </c>
      <c r="J3" s="14">
        <v>3035.6948992859998</v>
      </c>
      <c r="K3" s="14">
        <v>3246.6146872859999</v>
      </c>
      <c r="L3" s="14">
        <v>3453.4941600000002</v>
      </c>
      <c r="M3" s="14">
        <v>3536.4096330000002</v>
      </c>
      <c r="N3" s="14">
        <v>3786.4726049999999</v>
      </c>
      <c r="O3" s="14">
        <v>4078.4145567599999</v>
      </c>
      <c r="P3" s="14">
        <v>4447.83430632</v>
      </c>
      <c r="Q3" s="14">
        <v>4641.8356080000003</v>
      </c>
      <c r="R3" s="14">
        <v>4698.7072530000005</v>
      </c>
      <c r="S3" s="14">
        <v>4518.0805500000006</v>
      </c>
      <c r="T3" s="14">
        <v>4120.9021350000003</v>
      </c>
      <c r="U3" s="14">
        <v>3883.5167940000001</v>
      </c>
    </row>
    <row r="4" spans="1:21">
      <c r="A4" s="11" t="s">
        <v>11</v>
      </c>
      <c r="B4" s="14">
        <v>9271.9037160000007</v>
      </c>
      <c r="C4" s="14">
        <v>9208.8937860000005</v>
      </c>
      <c r="D4" s="14">
        <v>9449.4169739999998</v>
      </c>
      <c r="E4" s="14">
        <v>9846.4779900000012</v>
      </c>
      <c r="F4" s="14">
        <v>10350.541158</v>
      </c>
      <c r="G4" s="14">
        <v>11570.078328</v>
      </c>
      <c r="H4" s="14">
        <v>13124.976414000001</v>
      </c>
      <c r="I4" s="14">
        <v>15346.655244000001</v>
      </c>
      <c r="J4" s="14">
        <v>19125.503944200002</v>
      </c>
      <c r="K4" s="14">
        <v>20561.697695999999</v>
      </c>
      <c r="L4" s="14">
        <v>22610.327037769799</v>
      </c>
      <c r="M4" s="14">
        <v>23278.092422513808</v>
      </c>
      <c r="N4" s="14">
        <v>24971.499304860001</v>
      </c>
      <c r="O4" s="14">
        <v>26727.7293985223</v>
      </c>
      <c r="P4" s="14">
        <v>30154.195395488721</v>
      </c>
      <c r="Q4" s="14">
        <v>30561.709441174371</v>
      </c>
      <c r="R4" s="14">
        <v>30718.404051000005</v>
      </c>
      <c r="S4" s="14">
        <v>29063.421184972103</v>
      </c>
      <c r="T4" s="14">
        <v>28179.551289000003</v>
      </c>
      <c r="U4" s="14">
        <v>27924.282381000001</v>
      </c>
    </row>
    <row r="5" spans="1:21">
      <c r="A5" s="11" t="s">
        <v>12</v>
      </c>
      <c r="B5" s="14">
        <v>11757.057258000001</v>
      </c>
      <c r="C5" s="14">
        <v>12125.903262</v>
      </c>
      <c r="D5" s="14">
        <v>11022.219042000001</v>
      </c>
      <c r="E5" s="14">
        <v>11434.352208</v>
      </c>
      <c r="F5" s="14">
        <v>12720.035358000001</v>
      </c>
      <c r="G5" s="14">
        <v>15579.285312000002</v>
      </c>
      <c r="H5" s="14">
        <v>17641.629306000003</v>
      </c>
      <c r="I5" s="14">
        <v>18670.286634</v>
      </c>
      <c r="J5" s="14">
        <v>20559.354180000002</v>
      </c>
      <c r="K5" s="14">
        <v>22795.289442000001</v>
      </c>
      <c r="L5" s="14">
        <v>23658.881322000001</v>
      </c>
      <c r="M5" s="14">
        <v>22557.926217</v>
      </c>
      <c r="N5" s="14">
        <v>22198.998645</v>
      </c>
      <c r="O5" s="14">
        <v>23847.809238000002</v>
      </c>
      <c r="P5" s="14">
        <v>26399.175165000001</v>
      </c>
      <c r="Q5" s="14">
        <v>27534.286770000002</v>
      </c>
      <c r="R5" s="14">
        <v>28253.685219000006</v>
      </c>
      <c r="S5" s="14">
        <v>28964.109314999987</v>
      </c>
      <c r="T5" s="14">
        <v>28535.179260000001</v>
      </c>
      <c r="U5" s="14">
        <v>27579.336069000001</v>
      </c>
    </row>
    <row r="6" spans="1:21">
      <c r="A6" s="11" t="s">
        <v>13</v>
      </c>
      <c r="B6" s="14">
        <v>4460.2283820000002</v>
      </c>
      <c r="C6" s="14">
        <v>4047.5279519999999</v>
      </c>
      <c r="D6" s="14">
        <v>4214.3321940000005</v>
      </c>
      <c r="E6" s="14">
        <v>4498.361358000001</v>
      </c>
      <c r="F6" s="14">
        <v>4778.9531340000003</v>
      </c>
      <c r="G6" s="14">
        <v>5285.2788120000005</v>
      </c>
      <c r="H6" s="14">
        <v>6910.2455760000012</v>
      </c>
      <c r="I6" s="14">
        <v>8698.0410720000018</v>
      </c>
      <c r="J6" s="14">
        <v>10757.933796000001</v>
      </c>
      <c r="K6" s="14">
        <v>17228.500008000003</v>
      </c>
      <c r="L6" s="14">
        <v>14469.403437937503</v>
      </c>
      <c r="M6" s="14">
        <v>17228.500008000003</v>
      </c>
      <c r="N6" s="14">
        <v>18686.658558000003</v>
      </c>
      <c r="O6" s="14">
        <v>20665.329510876149</v>
      </c>
      <c r="P6" s="14">
        <v>26289.052142721721</v>
      </c>
      <c r="Q6" s="14">
        <v>27529.149944536202</v>
      </c>
      <c r="R6" s="14">
        <v>26689.450206000001</v>
      </c>
      <c r="S6" s="14">
        <v>27498.583694999998</v>
      </c>
      <c r="T6" s="14">
        <v>27560.682204000001</v>
      </c>
      <c r="U6" s="14">
        <v>27785.808636000002</v>
      </c>
    </row>
    <row r="7" spans="1:21">
      <c r="A7" s="11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</row>
    <row r="8" spans="1:21">
      <c r="A8" s="11" t="s">
        <v>14</v>
      </c>
      <c r="B8" s="14">
        <v>7300.9167240000006</v>
      </c>
      <c r="C8" s="14">
        <v>7067.3225640000001</v>
      </c>
      <c r="D8" s="14">
        <v>6897.9272099999998</v>
      </c>
      <c r="E8" s="14">
        <v>7697.4283680000008</v>
      </c>
      <c r="F8" s="14">
        <v>7361.1543960000008</v>
      </c>
      <c r="G8" s="14">
        <v>7699.2157320000006</v>
      </c>
      <c r="H8" s="14">
        <v>8565.9650280000005</v>
      </c>
      <c r="I8" s="14">
        <v>9329.8523280000009</v>
      </c>
      <c r="J8" s="14">
        <v>10736.592798</v>
      </c>
      <c r="K8" s="14">
        <v>11787.305809500003</v>
      </c>
      <c r="L8" s="14">
        <v>12742.150782000001</v>
      </c>
      <c r="M8" s="14">
        <v>13333.131786000002</v>
      </c>
      <c r="N8" s="14">
        <v>14167.276602000002</v>
      </c>
      <c r="O8" s="14">
        <v>15150.113181000001</v>
      </c>
      <c r="P8" s="14">
        <v>16185.196584000001</v>
      </c>
      <c r="Q8" s="14">
        <v>16357.468212</v>
      </c>
      <c r="R8" s="14">
        <v>16061.990145</v>
      </c>
      <c r="S8" s="14">
        <v>16061.668977000001</v>
      </c>
      <c r="T8" s="14">
        <v>15479.757732000002</v>
      </c>
      <c r="U8" s="14">
        <v>15010.343394000001</v>
      </c>
    </row>
    <row r="9" spans="1:21">
      <c r="A9" s="11" t="s">
        <v>15</v>
      </c>
      <c r="B9" s="14">
        <v>3737.3083500000002</v>
      </c>
      <c r="C9" s="14">
        <v>3155.147946</v>
      </c>
      <c r="D9" s="14">
        <v>3197.6711340000002</v>
      </c>
      <c r="E9" s="14">
        <v>3175.0181700000003</v>
      </c>
      <c r="F9" s="14">
        <v>3360.3754260000001</v>
      </c>
      <c r="G9" s="14">
        <v>3517.6348680000001</v>
      </c>
      <c r="H9" s="14">
        <v>3940.3277100000005</v>
      </c>
      <c r="I9" s="14">
        <v>4325.0647859999999</v>
      </c>
      <c r="J9" s="14">
        <v>4903.0004842830076</v>
      </c>
      <c r="K9" s="14">
        <v>5314.5922092006995</v>
      </c>
      <c r="L9" s="14">
        <v>5618.8525347399009</v>
      </c>
      <c r="M9" s="14">
        <v>6503.1701475333011</v>
      </c>
      <c r="N9" s="14">
        <v>6711.1957530000009</v>
      </c>
      <c r="O9" s="14">
        <v>7467.1825920000001</v>
      </c>
      <c r="P9" s="14">
        <v>8618.3399939999999</v>
      </c>
      <c r="Q9" s="14">
        <v>8567.5220399999998</v>
      </c>
      <c r="R9" s="14">
        <v>8137.7190600000004</v>
      </c>
      <c r="S9" s="14">
        <v>8059.6715700000004</v>
      </c>
      <c r="T9" s="14">
        <v>7521.5142809999998</v>
      </c>
      <c r="U9" s="14">
        <v>7190.3894520000003</v>
      </c>
    </row>
    <row r="10" spans="1:21">
      <c r="A10" s="11" t="s">
        <v>16</v>
      </c>
      <c r="B10" s="14">
        <v>4871.1780000000008</v>
      </c>
      <c r="C10" s="14">
        <v>4352.7127259999997</v>
      </c>
      <c r="D10" s="14">
        <v>4149.7569540000004</v>
      </c>
      <c r="E10" s="14">
        <v>4224.4015620000009</v>
      </c>
      <c r="F10" s="14">
        <v>4042.9325160000003</v>
      </c>
      <c r="G10" s="14">
        <v>4036.853478</v>
      </c>
      <c r="H10" s="14">
        <v>4738.7656860000006</v>
      </c>
      <c r="I10" s="14">
        <v>5342.5181760000005</v>
      </c>
      <c r="J10" s="14">
        <v>6186.6885900000016</v>
      </c>
      <c r="K10" s="14">
        <v>6654.7244069999997</v>
      </c>
      <c r="L10" s="14">
        <v>7261.2994740000013</v>
      </c>
      <c r="M10" s="14">
        <v>8223.7235610000007</v>
      </c>
      <c r="N10" s="14">
        <v>8205.8015190000006</v>
      </c>
      <c r="O10" s="14">
        <v>8991.6966639000002</v>
      </c>
      <c r="P10" s="14">
        <v>9693.7307790000013</v>
      </c>
      <c r="Q10" s="14">
        <v>10296.820326000001</v>
      </c>
      <c r="R10" s="14">
        <v>9804.475593000001</v>
      </c>
      <c r="S10" s="14">
        <v>9899.8066770000005</v>
      </c>
      <c r="T10" s="14">
        <v>9775.4543070000018</v>
      </c>
      <c r="U10" s="14">
        <v>10203.686943000001</v>
      </c>
    </row>
    <row r="11" spans="1:21">
      <c r="A11" s="11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</row>
    <row r="12" spans="1:21">
      <c r="A12" s="11" t="s">
        <v>17</v>
      </c>
      <c r="B12" s="14">
        <v>3640.8854340000003</v>
      </c>
      <c r="C12" s="14">
        <v>3649.762146</v>
      </c>
      <c r="D12" s="14">
        <v>3697.8489300000001</v>
      </c>
      <c r="E12" s="14">
        <v>3910.8910860000001</v>
      </c>
      <c r="F12" s="14">
        <v>3982.4421480000001</v>
      </c>
      <c r="G12" s="14">
        <v>4045.3956360000002</v>
      </c>
      <c r="H12" s="14">
        <v>4194.2120340000001</v>
      </c>
      <c r="I12" s="14">
        <v>4248.11661</v>
      </c>
      <c r="J12" s="14">
        <v>4402.3723666543037</v>
      </c>
      <c r="K12" s="14">
        <v>4309.3176604450236</v>
      </c>
      <c r="L12" s="14">
        <v>4439.7275727961669</v>
      </c>
      <c r="M12" s="14">
        <v>4596.8833020215188</v>
      </c>
      <c r="N12" s="14">
        <v>4447.7835295583018</v>
      </c>
      <c r="O12" s="14">
        <v>4893.456761840479</v>
      </c>
      <c r="P12" s="14">
        <v>5080.9559099999997</v>
      </c>
      <c r="Q12" s="14">
        <v>4727.5702380000002</v>
      </c>
      <c r="R12" s="14">
        <v>4680.0614370000003</v>
      </c>
      <c r="S12" s="14">
        <v>4133.168615027701</v>
      </c>
      <c r="T12" s="14">
        <v>3990.013809</v>
      </c>
      <c r="U12" s="14">
        <v>3883.9575960000002</v>
      </c>
    </row>
    <row r="13" spans="1:21">
      <c r="A13" s="11" t="s">
        <v>18</v>
      </c>
      <c r="B13" s="14">
        <v>6399.8560260000004</v>
      </c>
      <c r="C13" s="14">
        <v>6481.5570180000004</v>
      </c>
      <c r="D13" s="14">
        <v>6582.9830820000006</v>
      </c>
      <c r="E13" s="14">
        <v>6637.1274659999999</v>
      </c>
      <c r="F13" s="14">
        <v>6766.1670540000005</v>
      </c>
      <c r="G13" s="14">
        <v>7289.7917880000005</v>
      </c>
      <c r="H13" s="14">
        <v>8184.6861840000001</v>
      </c>
      <c r="I13" s="14">
        <v>10258.348998000001</v>
      </c>
      <c r="J13" s="14">
        <v>13804.4969019</v>
      </c>
      <c r="K13" s="14">
        <v>15240.430326000002</v>
      </c>
      <c r="L13" s="14">
        <v>16416.112410900001</v>
      </c>
      <c r="M13" s="14">
        <v>16647.157983000001</v>
      </c>
      <c r="N13" s="14">
        <v>17160.130151700003</v>
      </c>
      <c r="O13" s="14">
        <v>19087.969764900001</v>
      </c>
      <c r="P13" s="14">
        <v>22607.321727000002</v>
      </c>
      <c r="Q13" s="14">
        <v>22909.831740000001</v>
      </c>
      <c r="R13" s="14">
        <v>23061.236355000001</v>
      </c>
      <c r="S13" s="14">
        <v>22534.791363</v>
      </c>
      <c r="T13" s="14">
        <v>22921.45017</v>
      </c>
      <c r="U13" s="14">
        <v>23765.159253000002</v>
      </c>
    </row>
    <row r="14" spans="1:21">
      <c r="A14" s="11" t="s">
        <v>19</v>
      </c>
      <c r="B14" s="14">
        <v>3482.2511340000005</v>
      </c>
      <c r="C14" s="14">
        <v>3429.501072</v>
      </c>
      <c r="D14" s="14">
        <v>3505.323684</v>
      </c>
      <c r="E14" s="14">
        <v>3722.0299440000003</v>
      </c>
      <c r="F14" s="14">
        <v>4053.4689960000005</v>
      </c>
      <c r="G14" s="14">
        <v>4832.7774840000002</v>
      </c>
      <c r="H14" s="14">
        <v>5314.1179020000009</v>
      </c>
      <c r="I14" s="14">
        <v>6117.9191940000001</v>
      </c>
      <c r="J14" s="14">
        <v>7073.9053373999996</v>
      </c>
      <c r="K14" s="14">
        <v>8404.8554130000011</v>
      </c>
      <c r="L14" s="14">
        <v>9620.1991959000006</v>
      </c>
      <c r="M14" s="14">
        <v>9787.2203512200012</v>
      </c>
      <c r="N14" s="14">
        <v>9973.2408713472014</v>
      </c>
      <c r="O14" s="14">
        <v>10394.802128990101</v>
      </c>
      <c r="P14" s="14">
        <v>11011.050314074801</v>
      </c>
      <c r="Q14" s="14">
        <v>10705.85982222</v>
      </c>
      <c r="R14" s="14">
        <v>10548.807270000001</v>
      </c>
      <c r="S14" s="14">
        <v>10326.515946680101</v>
      </c>
      <c r="T14" s="14">
        <v>10291.322727000001</v>
      </c>
      <c r="U14" s="14">
        <v>10283.453565</v>
      </c>
    </row>
    <row r="15" spans="1:21">
      <c r="A15" s="11" t="s">
        <v>20</v>
      </c>
      <c r="B15" s="14">
        <v>4092.5192520000001</v>
      </c>
      <c r="C15" s="14">
        <v>4344.9884819999997</v>
      </c>
      <c r="D15" s="14">
        <v>4452.0979200000002</v>
      </c>
      <c r="E15" s="14">
        <v>4738.8171780000002</v>
      </c>
      <c r="F15" s="14">
        <v>5074.3834379999998</v>
      </c>
      <c r="G15" s="14">
        <v>5311.1023800000003</v>
      </c>
      <c r="H15" s="14">
        <v>5931.9024239999999</v>
      </c>
      <c r="I15" s="14">
        <v>6116.6922060000006</v>
      </c>
      <c r="J15" s="14">
        <v>6467.9680859999999</v>
      </c>
      <c r="K15" s="14">
        <v>6914.1992609999998</v>
      </c>
      <c r="L15" s="14">
        <v>7762.3575754519989</v>
      </c>
      <c r="M15" s="14">
        <v>8953.5341477839556</v>
      </c>
      <c r="N15" s="14">
        <v>9879.4002680985468</v>
      </c>
      <c r="O15" s="14">
        <v>10438.405170933058</v>
      </c>
      <c r="P15" s="14">
        <v>11009.338155213849</v>
      </c>
      <c r="Q15" s="14">
        <v>11471.009016000002</v>
      </c>
      <c r="R15" s="14">
        <v>12208.963518</v>
      </c>
      <c r="S15" s="14">
        <v>12310.92197791284</v>
      </c>
      <c r="T15" s="14">
        <v>12325.481454000001</v>
      </c>
      <c r="U15" s="14">
        <v>12366.327420000001</v>
      </c>
    </row>
    <row r="16" spans="1:21">
      <c r="A16" s="11" t="s">
        <v>21</v>
      </c>
      <c r="B16" s="14">
        <v>1298.51352</v>
      </c>
      <c r="C16" s="14">
        <v>1369.490898</v>
      </c>
      <c r="D16" s="14">
        <v>1524.12816</v>
      </c>
      <c r="E16" s="14">
        <v>1640.1834240000001</v>
      </c>
      <c r="F16" s="14">
        <v>1667.965338</v>
      </c>
      <c r="G16" s="14">
        <v>2028.8668680000001</v>
      </c>
      <c r="H16" s="14">
        <v>2465.734962</v>
      </c>
      <c r="I16" s="14">
        <v>2918.6467740000003</v>
      </c>
      <c r="J16" s="14">
        <v>3642.3413603571303</v>
      </c>
      <c r="K16" s="14">
        <v>4106.9194710000002</v>
      </c>
      <c r="L16" s="14">
        <v>4715.3180729999995</v>
      </c>
      <c r="M16" s="14">
        <v>5068.9511400000001</v>
      </c>
      <c r="N16" s="14">
        <v>5712.5391798570008</v>
      </c>
      <c r="O16" s="14">
        <v>5683.8053879999998</v>
      </c>
      <c r="P16" s="14">
        <v>6932.0422350000008</v>
      </c>
      <c r="Q16" s="14">
        <v>6692.2455</v>
      </c>
      <c r="R16" s="14">
        <v>6407.2086840000002</v>
      </c>
      <c r="S16" s="14">
        <v>6511.4395560000003</v>
      </c>
      <c r="T16" s="14">
        <v>6079.2029819999998</v>
      </c>
      <c r="U16" s="14">
        <v>5467.4115600000005</v>
      </c>
    </row>
    <row r="17" spans="1:21">
      <c r="A17" s="11" t="s">
        <v>22</v>
      </c>
      <c r="B17" s="14">
        <v>1990.350036</v>
      </c>
      <c r="C17" s="14">
        <v>1911.4099140000001</v>
      </c>
      <c r="D17" s="14">
        <v>1931.80341</v>
      </c>
      <c r="E17" s="14">
        <v>1963.6568160000002</v>
      </c>
      <c r="F17" s="14">
        <v>2054.6216280000003</v>
      </c>
      <c r="G17" s="14">
        <v>2080.3793460000002</v>
      </c>
      <c r="H17" s="14">
        <v>2495.6390520000004</v>
      </c>
      <c r="I17" s="14">
        <v>3185.9134979999999</v>
      </c>
      <c r="J17" s="14">
        <v>3470.6116739999998</v>
      </c>
      <c r="K17" s="14">
        <v>3792.4316820000004</v>
      </c>
      <c r="L17" s="14">
        <v>4274.0453640000005</v>
      </c>
      <c r="M17" s="14">
        <v>4327.3114949999999</v>
      </c>
      <c r="N17" s="14">
        <v>4515.9616470000001</v>
      </c>
      <c r="O17" s="14">
        <v>5212.2025859999994</v>
      </c>
      <c r="P17" s="14">
        <v>5839.1929110000001</v>
      </c>
      <c r="Q17" s="14">
        <v>5712.1989240000003</v>
      </c>
      <c r="R17" s="14">
        <v>6012.5040690000005</v>
      </c>
      <c r="S17" s="14">
        <v>6187.2582150000017</v>
      </c>
      <c r="T17" s="14">
        <v>6365.0502120000001</v>
      </c>
      <c r="U17" s="14">
        <v>6257.045685000001</v>
      </c>
    </row>
    <row r="18" spans="1:21">
      <c r="A18" s="11" t="s">
        <v>23</v>
      </c>
      <c r="B18" s="14">
        <v>7437.6447840000001</v>
      </c>
      <c r="C18" s="14">
        <v>7384.863276000001</v>
      </c>
      <c r="D18" s="14">
        <v>7435.6538040000005</v>
      </c>
      <c r="E18" s="14">
        <v>6625.6612620000005</v>
      </c>
      <c r="F18" s="14">
        <v>8375.0973720000002</v>
      </c>
      <c r="G18" s="14">
        <v>9645.1523880000004</v>
      </c>
      <c r="H18" s="14">
        <v>11474.275512</v>
      </c>
      <c r="I18" s="14">
        <v>14250.4257</v>
      </c>
      <c r="J18" s="14">
        <v>20547.561627180003</v>
      </c>
      <c r="K18" s="14">
        <v>23658.219303000005</v>
      </c>
      <c r="L18" s="14">
        <v>25890.211374930001</v>
      </c>
      <c r="M18" s="14">
        <v>27101.698712051104</v>
      </c>
      <c r="N18" s="14">
        <v>27693.177839714106</v>
      </c>
      <c r="O18" s="14">
        <v>29643.159799318666</v>
      </c>
      <c r="P18" s="14">
        <v>31020.902525078476</v>
      </c>
      <c r="Q18" s="14">
        <v>32144.209250788805</v>
      </c>
      <c r="R18" s="14">
        <v>30492.314898000004</v>
      </c>
      <c r="S18" s="14">
        <v>31912.874936460521</v>
      </c>
      <c r="T18" s="14">
        <v>32831.741712000003</v>
      </c>
      <c r="U18" s="14">
        <v>32854.885463999999</v>
      </c>
    </row>
    <row r="19" spans="1:21">
      <c r="A19" s="11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</row>
    <row r="20" spans="1:21">
      <c r="A20" s="11" t="s">
        <v>24</v>
      </c>
      <c r="B20" s="14">
        <v>5995.6657020000002</v>
      </c>
      <c r="C20" s="14">
        <v>6152.2253460000002</v>
      </c>
      <c r="D20" s="14">
        <v>6316.9922580000002</v>
      </c>
      <c r="E20" s="14">
        <v>6646.8124500000013</v>
      </c>
      <c r="F20" s="14">
        <v>7133.5890240000008</v>
      </c>
      <c r="G20" s="14">
        <v>7871.8754580000004</v>
      </c>
      <c r="H20" s="14">
        <v>8663.0751240000009</v>
      </c>
      <c r="I20" s="14">
        <v>11464.828314</v>
      </c>
      <c r="J20" s="14">
        <v>14157.544845</v>
      </c>
      <c r="K20" s="14">
        <v>16157.553633000001</v>
      </c>
      <c r="L20" s="14">
        <v>17953.302939000001</v>
      </c>
      <c r="M20" s="14">
        <v>18494.964708000003</v>
      </c>
      <c r="N20" s="14">
        <v>18861.869484900002</v>
      </c>
      <c r="O20" s="14">
        <v>20301.093973170002</v>
      </c>
      <c r="P20" s="14">
        <v>22261.364663272201</v>
      </c>
      <c r="Q20" s="14">
        <v>20187.314802000001</v>
      </c>
      <c r="R20" s="14">
        <v>19664.519759999999</v>
      </c>
      <c r="S20" s="14">
        <v>19945.382400000002</v>
      </c>
      <c r="T20" s="14">
        <v>19705.348470000001</v>
      </c>
      <c r="U20" s="14">
        <v>19549.490496000002</v>
      </c>
    </row>
    <row r="21" spans="1:21">
      <c r="A21" s="11" t="s">
        <v>25</v>
      </c>
      <c r="B21" s="14">
        <v>4758.5787060000002</v>
      </c>
      <c r="C21" s="14">
        <v>4757.1578520000003</v>
      </c>
      <c r="D21" s="14">
        <v>4822.4913960000003</v>
      </c>
      <c r="E21" s="14">
        <v>4863.1339619999999</v>
      </c>
      <c r="F21" s="14">
        <v>4860.9773279999999</v>
      </c>
      <c r="G21" s="14">
        <v>5151.632724000001</v>
      </c>
      <c r="H21" s="14">
        <v>5706.7921859999997</v>
      </c>
      <c r="I21" s="14">
        <v>6297.3059039999998</v>
      </c>
      <c r="J21" s="14">
        <v>7003.59231</v>
      </c>
      <c r="K21" s="14">
        <v>7809.217794000001</v>
      </c>
      <c r="L21" s="14">
        <v>8505.002166000002</v>
      </c>
      <c r="M21" s="14">
        <v>8208.0950220000013</v>
      </c>
      <c r="N21" s="14">
        <v>8813.2618377600011</v>
      </c>
      <c r="O21" s="14">
        <v>10710.441405780002</v>
      </c>
      <c r="P21" s="14">
        <v>12428.920284</v>
      </c>
      <c r="Q21" s="14">
        <v>12367.217527854915</v>
      </c>
      <c r="R21" s="14">
        <v>9773.2065419999999</v>
      </c>
      <c r="S21" s="14">
        <v>9583.7241916640669</v>
      </c>
      <c r="T21" s="14">
        <v>9404.9412269999993</v>
      </c>
      <c r="U21" s="14">
        <v>9411.2082179999998</v>
      </c>
    </row>
    <row r="22" spans="1:21">
      <c r="A22" s="11" t="s">
        <v>26</v>
      </c>
      <c r="B22" s="14">
        <v>3662.4782700000005</v>
      </c>
      <c r="C22" s="14">
        <v>3730.1140320000004</v>
      </c>
      <c r="D22" s="14">
        <v>2889.8038440000005</v>
      </c>
      <c r="E22" s="14">
        <v>2673.3579360000003</v>
      </c>
      <c r="F22" s="14">
        <v>3239.6334240000001</v>
      </c>
      <c r="G22" s="14">
        <v>3403.2917820000002</v>
      </c>
      <c r="H22" s="14">
        <v>3944.5804620000004</v>
      </c>
      <c r="I22" s="14">
        <v>4851.915618</v>
      </c>
      <c r="J22" s="14">
        <v>6588.8566590000009</v>
      </c>
      <c r="K22" s="14">
        <v>7125.8030610000005</v>
      </c>
      <c r="L22" s="14">
        <v>8230.835223</v>
      </c>
      <c r="M22" s="14">
        <v>8234.055303000001</v>
      </c>
      <c r="N22" s="14">
        <v>8662.7112510000006</v>
      </c>
      <c r="O22" s="14">
        <v>9146.2909277999988</v>
      </c>
      <c r="P22" s="14">
        <v>10117.301992182003</v>
      </c>
      <c r="Q22" s="14">
        <v>9673.0682820000002</v>
      </c>
      <c r="R22" s="14">
        <v>9062.2404600000009</v>
      </c>
      <c r="S22" s="14">
        <v>8796.057698999999</v>
      </c>
      <c r="T22" s="14">
        <v>9071.217888000001</v>
      </c>
      <c r="U22" s="14">
        <v>9107.1431790000006</v>
      </c>
    </row>
    <row r="23" spans="1:21">
      <c r="A23" s="11" t="s">
        <v>27</v>
      </c>
      <c r="B23" s="14">
        <v>3763.1590200000001</v>
      </c>
      <c r="C23" s="14">
        <v>3791.2343220000002</v>
      </c>
      <c r="D23" s="14">
        <v>3935.1279000000004</v>
      </c>
      <c r="E23" s="14">
        <v>4349.605098</v>
      </c>
      <c r="F23" s="14">
        <v>4518.7699680000005</v>
      </c>
      <c r="G23" s="14">
        <v>4923.3681540000007</v>
      </c>
      <c r="H23" s="14">
        <v>5871.5824860000002</v>
      </c>
      <c r="I23" s="14">
        <v>6548.7753419999999</v>
      </c>
      <c r="J23" s="14">
        <v>7329.3233190000001</v>
      </c>
      <c r="K23" s="14">
        <v>8219.1809489999996</v>
      </c>
      <c r="L23" s="14">
        <v>9326.5666889598488</v>
      </c>
      <c r="M23" s="14">
        <v>9935.6171279999999</v>
      </c>
      <c r="N23" s="14">
        <v>10201.327920000002</v>
      </c>
      <c r="O23" s="14">
        <v>11889.171024000001</v>
      </c>
      <c r="P23" s="14">
        <v>13707.581073000001</v>
      </c>
      <c r="Q23" s="14">
        <v>13125.8649</v>
      </c>
      <c r="R23" s="14">
        <v>12787.661382</v>
      </c>
      <c r="S23" s="14">
        <v>12694.982823</v>
      </c>
      <c r="T23" s="14">
        <v>12375.812303999999</v>
      </c>
      <c r="U23" s="14">
        <v>12285.597003000001</v>
      </c>
    </row>
    <row r="24" spans="1:21">
      <c r="A24" s="11" t="s">
        <v>28</v>
      </c>
      <c r="B24" s="14">
        <v>1693.17723</v>
      </c>
      <c r="C24" s="14">
        <v>1666.0636140000001</v>
      </c>
      <c r="D24" s="14">
        <v>1669.3650480000001</v>
      </c>
      <c r="E24" s="14">
        <v>1745.5341540000002</v>
      </c>
      <c r="F24" s="14">
        <v>1745.5341540000002</v>
      </c>
      <c r="G24" s="14">
        <v>1695.68541</v>
      </c>
      <c r="H24" s="14">
        <v>2060.82618</v>
      </c>
      <c r="I24" s="14">
        <v>2739.3651239999999</v>
      </c>
      <c r="J24" s="14">
        <v>3005.6138970000002</v>
      </c>
      <c r="K24" s="14">
        <v>3281.1536760000004</v>
      </c>
      <c r="L24" s="14">
        <v>3842.0598600000003</v>
      </c>
      <c r="M24" s="14">
        <v>3903.7384896600001</v>
      </c>
      <c r="N24" s="14">
        <v>4323.6469049999996</v>
      </c>
      <c r="O24" s="14">
        <v>5096.0943239999997</v>
      </c>
      <c r="P24" s="14">
        <v>5742.6721770000004</v>
      </c>
      <c r="Q24" s="14">
        <v>5970.7493400000003</v>
      </c>
      <c r="R24" s="14">
        <v>6192.5270729999993</v>
      </c>
      <c r="S24" s="14">
        <v>5844.2637030000005</v>
      </c>
      <c r="T24" s="14">
        <v>5290.6815210000004</v>
      </c>
      <c r="U24" s="14">
        <v>5744.5436550000004</v>
      </c>
    </row>
    <row r="25" spans="1:21">
      <c r="A25" s="11" t="s">
        <v>29</v>
      </c>
      <c r="B25" s="14">
        <v>99.719652000000011</v>
      </c>
      <c r="C25" s="14">
        <v>121.367538</v>
      </c>
      <c r="D25" s="14">
        <v>130.29791399999999</v>
      </c>
      <c r="E25" s="14">
        <v>140.516358</v>
      </c>
      <c r="F25" s="14">
        <v>3.8856000000000002E-2</v>
      </c>
      <c r="G25" s="14">
        <v>0</v>
      </c>
      <c r="H25" s="14">
        <v>439.33078800000004</v>
      </c>
      <c r="I25" s="14">
        <v>344.13071400000001</v>
      </c>
      <c r="J25" s="14">
        <v>251.42850925710002</v>
      </c>
      <c r="K25" s="14">
        <v>255.42842757000003</v>
      </c>
      <c r="L25" s="14">
        <v>326.91693471000013</v>
      </c>
      <c r="M25" s="14">
        <v>351.56810271000006</v>
      </c>
      <c r="N25" s="14">
        <v>400.75251957000006</v>
      </c>
      <c r="O25" s="14">
        <v>462.34345857</v>
      </c>
      <c r="P25" s="14">
        <v>582.50964899999997</v>
      </c>
      <c r="Q25" s="14">
        <v>665.06187000000011</v>
      </c>
      <c r="R25" s="14">
        <v>720.61041</v>
      </c>
      <c r="S25" s="14">
        <v>727.41054600000007</v>
      </c>
      <c r="T25" s="14">
        <v>765.67245600000012</v>
      </c>
      <c r="U25" s="14">
        <v>725.23593300000005</v>
      </c>
    </row>
    <row r="26" spans="1:21">
      <c r="A26" s="11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</row>
    <row r="27" spans="1:21">
      <c r="A27" s="11" t="s">
        <v>30</v>
      </c>
      <c r="B27" s="14">
        <v>2070.5864880000004</v>
      </c>
      <c r="C27" s="14">
        <v>2219.528988</v>
      </c>
      <c r="D27" s="14">
        <v>2324.8255920000001</v>
      </c>
      <c r="E27" s="14">
        <v>2277.041436</v>
      </c>
      <c r="F27" s="14">
        <v>2139.91077</v>
      </c>
      <c r="G27" s="14">
        <v>2365.0519079999999</v>
      </c>
      <c r="H27" s="14">
        <v>2072.3987219999999</v>
      </c>
      <c r="I27" s="14">
        <v>2260.2725880000003</v>
      </c>
      <c r="J27" s="14">
        <v>3374.4202920000002</v>
      </c>
      <c r="K27" s="14">
        <v>3670.0247430000009</v>
      </c>
      <c r="L27" s="14">
        <v>3964.1114729999999</v>
      </c>
      <c r="M27" s="14">
        <v>4098.9557193336004</v>
      </c>
      <c r="N27" s="14">
        <v>4454.4286931700008</v>
      </c>
      <c r="O27" s="14">
        <v>4860.2105896610292</v>
      </c>
      <c r="P27" s="14">
        <v>5502.2632402497002</v>
      </c>
      <c r="Q27" s="14">
        <v>5310.8871780000009</v>
      </c>
      <c r="R27" s="14">
        <v>4341.8376690000005</v>
      </c>
      <c r="S27" s="14">
        <v>4665.4813560000002</v>
      </c>
      <c r="T27" s="14">
        <v>4581.6983909999999</v>
      </c>
      <c r="U27" s="14">
        <v>4426.5212250000004</v>
      </c>
    </row>
    <row r="28" spans="1:21">
      <c r="A28" s="11" t="s">
        <v>31</v>
      </c>
      <c r="B28" s="14">
        <v>4890.5947560000004</v>
      </c>
      <c r="C28" s="14">
        <v>4740.1888199999994</v>
      </c>
      <c r="D28" s="14">
        <v>3907.3852500000003</v>
      </c>
      <c r="E28" s="14">
        <v>3907.3852500000003</v>
      </c>
      <c r="F28" s="14">
        <v>3795.3536340000005</v>
      </c>
      <c r="G28" s="14">
        <v>4427.2282800000003</v>
      </c>
      <c r="H28" s="14">
        <v>5789.220612000001</v>
      </c>
      <c r="I28" s="14">
        <v>6639.4617480000006</v>
      </c>
      <c r="J28" s="14">
        <v>6949.7277682857002</v>
      </c>
      <c r="K28" s="14">
        <v>7517.8744649999999</v>
      </c>
      <c r="L28" s="14">
        <v>8390.5471800000014</v>
      </c>
      <c r="M28" s="14">
        <v>8749.6827030000004</v>
      </c>
      <c r="N28" s="14">
        <v>9766.7487141154725</v>
      </c>
      <c r="O28" s="14">
        <v>9543.9476160000013</v>
      </c>
      <c r="P28" s="14">
        <v>9579.5339520000016</v>
      </c>
      <c r="Q28" s="14">
        <v>9998.3220900000015</v>
      </c>
      <c r="R28" s="14">
        <v>10051.778547</v>
      </c>
      <c r="S28" s="14">
        <v>9700.2951090000006</v>
      </c>
      <c r="T28" s="14">
        <v>8435.3666040000007</v>
      </c>
      <c r="U28" s="14">
        <v>7925.0368109999999</v>
      </c>
    </row>
    <row r="29" spans="1:21">
      <c r="A29" s="11" t="s">
        <v>32</v>
      </c>
      <c r="B29" s="14">
        <v>3932.53845</v>
      </c>
      <c r="C29" s="14">
        <v>4157.3051940000005</v>
      </c>
      <c r="D29" s="14">
        <v>3822.1399020000003</v>
      </c>
      <c r="E29" s="14">
        <v>3907.8164040000001</v>
      </c>
      <c r="F29" s="14">
        <v>3751.8230760000006</v>
      </c>
      <c r="G29" s="14">
        <v>3941.34186</v>
      </c>
      <c r="H29" s="14">
        <v>5086.0804859999998</v>
      </c>
      <c r="I29" s="14">
        <v>5971.4790839999996</v>
      </c>
      <c r="J29" s="14">
        <v>5904.7259184206105</v>
      </c>
      <c r="K29" s="14">
        <v>6753.2879864487904</v>
      </c>
      <c r="L29" s="14">
        <v>7270.9448670000002</v>
      </c>
      <c r="M29" s="14">
        <v>7389.7684320000008</v>
      </c>
      <c r="N29" s="14">
        <v>8152.0485270000008</v>
      </c>
      <c r="O29" s="14">
        <v>8161.2126745200021</v>
      </c>
      <c r="P29" s="14">
        <v>9023.6538458999967</v>
      </c>
      <c r="Q29" s="14">
        <v>9891.517764000002</v>
      </c>
      <c r="R29" s="14">
        <v>10162.072626000001</v>
      </c>
      <c r="S29" s="14">
        <v>9734.4778139999999</v>
      </c>
      <c r="T29" s="14">
        <v>9468.5038950000016</v>
      </c>
      <c r="U29" s="14">
        <v>9991.188513000001</v>
      </c>
    </row>
    <row r="30" spans="1:21">
      <c r="A30" s="11" t="s">
        <v>33</v>
      </c>
      <c r="B30" s="14">
        <v>2736.4180980000001</v>
      </c>
      <c r="C30" s="14">
        <v>2652.8884320000002</v>
      </c>
      <c r="D30" s="14">
        <v>2491.1243460000001</v>
      </c>
      <c r="E30" s="14">
        <v>2369.7444</v>
      </c>
      <c r="F30" s="14">
        <v>2584.5260040000003</v>
      </c>
      <c r="G30" s="14">
        <v>3113.3127960000002</v>
      </c>
      <c r="H30" s="14">
        <v>4033.2962219999999</v>
      </c>
      <c r="I30" s="14">
        <v>5080.0479480000004</v>
      </c>
      <c r="J30" s="14">
        <v>5960.9887829999998</v>
      </c>
      <c r="K30" s="14">
        <v>6560.5883483759999</v>
      </c>
      <c r="L30" s="14">
        <v>6781.2846815299026</v>
      </c>
      <c r="M30" s="14">
        <v>6947.5240346969531</v>
      </c>
      <c r="N30" s="14">
        <v>7586.8229766675358</v>
      </c>
      <c r="O30" s="14">
        <v>7874.2706335651437</v>
      </c>
      <c r="P30" s="14">
        <v>8086.5574455713404</v>
      </c>
      <c r="Q30" s="14">
        <v>8336.4323466000005</v>
      </c>
      <c r="R30" s="14">
        <v>8297.090685000001</v>
      </c>
      <c r="S30" s="14">
        <v>7297.6718345600584</v>
      </c>
      <c r="T30" s="14">
        <v>6363.4699170000004</v>
      </c>
      <c r="U30" s="14">
        <v>6215.5251000000007</v>
      </c>
    </row>
    <row r="31" spans="1:21">
      <c r="A31" s="11" t="s">
        <v>34</v>
      </c>
      <c r="B31" s="14">
        <v>0</v>
      </c>
      <c r="C31" s="14">
        <v>0</v>
      </c>
      <c r="D31" s="14">
        <v>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>
        <v>0</v>
      </c>
      <c r="L31" s="14">
        <v>0</v>
      </c>
      <c r="M31" s="14">
        <v>0</v>
      </c>
      <c r="N31" s="14">
        <v>0</v>
      </c>
      <c r="O31" s="14">
        <v>0</v>
      </c>
      <c r="P31" s="14">
        <v>0</v>
      </c>
      <c r="Q31" s="14">
        <v>0</v>
      </c>
      <c r="R31" s="14">
        <v>0</v>
      </c>
      <c r="S31" s="14">
        <v>0</v>
      </c>
      <c r="T31" s="14">
        <v>0</v>
      </c>
      <c r="U31" s="14">
        <v>0</v>
      </c>
    </row>
    <row r="32" spans="1:21">
      <c r="A32" s="11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</row>
    <row r="33" spans="1:21">
      <c r="A33" s="11" t="s">
        <v>35</v>
      </c>
      <c r="B33" s="14">
        <v>2848.6074960000001</v>
      </c>
      <c r="C33" s="14">
        <v>2733.1743180000003</v>
      </c>
      <c r="D33" s="14">
        <v>2327.3876460000001</v>
      </c>
      <c r="E33" s="14">
        <v>2106.1836780000003</v>
      </c>
      <c r="F33" s="14">
        <v>2362.2799560000003</v>
      </c>
      <c r="G33" s="14">
        <v>2635.9574160000002</v>
      </c>
      <c r="H33" s="14">
        <v>3012.8203320000002</v>
      </c>
      <c r="I33" s="14">
        <v>3784.0094100000001</v>
      </c>
      <c r="J33" s="14">
        <v>4564.8028131000001</v>
      </c>
      <c r="K33" s="14">
        <v>5706.9523020000006</v>
      </c>
      <c r="L33" s="14">
        <v>6168.339543000001</v>
      </c>
      <c r="M33" s="14">
        <v>6763.6323629999997</v>
      </c>
      <c r="N33" s="14">
        <v>7419.6169500000005</v>
      </c>
      <c r="O33" s="14">
        <v>9023.7385269115512</v>
      </c>
      <c r="P33" s="14">
        <v>10284.025972178402</v>
      </c>
      <c r="Q33" s="14">
        <v>12137.203439972402</v>
      </c>
      <c r="R33" s="14">
        <v>13228.683393000001</v>
      </c>
      <c r="S33" s="14">
        <v>14072.687192028301</v>
      </c>
      <c r="T33" s="14">
        <v>14066.585907000002</v>
      </c>
      <c r="U33" s="14">
        <v>14867.239569000001</v>
      </c>
    </row>
    <row r="34" spans="1:21">
      <c r="A34" s="11" t="s">
        <v>36</v>
      </c>
      <c r="B34" s="14">
        <v>1843.4981399999999</v>
      </c>
      <c r="C34" s="14">
        <v>1836.1834979999999</v>
      </c>
      <c r="D34" s="14">
        <v>1874.1185520000001</v>
      </c>
      <c r="E34" s="14">
        <v>1945.6165920000001</v>
      </c>
      <c r="F34" s="14">
        <v>1993.7965380000001</v>
      </c>
      <c r="G34" s="14">
        <v>2170.9377600000003</v>
      </c>
      <c r="H34" s="14">
        <v>2475.9127920000001</v>
      </c>
      <c r="I34" s="14">
        <v>2821.863222</v>
      </c>
      <c r="J34" s="14">
        <v>3091.3754550000003</v>
      </c>
      <c r="K34" s="14">
        <v>3283.914291</v>
      </c>
      <c r="L34" s="14">
        <v>3737.64894</v>
      </c>
      <c r="M34" s="14">
        <v>3873.5807789999999</v>
      </c>
      <c r="N34" s="14">
        <v>3723.8691120000003</v>
      </c>
      <c r="O34" s="14">
        <v>4375.8793766999997</v>
      </c>
      <c r="P34" s="14">
        <v>5086.5448672142702</v>
      </c>
      <c r="Q34" s="14">
        <v>5319.7429980000006</v>
      </c>
      <c r="R34" s="14">
        <v>5319.9381090000006</v>
      </c>
      <c r="S34" s="14">
        <v>5470.2969990000001</v>
      </c>
      <c r="T34" s="14">
        <v>5281.0412460000007</v>
      </c>
      <c r="U34" s="14">
        <v>5088.4114320000008</v>
      </c>
    </row>
    <row r="35" spans="1:21">
      <c r="A35" s="11" t="s">
        <v>37</v>
      </c>
      <c r="B35" s="14">
        <v>405.600054</v>
      </c>
      <c r="C35" s="14">
        <v>396.92160000000001</v>
      </c>
      <c r="D35" s="14">
        <v>467.45273400000002</v>
      </c>
      <c r="E35" s="14">
        <v>388.00872600000002</v>
      </c>
      <c r="F35" s="14">
        <v>475.521816</v>
      </c>
      <c r="G35" s="14">
        <v>460.23463200000003</v>
      </c>
      <c r="H35" s="14">
        <v>511.55677800000001</v>
      </c>
      <c r="I35" s="14">
        <v>525.77482200000009</v>
      </c>
      <c r="J35" s="14">
        <v>723.67649900857145</v>
      </c>
      <c r="K35" s="14">
        <v>863.63247731999218</v>
      </c>
      <c r="L35" s="14">
        <v>1034.71589754</v>
      </c>
      <c r="M35" s="14">
        <v>1086.2074361392142</v>
      </c>
      <c r="N35" s="14">
        <v>1115.6617688092144</v>
      </c>
      <c r="O35" s="14">
        <v>1063.19362611</v>
      </c>
      <c r="P35" s="14">
        <v>1228.8855480300001</v>
      </c>
      <c r="Q35" s="14">
        <v>1518.5941935600001</v>
      </c>
      <c r="R35" s="14">
        <v>1704.4867530000001</v>
      </c>
      <c r="S35" s="14">
        <v>1543.5082953900001</v>
      </c>
      <c r="T35" s="14">
        <v>1319.3327099999999</v>
      </c>
      <c r="U35" s="14">
        <v>1623.6703650000002</v>
      </c>
    </row>
    <row r="36" spans="1:21">
      <c r="A36" s="11" t="s">
        <v>38</v>
      </c>
      <c r="B36" s="14">
        <v>809.25020400000005</v>
      </c>
      <c r="C36" s="14">
        <v>788.06204400000001</v>
      </c>
      <c r="D36" s="14">
        <v>772.38377400000002</v>
      </c>
      <c r="E36" s="14">
        <v>772.38377400000002</v>
      </c>
      <c r="F36" s="14">
        <v>0</v>
      </c>
      <c r="G36" s="14">
        <v>0</v>
      </c>
      <c r="H36" s="14">
        <v>2168.4123</v>
      </c>
      <c r="I36" s="14">
        <v>2083.7281620000003</v>
      </c>
      <c r="J36" s="14">
        <v>2408.2442460000002</v>
      </c>
      <c r="K36" s="14">
        <v>2636.4663870000004</v>
      </c>
      <c r="L36" s="14">
        <v>2983.8342660000003</v>
      </c>
      <c r="M36" s="14">
        <v>3293.3564430000006</v>
      </c>
      <c r="N36" s="14">
        <v>3658.7886209700005</v>
      </c>
      <c r="O36" s="14">
        <v>4340.2352092420997</v>
      </c>
      <c r="P36" s="14">
        <v>6023.7331734791342</v>
      </c>
      <c r="Q36" s="14">
        <v>6120.4417736772011</v>
      </c>
      <c r="R36" s="14">
        <v>6501.492537000001</v>
      </c>
      <c r="S36" s="14">
        <v>6702.3550367273619</v>
      </c>
      <c r="T36" s="14">
        <v>6837.0924330000007</v>
      </c>
      <c r="U36" s="14">
        <v>6627.1963410000008</v>
      </c>
    </row>
    <row r="37" spans="1:21">
      <c r="A37" s="11" t="s">
        <v>39</v>
      </c>
      <c r="B37" s="14">
        <v>1921.7405700000002</v>
      </c>
      <c r="C37" s="14">
        <v>1936.5543780000003</v>
      </c>
      <c r="D37" s="14">
        <v>1914.7775999999999</v>
      </c>
      <c r="E37" s="14">
        <v>2001.9804840000002</v>
      </c>
      <c r="F37" s="14">
        <v>2023.8278280000002</v>
      </c>
      <c r="G37" s="14">
        <v>2150.725884</v>
      </c>
      <c r="H37" s="14">
        <v>2358.4641540000002</v>
      </c>
      <c r="I37" s="14">
        <v>2717.5888320000004</v>
      </c>
      <c r="J37" s="14">
        <v>2927.1033690000004</v>
      </c>
      <c r="K37" s="14">
        <v>3392.7896430000001</v>
      </c>
      <c r="L37" s="14">
        <v>3807.8839170000001</v>
      </c>
      <c r="M37" s="14">
        <v>4520.6993760000005</v>
      </c>
      <c r="N37" s="14">
        <v>5811.6025890000001</v>
      </c>
      <c r="O37" s="14">
        <v>6420.0369989999999</v>
      </c>
      <c r="P37" s="14">
        <v>7815.9660660000009</v>
      </c>
      <c r="Q37" s="14">
        <v>9573.7537980000016</v>
      </c>
      <c r="R37" s="14">
        <v>11225.291220000001</v>
      </c>
      <c r="S37" s="14">
        <v>12534.701151000001</v>
      </c>
      <c r="T37" s="14">
        <v>13126.91403</v>
      </c>
      <c r="U37" s="14">
        <v>14342.408802</v>
      </c>
    </row>
  </sheetData>
  <phoneticPr fontId="6" type="noConversion"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E583E-D8FC-114B-A43E-C1F61487824F}">
  <dimension ref="A1:U37"/>
  <sheetViews>
    <sheetView workbookViewId="0">
      <selection activeCell="L29" sqref="L29"/>
    </sheetView>
  </sheetViews>
  <sheetFormatPr baseColWidth="10" defaultRowHeight="16"/>
  <cols>
    <col min="1" max="1" width="23.33203125" style="18" customWidth="1"/>
    <col min="2" max="16384" width="10.83203125" style="15"/>
  </cols>
  <sheetData>
    <row r="1" spans="1:21" ht="17">
      <c r="A1" s="20" t="s">
        <v>40</v>
      </c>
      <c r="B1" s="20">
        <v>1997</v>
      </c>
      <c r="C1" s="20">
        <v>1998</v>
      </c>
      <c r="D1" s="20">
        <v>1999</v>
      </c>
      <c r="E1" s="20">
        <v>2000</v>
      </c>
      <c r="F1" s="20">
        <v>2001</v>
      </c>
      <c r="G1" s="20">
        <v>2002</v>
      </c>
      <c r="H1" s="20">
        <v>2003</v>
      </c>
      <c r="I1" s="20">
        <v>2004</v>
      </c>
      <c r="J1" s="20">
        <v>2005</v>
      </c>
      <c r="K1" s="20">
        <v>2006</v>
      </c>
      <c r="L1" s="20">
        <v>2007</v>
      </c>
      <c r="M1" s="20">
        <v>2008</v>
      </c>
      <c r="N1" s="20">
        <v>2009</v>
      </c>
      <c r="O1" s="20">
        <v>2010</v>
      </c>
      <c r="P1" s="20">
        <v>2011</v>
      </c>
      <c r="Q1" s="20">
        <v>2012</v>
      </c>
      <c r="R1" s="20">
        <v>2013</v>
      </c>
      <c r="S1" s="20">
        <v>2014</v>
      </c>
      <c r="T1" s="20">
        <v>2015</v>
      </c>
      <c r="U1" s="20">
        <v>2016</v>
      </c>
    </row>
    <row r="2" spans="1:21">
      <c r="A2" s="16" t="s">
        <v>9</v>
      </c>
      <c r="B2" s="17">
        <v>1114.5414984859999</v>
      </c>
      <c r="C2" s="17">
        <v>1045.7716468599999</v>
      </c>
      <c r="D2" s="17">
        <v>1119.714392176</v>
      </c>
      <c r="E2" s="17">
        <v>1158.0362065119998</v>
      </c>
      <c r="F2" s="17">
        <v>1160.4425042280002</v>
      </c>
      <c r="G2" s="17">
        <v>1236.0724482000001</v>
      </c>
      <c r="H2" s="17">
        <v>1217.6351270399998</v>
      </c>
      <c r="I2" s="17">
        <v>1403.5027736020002</v>
      </c>
      <c r="J2" s="17">
        <v>1446.4605623020002</v>
      </c>
      <c r="K2" s="17">
        <v>1552.5606664919999</v>
      </c>
      <c r="L2" s="17">
        <v>1809.4608882999999</v>
      </c>
      <c r="M2" s="17">
        <v>2053.199758319332</v>
      </c>
      <c r="N2" s="17">
        <v>2176.9747871069685</v>
      </c>
      <c r="O2" s="17">
        <v>2212.1817206857704</v>
      </c>
      <c r="P2" s="17">
        <v>2259.5744691821201</v>
      </c>
      <c r="Q2" s="17">
        <v>2259.0339433714848</v>
      </c>
      <c r="R2" s="17">
        <v>2004.641760238</v>
      </c>
      <c r="S2" s="17">
        <v>2217.2315785892397</v>
      </c>
      <c r="T2" s="17">
        <v>2219.740820082</v>
      </c>
      <c r="U2" s="17">
        <v>2098.31107204</v>
      </c>
    </row>
    <row r="3" spans="1:21">
      <c r="A3" s="11" t="s">
        <v>10</v>
      </c>
      <c r="B3" s="17">
        <v>893.382728348</v>
      </c>
      <c r="C3" s="17">
        <v>865.57438100399997</v>
      </c>
      <c r="D3" s="17">
        <v>964.04685192399995</v>
      </c>
      <c r="E3" s="17">
        <v>1125.9942122099999</v>
      </c>
      <c r="F3" s="17">
        <v>1155.4046714180001</v>
      </c>
      <c r="G3" s="17">
        <v>1065.7341541420001</v>
      </c>
      <c r="H3" s="17">
        <v>1190.8618567660001</v>
      </c>
      <c r="I3" s="17">
        <v>1268.7456786500002</v>
      </c>
      <c r="J3" s="17">
        <v>1343.2209670460002</v>
      </c>
      <c r="K3" s="17">
        <v>1396.4633721780001</v>
      </c>
      <c r="L3" s="17">
        <v>1464.3951536099999</v>
      </c>
      <c r="M3" s="17">
        <v>1350.2505203620001</v>
      </c>
      <c r="N3" s="17">
        <v>1456.7207086160001</v>
      </c>
      <c r="O3" s="17">
        <v>2283.9773029938001</v>
      </c>
      <c r="P3" s="17">
        <v>2526.337990476</v>
      </c>
      <c r="Q3" s="17">
        <v>2344.3076439359997</v>
      </c>
      <c r="R3" s="17">
        <v>2453.6065422239999</v>
      </c>
      <c r="S3" s="17">
        <v>2317.7302059260001</v>
      </c>
      <c r="T3" s="17">
        <v>2410.7227090219999</v>
      </c>
      <c r="U3" s="17">
        <v>2223.8591600539999</v>
      </c>
    </row>
    <row r="4" spans="1:21">
      <c r="A4" s="11" t="s">
        <v>11</v>
      </c>
      <c r="B4" s="17">
        <v>961.38176018399986</v>
      </c>
      <c r="C4" s="17">
        <v>1022.6430929540001</v>
      </c>
      <c r="D4" s="17">
        <v>1070.5347806120001</v>
      </c>
      <c r="E4" s="17">
        <v>1125.5108928860002</v>
      </c>
      <c r="F4" s="17">
        <v>1046.542747858</v>
      </c>
      <c r="G4" s="17">
        <v>1086.312956448</v>
      </c>
      <c r="H4" s="17">
        <v>1239.652455246</v>
      </c>
      <c r="I4" s="17">
        <v>1387.8218672099999</v>
      </c>
      <c r="J4" s="17">
        <v>1749.240860352</v>
      </c>
      <c r="K4" s="17">
        <v>1877.8122385479999</v>
      </c>
      <c r="L4" s="17">
        <v>1979.3551064375999</v>
      </c>
      <c r="M4" s="17">
        <v>2190.8178795029753</v>
      </c>
      <c r="N4" s="17">
        <v>2195.8156694263962</v>
      </c>
      <c r="O4" s="17">
        <v>2394.3813593565287</v>
      </c>
      <c r="P4" s="17">
        <v>2748.0802659418682</v>
      </c>
      <c r="Q4" s="17">
        <v>2745.7798054340824</v>
      </c>
      <c r="R4" s="17">
        <v>2613.6904265879998</v>
      </c>
      <c r="S4" s="17">
        <v>2535.2983369419999</v>
      </c>
      <c r="T4" s="17">
        <v>2980.7230087919997</v>
      </c>
      <c r="U4" s="17">
        <v>3216.0775956719999</v>
      </c>
    </row>
    <row r="5" spans="1:21">
      <c r="A5" s="11" t="s">
        <v>12</v>
      </c>
      <c r="B5" s="17">
        <v>194.00679320599997</v>
      </c>
      <c r="C5" s="17">
        <v>193.02869016800003</v>
      </c>
      <c r="D5" s="17">
        <v>192.64869086799999</v>
      </c>
      <c r="E5" s="17">
        <v>192.751469112</v>
      </c>
      <c r="F5" s="17">
        <v>223.559255726</v>
      </c>
      <c r="G5" s="17">
        <v>237.70298943400002</v>
      </c>
      <c r="H5" s="17">
        <v>251.824155598</v>
      </c>
      <c r="I5" s="17">
        <v>295.10412895399998</v>
      </c>
      <c r="J5" s="17">
        <v>439.64890622799999</v>
      </c>
      <c r="K5" s="17">
        <v>518.72612091200006</v>
      </c>
      <c r="L5" s="17">
        <v>610.10149252399992</v>
      </c>
      <c r="M5" s="17">
        <v>753.09997062000002</v>
      </c>
      <c r="N5" s="17">
        <v>815.87724901799993</v>
      </c>
      <c r="O5" s="17">
        <v>746.36352585400005</v>
      </c>
      <c r="P5" s="17">
        <v>750.00055090800004</v>
      </c>
      <c r="Q5" s="17">
        <v>759.09494680199998</v>
      </c>
      <c r="R5" s="17">
        <v>770.74559637599987</v>
      </c>
      <c r="S5" s="17">
        <v>739.65435952999997</v>
      </c>
      <c r="T5" s="17">
        <v>770.17849151799999</v>
      </c>
      <c r="U5" s="17">
        <v>810.30231690599987</v>
      </c>
    </row>
    <row r="6" spans="1:21">
      <c r="A6" s="11" t="s">
        <v>13</v>
      </c>
      <c r="B6" s="17">
        <v>254.76209215</v>
      </c>
      <c r="C6" s="17">
        <v>238.80007340600002</v>
      </c>
      <c r="D6" s="17">
        <v>251.46907872599999</v>
      </c>
      <c r="E6" s="17">
        <v>295.69924179200001</v>
      </c>
      <c r="F6" s="17">
        <v>331.93778579600001</v>
      </c>
      <c r="G6" s="17">
        <v>347.26713199399995</v>
      </c>
      <c r="H6" s="17">
        <v>425.18201432600006</v>
      </c>
      <c r="I6" s="17">
        <v>595.23246707199996</v>
      </c>
      <c r="J6" s="17">
        <v>743.29652193000004</v>
      </c>
      <c r="K6" s="17">
        <v>1179.0013318639999</v>
      </c>
      <c r="L6" s="17">
        <v>990.87445920734046</v>
      </c>
      <c r="M6" s="17">
        <v>1179.0013318639999</v>
      </c>
      <c r="N6" s="17">
        <v>1261.523772646</v>
      </c>
      <c r="O6" s="17">
        <v>1381.7439801340774</v>
      </c>
      <c r="P6" s="17">
        <v>1414.4816581089708</v>
      </c>
      <c r="Q6" s="17">
        <v>1334.0060134823536</v>
      </c>
      <c r="R6" s="17">
        <v>1378.477535856</v>
      </c>
      <c r="S6" s="17">
        <v>1314.0549969652006</v>
      </c>
      <c r="T6" s="17">
        <v>1227.3757160319999</v>
      </c>
      <c r="U6" s="17">
        <v>1257.7811374320002</v>
      </c>
    </row>
    <row r="7" spans="1:21">
      <c r="A7" s="11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</row>
    <row r="8" spans="1:21">
      <c r="A8" s="11" t="s">
        <v>14</v>
      </c>
      <c r="B8" s="17">
        <v>3735.9235466</v>
      </c>
      <c r="C8" s="17">
        <v>3582.4033702079996</v>
      </c>
      <c r="D8" s="17">
        <v>3903.5442857919998</v>
      </c>
      <c r="E8" s="17">
        <v>4609.6782385000006</v>
      </c>
      <c r="F8" s="17">
        <v>4886.3993898240005</v>
      </c>
      <c r="G8" s="17">
        <v>4999.1317200820004</v>
      </c>
      <c r="H8" s="17">
        <v>5279.7313057040001</v>
      </c>
      <c r="I8" s="17">
        <v>5996.2785085020005</v>
      </c>
      <c r="J8" s="17">
        <v>6469.4961212980006</v>
      </c>
      <c r="K8" s="17">
        <v>6826.5107830439993</v>
      </c>
      <c r="L8" s="17">
        <v>7282.94583263</v>
      </c>
      <c r="M8" s="17">
        <v>7567.3258871439994</v>
      </c>
      <c r="N8" s="17">
        <v>7498.7985757179995</v>
      </c>
      <c r="O8" s="17">
        <v>8533.4496891339986</v>
      </c>
      <c r="P8" s="17">
        <v>8979.4439329119996</v>
      </c>
      <c r="Q8" s="17">
        <v>9513.7172891559985</v>
      </c>
      <c r="R8" s="17">
        <v>8591.1132750459983</v>
      </c>
      <c r="S8" s="17">
        <v>8565.4943480479997</v>
      </c>
      <c r="T8" s="17">
        <v>8678.3386220819993</v>
      </c>
      <c r="U8" s="17">
        <v>9240.8360573919999</v>
      </c>
    </row>
    <row r="9" spans="1:21">
      <c r="A9" s="11" t="s">
        <v>15</v>
      </c>
      <c r="B9" s="17">
        <v>897.95651951599996</v>
      </c>
      <c r="C9" s="17">
        <v>948.77896734399997</v>
      </c>
      <c r="D9" s="17">
        <v>959.225958816</v>
      </c>
      <c r="E9" s="17">
        <v>925.56576913399999</v>
      </c>
      <c r="F9" s="17">
        <v>929.1208923260001</v>
      </c>
      <c r="G9" s="17">
        <v>954.54779557599988</v>
      </c>
      <c r="H9" s="17">
        <v>1119.2659728000001</v>
      </c>
      <c r="I9" s="17">
        <v>1101.6029775380002</v>
      </c>
      <c r="J9" s="17">
        <v>1379.479784275851</v>
      </c>
      <c r="K9" s="17">
        <v>1337.593809310235</v>
      </c>
      <c r="L9" s="17">
        <v>1388.3673361579997</v>
      </c>
      <c r="M9" s="17">
        <v>1409.3047083840002</v>
      </c>
      <c r="N9" s="17">
        <v>1368.7678953979998</v>
      </c>
      <c r="O9" s="17">
        <v>1523.3254761880003</v>
      </c>
      <c r="P9" s="17">
        <v>1716.4237394559998</v>
      </c>
      <c r="Q9" s="17">
        <v>1632.9314637939999</v>
      </c>
      <c r="R9" s="17">
        <v>1610.2249329699998</v>
      </c>
      <c r="S9" s="17">
        <v>1618.1635077899998</v>
      </c>
      <c r="T9" s="17">
        <v>1530.6462972780002</v>
      </c>
      <c r="U9" s="17">
        <v>1644.9849528027999</v>
      </c>
    </row>
    <row r="10" spans="1:21">
      <c r="A10" s="11" t="s">
        <v>16</v>
      </c>
      <c r="B10" s="17">
        <v>2000.0735842419999</v>
      </c>
      <c r="C10" s="17">
        <v>2021.8064954699998</v>
      </c>
      <c r="D10" s="17">
        <v>2279.4494730819997</v>
      </c>
      <c r="E10" s="17">
        <v>2414.886687748</v>
      </c>
      <c r="F10" s="17">
        <v>2389.131915942</v>
      </c>
      <c r="G10" s="17">
        <v>2351.6119404359997</v>
      </c>
      <c r="H10" s="17">
        <v>2437.1444736300004</v>
      </c>
      <c r="I10" s="17">
        <v>2473.7569767279997</v>
      </c>
      <c r="J10" s="17">
        <v>2636.4284937898801</v>
      </c>
      <c r="K10" s="17">
        <v>2747.9851812259999</v>
      </c>
      <c r="L10" s="17">
        <v>2832.1914880599998</v>
      </c>
      <c r="M10" s="17">
        <v>2543.0155141232817</v>
      </c>
      <c r="N10" s="17">
        <v>3005.4550832219998</v>
      </c>
      <c r="O10" s="17">
        <v>3205.2171949380004</v>
      </c>
      <c r="P10" s="17">
        <v>3407.601142774</v>
      </c>
      <c r="Q10" s="17">
        <v>3430.7214227300005</v>
      </c>
      <c r="R10" s="17">
        <v>3039.0187028879996</v>
      </c>
      <c r="S10" s="17">
        <v>3132.6907446999999</v>
      </c>
      <c r="T10" s="17">
        <v>3181.6139274739999</v>
      </c>
      <c r="U10" s="17">
        <v>3048.2863244200003</v>
      </c>
    </row>
    <row r="11" spans="1:21">
      <c r="A11" s="11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</row>
    <row r="12" spans="1:21">
      <c r="A12" s="11" t="s">
        <v>17</v>
      </c>
      <c r="B12" s="17">
        <v>1746.457377536</v>
      </c>
      <c r="C12" s="17">
        <v>1756.7255498379998</v>
      </c>
      <c r="D12" s="17">
        <v>1937.91168657</v>
      </c>
      <c r="E12" s="17">
        <v>2172.8613030480001</v>
      </c>
      <c r="F12" s="17">
        <v>2286.8633231399999</v>
      </c>
      <c r="G12" s="17">
        <v>2516.3818873580003</v>
      </c>
      <c r="H12" s="17">
        <v>2962.4998580639999</v>
      </c>
      <c r="I12" s="17">
        <v>3254.543033074</v>
      </c>
      <c r="J12" s="17">
        <v>3514.3478087856001</v>
      </c>
      <c r="K12" s="17">
        <v>3529.0060180241376</v>
      </c>
      <c r="L12" s="17">
        <v>3572.669167845052</v>
      </c>
      <c r="M12" s="17">
        <v>3857.6438929071601</v>
      </c>
      <c r="N12" s="17">
        <v>3936.6416424701156</v>
      </c>
      <c r="O12" s="17">
        <v>4228.8132582403996</v>
      </c>
      <c r="P12" s="17">
        <v>4252.857164103898</v>
      </c>
      <c r="Q12" s="17">
        <v>4378.6964672499998</v>
      </c>
      <c r="R12" s="17">
        <v>4780.9203024460012</v>
      </c>
      <c r="S12" s="17">
        <v>4416.10888560696</v>
      </c>
      <c r="T12" s="17">
        <v>4792.0878446679999</v>
      </c>
      <c r="U12" s="17">
        <v>4889.4360841179996</v>
      </c>
    </row>
    <row r="13" spans="1:21">
      <c r="A13" s="11" t="s">
        <v>18</v>
      </c>
      <c r="B13" s="17">
        <v>1696.2723529559998</v>
      </c>
      <c r="C13" s="17">
        <v>1792.8816207339999</v>
      </c>
      <c r="D13" s="17">
        <v>1888.8225061860001</v>
      </c>
      <c r="E13" s="17">
        <v>2164.0110256480002</v>
      </c>
      <c r="F13" s="17">
        <v>2112.6944562459998</v>
      </c>
      <c r="G13" s="17">
        <v>2284.9416079419998</v>
      </c>
      <c r="H13" s="17">
        <v>2717.74626137</v>
      </c>
      <c r="I13" s="17">
        <v>3117.7632842100002</v>
      </c>
      <c r="J13" s="17">
        <v>3502.7889057439997</v>
      </c>
      <c r="K13" s="17">
        <v>3584.5824090799997</v>
      </c>
      <c r="L13" s="17">
        <v>3835.0202894680001</v>
      </c>
      <c r="M13" s="17">
        <v>3790.955451066</v>
      </c>
      <c r="N13" s="17">
        <v>4172.5098066999999</v>
      </c>
      <c r="O13" s="17">
        <v>4707.8065182980008</v>
      </c>
      <c r="P13" s="17">
        <v>4805.0476185739999</v>
      </c>
      <c r="Q13" s="17">
        <v>4943.6543830999999</v>
      </c>
      <c r="R13" s="17">
        <v>5328.6364019380007</v>
      </c>
      <c r="S13" s="17">
        <v>5582.5386417479995</v>
      </c>
      <c r="T13" s="17">
        <v>5924.0143004039992</v>
      </c>
      <c r="U13" s="17">
        <v>6217.2667286420001</v>
      </c>
    </row>
    <row r="14" spans="1:21">
      <c r="A14" s="11" t="s">
        <v>19</v>
      </c>
      <c r="B14" s="17">
        <v>1305.0624088879999</v>
      </c>
      <c r="C14" s="17">
        <v>1352.9623374419998</v>
      </c>
      <c r="D14" s="17">
        <v>1528.1355888299997</v>
      </c>
      <c r="E14" s="17">
        <v>1951.537293248</v>
      </c>
      <c r="F14" s="17">
        <v>2027.584282558</v>
      </c>
      <c r="G14" s="17">
        <v>2193.6522147539999</v>
      </c>
      <c r="H14" s="17">
        <v>2548.8263074780002</v>
      </c>
      <c r="I14" s="17">
        <v>3098.2486103460001</v>
      </c>
      <c r="J14" s="17">
        <v>3657.6103971499997</v>
      </c>
      <c r="K14" s="17">
        <v>3677.1310214659998</v>
      </c>
      <c r="L14" s="17">
        <v>3873.1700071767</v>
      </c>
      <c r="M14" s="17">
        <v>3969.9162633283395</v>
      </c>
      <c r="N14" s="17">
        <v>4299.09607922738</v>
      </c>
      <c r="O14" s="17">
        <v>4820.1433703842595</v>
      </c>
      <c r="P14" s="17">
        <v>5031.7743043962837</v>
      </c>
      <c r="Q14" s="17">
        <v>4828.6890273036206</v>
      </c>
      <c r="R14" s="17">
        <v>4969.8611792740003</v>
      </c>
      <c r="S14" s="17">
        <v>4860.3764997501239</v>
      </c>
      <c r="T14" s="17">
        <v>5054.3504708100008</v>
      </c>
      <c r="U14" s="17">
        <v>4900.1558243440004</v>
      </c>
    </row>
    <row r="15" spans="1:21">
      <c r="A15" s="11" t="s">
        <v>20</v>
      </c>
      <c r="B15" s="17">
        <v>537.86892255199996</v>
      </c>
      <c r="C15" s="17">
        <v>538.08181067800001</v>
      </c>
      <c r="D15" s="17">
        <v>562.08074738599998</v>
      </c>
      <c r="E15" s="17">
        <v>610.15535049199991</v>
      </c>
      <c r="F15" s="17">
        <v>561.48648656199998</v>
      </c>
      <c r="G15" s="17">
        <v>593.40483318399993</v>
      </c>
      <c r="H15" s="17">
        <v>652.65892527799997</v>
      </c>
      <c r="I15" s="17">
        <v>726.2366314059999</v>
      </c>
      <c r="J15" s="17">
        <v>752.46477711400007</v>
      </c>
      <c r="K15" s="17">
        <v>823.35350799999992</v>
      </c>
      <c r="L15" s="17">
        <v>858.68082990279095</v>
      </c>
      <c r="M15" s="17">
        <v>900.27410186569261</v>
      </c>
      <c r="N15" s="17">
        <v>962.33184493665874</v>
      </c>
      <c r="O15" s="17">
        <v>1033.1189921468851</v>
      </c>
      <c r="P15" s="17">
        <v>1231.7572099863048</v>
      </c>
      <c r="Q15" s="17">
        <v>1291.5566933482094</v>
      </c>
      <c r="R15" s="17">
        <v>1538.925184598</v>
      </c>
      <c r="S15" s="17">
        <v>1809.8365847817818</v>
      </c>
      <c r="T15" s="17">
        <v>1812.672261356</v>
      </c>
      <c r="U15" s="17">
        <v>1737.136566914</v>
      </c>
    </row>
    <row r="16" spans="1:21">
      <c r="A16" s="11" t="s">
        <v>21</v>
      </c>
      <c r="B16" s="17">
        <v>583.26760300199999</v>
      </c>
      <c r="C16" s="17">
        <v>609.21938514999999</v>
      </c>
      <c r="D16" s="17">
        <v>647.77453142799993</v>
      </c>
      <c r="E16" s="17">
        <v>745.50596357400002</v>
      </c>
      <c r="F16" s="17">
        <v>734.21963359800009</v>
      </c>
      <c r="G16" s="17">
        <v>806.23618821199989</v>
      </c>
      <c r="H16" s="17">
        <v>897.81350792799992</v>
      </c>
      <c r="I16" s="17">
        <v>1027.9024879460001</v>
      </c>
      <c r="J16" s="17">
        <v>1125.8876003008995</v>
      </c>
      <c r="K16" s="17">
        <v>1199.813938928</v>
      </c>
      <c r="L16" s="17">
        <v>1285.441689732</v>
      </c>
      <c r="M16" s="17">
        <v>1206.4903941099999</v>
      </c>
      <c r="N16" s="17">
        <v>1617.1962075039999</v>
      </c>
      <c r="O16" s="17">
        <v>2246.6208454520001</v>
      </c>
      <c r="P16" s="17">
        <v>2146.1546204159999</v>
      </c>
      <c r="Q16" s="17">
        <v>2303.6620115560004</v>
      </c>
      <c r="R16" s="17">
        <v>2231.8547155780002</v>
      </c>
      <c r="S16" s="17">
        <v>3313.5773803960001</v>
      </c>
      <c r="T16" s="17">
        <v>3388.07713474</v>
      </c>
      <c r="U16" s="17">
        <v>3343.2332211000003</v>
      </c>
    </row>
    <row r="17" spans="1:21">
      <c r="A17" s="11" t="s">
        <v>22</v>
      </c>
      <c r="B17" s="17">
        <v>396.47657276999996</v>
      </c>
      <c r="C17" s="17">
        <v>424.39136764800003</v>
      </c>
      <c r="D17" s="17">
        <v>478.94399887799995</v>
      </c>
      <c r="E17" s="17">
        <v>535.35593152599995</v>
      </c>
      <c r="F17" s="17">
        <v>523.27192337999998</v>
      </c>
      <c r="G17" s="17">
        <v>596.05607074600005</v>
      </c>
      <c r="H17" s="17">
        <v>677.31518239000002</v>
      </c>
      <c r="I17" s="17">
        <v>686.35128421599995</v>
      </c>
      <c r="J17" s="17">
        <v>780.97216749400002</v>
      </c>
      <c r="K17" s="17">
        <v>840.49119309999992</v>
      </c>
      <c r="L17" s="17">
        <v>799.33963494600005</v>
      </c>
      <c r="M17" s="17">
        <v>818.402163298</v>
      </c>
      <c r="N17" s="17">
        <v>860.14097891599988</v>
      </c>
      <c r="O17" s="17">
        <v>1038.3285776837999</v>
      </c>
      <c r="P17" s="17">
        <v>1057.4975284979998</v>
      </c>
      <c r="Q17" s="17">
        <v>1177.191458882</v>
      </c>
      <c r="R17" s="17">
        <v>1334.5019774360001</v>
      </c>
      <c r="S17" s="17">
        <v>1286.6014538339998</v>
      </c>
      <c r="T17" s="17">
        <v>1416.475093024</v>
      </c>
      <c r="U17" s="17">
        <v>1604.4278831499998</v>
      </c>
    </row>
    <row r="18" spans="1:21">
      <c r="A18" s="11" t="s">
        <v>23</v>
      </c>
      <c r="B18" s="17">
        <v>2443.458597366</v>
      </c>
      <c r="C18" s="17">
        <v>2270.7802696899998</v>
      </c>
      <c r="D18" s="17">
        <v>2277.9157030179999</v>
      </c>
      <c r="E18" s="17">
        <v>2710.06355609</v>
      </c>
      <c r="F18" s="17">
        <v>2634.2200533699997</v>
      </c>
      <c r="G18" s="17">
        <v>2377.806981232</v>
      </c>
      <c r="H18" s="17">
        <v>3216.7670572519996</v>
      </c>
      <c r="I18" s="17">
        <v>4332.5182828400002</v>
      </c>
      <c r="J18" s="17">
        <v>5212.3514280540003</v>
      </c>
      <c r="K18" s="17">
        <v>5864.2507406079994</v>
      </c>
      <c r="L18" s="17">
        <v>6251.7276736116019</v>
      </c>
      <c r="M18" s="17">
        <v>6903.0974197449168</v>
      </c>
      <c r="N18" s="17">
        <v>7605.0715737592755</v>
      </c>
      <c r="O18" s="17">
        <v>9223.3825515335775</v>
      </c>
      <c r="P18" s="17">
        <v>9861.8858901095264</v>
      </c>
      <c r="Q18" s="17">
        <v>10732.513213406146</v>
      </c>
      <c r="R18" s="17">
        <v>10924.463226485999</v>
      </c>
      <c r="S18" s="17">
        <v>12309.353965088216</v>
      </c>
      <c r="T18" s="17">
        <v>14065.150027384001</v>
      </c>
      <c r="U18" s="17">
        <v>16991.109317540002</v>
      </c>
    </row>
    <row r="19" spans="1:21">
      <c r="A19" s="11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</row>
    <row r="20" spans="1:21">
      <c r="A20" s="11" t="s">
        <v>24</v>
      </c>
      <c r="B20" s="17">
        <v>769.52334778199997</v>
      </c>
      <c r="C20" s="17">
        <v>844.35414084399997</v>
      </c>
      <c r="D20" s="17">
        <v>907.91505433399993</v>
      </c>
      <c r="E20" s="17">
        <v>965.49309787200013</v>
      </c>
      <c r="F20" s="17">
        <v>966.38957343800018</v>
      </c>
      <c r="G20" s="17">
        <v>968.02553312399994</v>
      </c>
      <c r="H20" s="17">
        <v>426.29152849000002</v>
      </c>
      <c r="I20" s="17">
        <v>1242.5136486199999</v>
      </c>
      <c r="J20" s="17">
        <v>1339.2162076420002</v>
      </c>
      <c r="K20" s="17">
        <v>1393.5335728640002</v>
      </c>
      <c r="L20" s="17">
        <v>1481.0656363380001</v>
      </c>
      <c r="M20" s="17">
        <v>1519.0806551699998</v>
      </c>
      <c r="N20" s="17">
        <v>1577.066767734</v>
      </c>
      <c r="O20" s="17">
        <v>1763.7866924339999</v>
      </c>
      <c r="P20" s="17">
        <v>2013.4267993455924</v>
      </c>
      <c r="Q20" s="17">
        <v>2270.7855437712806</v>
      </c>
      <c r="R20" s="17">
        <v>2411.6178280700001</v>
      </c>
      <c r="S20" s="17">
        <v>2308.6150953200004</v>
      </c>
      <c r="T20" s="17">
        <v>2536.9873624059996</v>
      </c>
      <c r="U20" s="17">
        <v>2397.5667401219998</v>
      </c>
    </row>
    <row r="21" spans="1:21">
      <c r="A21" s="11" t="s">
        <v>25</v>
      </c>
      <c r="B21" s="17">
        <v>1194.8834421440001</v>
      </c>
      <c r="C21" s="17">
        <v>1041.438354676</v>
      </c>
      <c r="D21" s="17">
        <v>1145.9701396340001</v>
      </c>
      <c r="E21" s="17">
        <v>1236.049019604</v>
      </c>
      <c r="F21" s="17">
        <v>1103.707978012</v>
      </c>
      <c r="G21" s="17">
        <v>1224.6074025379999</v>
      </c>
      <c r="H21" s="17">
        <v>1421.221788542</v>
      </c>
      <c r="I21" s="17">
        <v>1558.0118648200003</v>
      </c>
      <c r="J21" s="17">
        <v>1710.75668765</v>
      </c>
      <c r="K21" s="17">
        <v>1971.740945492</v>
      </c>
      <c r="L21" s="17">
        <v>2283.0295886980002</v>
      </c>
      <c r="M21" s="17">
        <v>2311.0794185459999</v>
      </c>
      <c r="N21" s="17">
        <v>2487.0419718639196</v>
      </c>
      <c r="O21" s="17">
        <v>2300.9125650900005</v>
      </c>
      <c r="P21" s="17">
        <v>2396.440908136</v>
      </c>
      <c r="Q21" s="17">
        <v>2437.260804522291</v>
      </c>
      <c r="R21" s="17">
        <v>2817.2246066440002</v>
      </c>
      <c r="S21" s="17">
        <v>3055.1523854510956</v>
      </c>
      <c r="T21" s="17">
        <v>3116.7695519179997</v>
      </c>
      <c r="U21" s="17">
        <v>3121.7842452620002</v>
      </c>
    </row>
    <row r="22" spans="1:21">
      <c r="A22" s="11" t="s">
        <v>26</v>
      </c>
      <c r="B22" s="17">
        <v>636.29516219999994</v>
      </c>
      <c r="C22" s="17">
        <v>636.97638506999999</v>
      </c>
      <c r="D22" s="17">
        <v>761.77522098400004</v>
      </c>
      <c r="E22" s="17">
        <v>857.58592163999992</v>
      </c>
      <c r="F22" s="17">
        <v>734.80982898200011</v>
      </c>
      <c r="G22" s="17">
        <v>848.13328823400002</v>
      </c>
      <c r="H22" s="17">
        <v>888.3678010399999</v>
      </c>
      <c r="I22" s="17">
        <v>1077.5604721059999</v>
      </c>
      <c r="J22" s="17">
        <v>1283.820718364</v>
      </c>
      <c r="K22" s="17">
        <v>1254.7048321259999</v>
      </c>
      <c r="L22" s="17">
        <v>1419.8236658880001</v>
      </c>
      <c r="M22" s="17">
        <v>1303.43713157</v>
      </c>
      <c r="N22" s="17">
        <v>1360.0010801180001</v>
      </c>
      <c r="O22" s="17">
        <v>1477.210669842</v>
      </c>
      <c r="P22" s="17">
        <v>1744.8198408845758</v>
      </c>
      <c r="Q22" s="17">
        <v>1935.7143978620002</v>
      </c>
      <c r="R22" s="17">
        <v>2080.0506374319998</v>
      </c>
      <c r="S22" s="17">
        <v>1992.988375724</v>
      </c>
      <c r="T22" s="17">
        <v>2254.926499618</v>
      </c>
      <c r="U22" s="17">
        <v>2312.9538395920003</v>
      </c>
    </row>
    <row r="23" spans="1:21">
      <c r="A23" s="11" t="s">
        <v>27</v>
      </c>
      <c r="B23" s="17">
        <v>3006.6336174100002</v>
      </c>
      <c r="C23" s="17">
        <v>3229.2829887060002</v>
      </c>
      <c r="D23" s="17">
        <v>3595.7924075940005</v>
      </c>
      <c r="E23" s="17">
        <v>4082.2502208059996</v>
      </c>
      <c r="F23" s="17">
        <v>4248.5523724879995</v>
      </c>
      <c r="G23" s="17">
        <v>4442.2833769139997</v>
      </c>
      <c r="H23" s="17">
        <v>4800.8405481440004</v>
      </c>
      <c r="I23" s="17">
        <v>5565.1510225780003</v>
      </c>
      <c r="J23" s="17">
        <v>6206.8506307719999</v>
      </c>
      <c r="K23" s="17">
        <v>6730.9290640859999</v>
      </c>
      <c r="L23" s="17">
        <v>6762.5356830826004</v>
      </c>
      <c r="M23" s="17">
        <v>6775.21750565</v>
      </c>
      <c r="N23" s="17">
        <v>7387.3721149439989</v>
      </c>
      <c r="O23" s="17">
        <v>8131.1897914760002</v>
      </c>
      <c r="P23" s="17">
        <v>7906.3331367679993</v>
      </c>
      <c r="Q23" s="17">
        <v>8067.8239318460001</v>
      </c>
      <c r="R23" s="17">
        <v>8104.5871211260001</v>
      </c>
      <c r="S23" s="17">
        <v>8220.5717640500006</v>
      </c>
      <c r="T23" s="17">
        <v>8471.7896044860008</v>
      </c>
      <c r="U23" s="17">
        <v>9059.2327638979987</v>
      </c>
    </row>
    <row r="24" spans="1:21">
      <c r="A24" s="11" t="s">
        <v>28</v>
      </c>
      <c r="B24" s="17">
        <v>183.92616326399997</v>
      </c>
      <c r="C24" s="17">
        <v>237.16938455799999</v>
      </c>
      <c r="D24" s="17">
        <v>237.85615061999999</v>
      </c>
      <c r="E24" s="17">
        <v>291.20834082800002</v>
      </c>
      <c r="F24" s="17">
        <v>291.20834082800002</v>
      </c>
      <c r="G24" s="17">
        <v>400.53111128399996</v>
      </c>
      <c r="H24" s="17">
        <v>447.05236493000001</v>
      </c>
      <c r="I24" s="17">
        <v>542.43480990599994</v>
      </c>
      <c r="J24" s="17">
        <v>582.80006538199996</v>
      </c>
      <c r="K24" s="17">
        <v>636.47287018999998</v>
      </c>
      <c r="L24" s="17">
        <v>714.49934921800002</v>
      </c>
      <c r="M24" s="17">
        <v>730.44022795400008</v>
      </c>
      <c r="N24" s="17">
        <v>815.12366943400002</v>
      </c>
      <c r="O24" s="17">
        <v>1139.767237906</v>
      </c>
      <c r="P24" s="17">
        <v>1868.47641748</v>
      </c>
      <c r="Q24" s="17">
        <v>2346.5892182001999</v>
      </c>
      <c r="R24" s="17">
        <v>2035.91721272</v>
      </c>
      <c r="S24" s="17">
        <v>2282.6029034600001</v>
      </c>
      <c r="T24" s="17">
        <v>2395.3013053139998</v>
      </c>
      <c r="U24" s="17">
        <v>2354.909736604</v>
      </c>
    </row>
    <row r="25" spans="1:21">
      <c r="A25" s="11" t="s">
        <v>29</v>
      </c>
      <c r="B25" s="17">
        <v>91.460808408000005</v>
      </c>
      <c r="C25" s="17">
        <v>97.920888901999987</v>
      </c>
      <c r="D25" s="17">
        <v>115.86946722399999</v>
      </c>
      <c r="E25" s="17">
        <v>132.03107368399998</v>
      </c>
      <c r="F25" s="17">
        <v>136.395657188</v>
      </c>
      <c r="G25" s="17">
        <v>0</v>
      </c>
      <c r="H25" s="17">
        <v>162.72882041400001</v>
      </c>
      <c r="I25" s="17">
        <v>165.92738752599999</v>
      </c>
      <c r="J25" s="17">
        <v>167.69019746274887</v>
      </c>
      <c r="K25" s="17">
        <v>414.47117319921205</v>
      </c>
      <c r="L25" s="17">
        <v>1033.8705631382793</v>
      </c>
      <c r="M25" s="17">
        <v>1044.6267406740001</v>
      </c>
      <c r="N25" s="17">
        <v>1112.6333569139999</v>
      </c>
      <c r="O25" s="17">
        <v>1176.6886585719999</v>
      </c>
      <c r="P25" s="17">
        <v>1254.739616138</v>
      </c>
      <c r="Q25" s="17">
        <v>1280.9559503039998</v>
      </c>
      <c r="R25" s="17">
        <v>1069.868125878</v>
      </c>
      <c r="S25" s="17">
        <v>1268.0731587899998</v>
      </c>
      <c r="T25" s="17">
        <v>1461.1570667959998</v>
      </c>
      <c r="U25" s="17">
        <v>1464.2695013320001</v>
      </c>
    </row>
    <row r="26" spans="1:21">
      <c r="A26" s="11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</row>
    <row r="27" spans="1:21">
      <c r="A27" s="11" t="s">
        <v>30</v>
      </c>
      <c r="B27" s="17">
        <v>80.819224344000006</v>
      </c>
      <c r="C27" s="17">
        <v>128.61944689800001</v>
      </c>
      <c r="D27" s="17">
        <v>137.43752123000002</v>
      </c>
      <c r="E27" s="17">
        <v>141.56269902400001</v>
      </c>
      <c r="F27" s="17">
        <v>144.52411649399997</v>
      </c>
      <c r="G27" s="17">
        <v>149.92992497199998</v>
      </c>
      <c r="H27" s="17">
        <v>154.54979057000003</v>
      </c>
      <c r="I27" s="17">
        <v>269.316244332</v>
      </c>
      <c r="J27" s="17">
        <v>282.76577183000001</v>
      </c>
      <c r="K27" s="17">
        <v>308.60406314200003</v>
      </c>
      <c r="L27" s="17">
        <v>363.61989397399998</v>
      </c>
      <c r="M27" s="17">
        <v>401.77923137199832</v>
      </c>
      <c r="N27" s="17">
        <v>414.94208954007206</v>
      </c>
      <c r="O27" s="17">
        <v>502.61113642654942</v>
      </c>
      <c r="P27" s="17">
        <v>618.67153055877179</v>
      </c>
      <c r="Q27" s="17">
        <v>632.85471833051588</v>
      </c>
      <c r="R27" s="17">
        <v>704.32776010599991</v>
      </c>
      <c r="S27" s="17">
        <v>699.69816190999995</v>
      </c>
      <c r="T27" s="17">
        <v>789.50691864999988</v>
      </c>
      <c r="U27" s="17">
        <v>847.39690250000001</v>
      </c>
    </row>
    <row r="28" spans="1:21">
      <c r="A28" s="11" t="s">
        <v>31</v>
      </c>
      <c r="B28" s="17">
        <v>257.642344068</v>
      </c>
      <c r="C28" s="17">
        <v>346.877061196</v>
      </c>
      <c r="D28" s="17">
        <v>402.11745944199998</v>
      </c>
      <c r="E28" s="17">
        <v>402.11745944199998</v>
      </c>
      <c r="F28" s="17">
        <v>473.90659490799999</v>
      </c>
      <c r="G28" s="17">
        <v>504.96745936799999</v>
      </c>
      <c r="H28" s="17">
        <v>579.71185592799998</v>
      </c>
      <c r="I28" s="17">
        <v>689.67941641000004</v>
      </c>
      <c r="J28" s="17">
        <v>769.58120272799999</v>
      </c>
      <c r="K28" s="17">
        <v>932.51359656599993</v>
      </c>
      <c r="L28" s="17">
        <v>1122.027892972</v>
      </c>
      <c r="M28" s="17">
        <v>1299.0704107059998</v>
      </c>
      <c r="N28" s="17">
        <v>1514.726671222</v>
      </c>
      <c r="O28" s="17">
        <v>1686.7104006820002</v>
      </c>
      <c r="P28" s="17">
        <v>1893.9565015999999</v>
      </c>
      <c r="Q28" s="17">
        <v>2015.482011776</v>
      </c>
      <c r="R28" s="17">
        <v>2253.406732246</v>
      </c>
      <c r="S28" s="17">
        <v>2867.3712086439996</v>
      </c>
      <c r="T28" s="17">
        <v>3164.5817047919995</v>
      </c>
      <c r="U28" s="17">
        <v>3161.4139286000004</v>
      </c>
    </row>
    <row r="29" spans="1:21">
      <c r="A29" s="11" t="s">
        <v>32</v>
      </c>
      <c r="B29" s="17">
        <v>93.757118782000006</v>
      </c>
      <c r="C29" s="17">
        <v>99.612528268000005</v>
      </c>
      <c r="D29" s="17">
        <v>111.66989631</v>
      </c>
      <c r="E29" s="17">
        <v>123.97591967800001</v>
      </c>
      <c r="F29" s="17">
        <v>143.65648664599999</v>
      </c>
      <c r="G29" s="17">
        <v>153.03106034599998</v>
      </c>
      <c r="H29" s="17">
        <v>179.765141242</v>
      </c>
      <c r="I29" s="17">
        <v>192.91729788800001</v>
      </c>
      <c r="J29" s="17">
        <v>221.98021190199995</v>
      </c>
      <c r="K29" s="17">
        <v>280.66415767000001</v>
      </c>
      <c r="L29" s="17">
        <v>321.558483556</v>
      </c>
      <c r="M29" s="17">
        <v>384.29500005800003</v>
      </c>
      <c r="N29" s="17">
        <v>389.76477426000002</v>
      </c>
      <c r="O29" s="17">
        <v>441.23267775599999</v>
      </c>
      <c r="P29" s="17">
        <v>487.83979306999998</v>
      </c>
      <c r="Q29" s="17">
        <v>524.12379834599994</v>
      </c>
      <c r="R29" s="17">
        <v>610.47209520000001</v>
      </c>
      <c r="S29" s="17">
        <v>642.94096322639996</v>
      </c>
      <c r="T29" s="17">
        <v>798.69780552199984</v>
      </c>
      <c r="U29" s="17">
        <v>894.87444270599985</v>
      </c>
    </row>
    <row r="30" spans="1:21">
      <c r="A30" s="11" t="s">
        <v>33</v>
      </c>
      <c r="B30" s="17">
        <v>186.31886169999999</v>
      </c>
      <c r="C30" s="17">
        <v>202.43484937400001</v>
      </c>
      <c r="D30" s="17">
        <v>215.35219361999998</v>
      </c>
      <c r="E30" s="17">
        <v>181.06283759799999</v>
      </c>
      <c r="F30" s="17">
        <v>261.388471708</v>
      </c>
      <c r="G30" s="17">
        <v>311.49972882999992</v>
      </c>
      <c r="H30" s="17">
        <v>347.17702404799996</v>
      </c>
      <c r="I30" s="17">
        <v>390.06539024199998</v>
      </c>
      <c r="J30" s="17">
        <v>449.74723404399998</v>
      </c>
      <c r="K30" s="17">
        <v>511.13182572863133</v>
      </c>
      <c r="L30" s="17">
        <v>595.03934208803935</v>
      </c>
      <c r="M30" s="17">
        <v>648.98229672734738</v>
      </c>
      <c r="N30" s="17">
        <v>689.07175221435659</v>
      </c>
      <c r="O30" s="17">
        <v>867.25149194531059</v>
      </c>
      <c r="P30" s="17">
        <v>935.09766799140664</v>
      </c>
      <c r="Q30" s="17">
        <v>1020.37146209168</v>
      </c>
      <c r="R30" s="17">
        <v>928.28622973199992</v>
      </c>
      <c r="S30" s="17">
        <v>970.61790375586645</v>
      </c>
      <c r="T30" s="17">
        <v>1012.4618477479999</v>
      </c>
      <c r="U30" s="17">
        <v>1070.9317979979999</v>
      </c>
    </row>
    <row r="31" spans="1:21">
      <c r="A31" s="11" t="s">
        <v>34</v>
      </c>
      <c r="B31" s="17">
        <v>0</v>
      </c>
      <c r="C31" s="17">
        <v>0</v>
      </c>
      <c r="D31" s="17">
        <v>0</v>
      </c>
      <c r="E31" s="17">
        <v>0</v>
      </c>
      <c r="F31" s="17">
        <v>0</v>
      </c>
      <c r="G31" s="17">
        <v>0</v>
      </c>
      <c r="H31" s="17">
        <v>0</v>
      </c>
      <c r="I31" s="17">
        <v>0</v>
      </c>
      <c r="J31" s="17">
        <v>0</v>
      </c>
      <c r="K31" s="17">
        <v>0</v>
      </c>
      <c r="L31" s="17">
        <v>0</v>
      </c>
      <c r="M31" s="17">
        <v>0</v>
      </c>
      <c r="N31" s="17">
        <v>0</v>
      </c>
      <c r="O31" s="17">
        <v>0</v>
      </c>
      <c r="P31" s="17">
        <v>0</v>
      </c>
      <c r="Q31" s="17">
        <v>0</v>
      </c>
      <c r="R31" s="17">
        <v>0</v>
      </c>
      <c r="S31" s="17">
        <v>0</v>
      </c>
      <c r="T31" s="17">
        <v>0</v>
      </c>
      <c r="U31" s="17">
        <v>0</v>
      </c>
    </row>
    <row r="32" spans="1:21">
      <c r="A32" s="11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</row>
    <row r="33" spans="1:21">
      <c r="A33" s="11" t="s">
        <v>35</v>
      </c>
      <c r="B33" s="17">
        <v>535.93233496599998</v>
      </c>
      <c r="C33" s="17">
        <v>609.6128144600001</v>
      </c>
      <c r="D33" s="17">
        <v>723.04064169799994</v>
      </c>
      <c r="E33" s="17">
        <v>824.99543029599999</v>
      </c>
      <c r="F33" s="17">
        <v>932.36458960800007</v>
      </c>
      <c r="G33" s="17">
        <v>1101.4760770299999</v>
      </c>
      <c r="H33" s="17">
        <v>1238.6004645120001</v>
      </c>
      <c r="I33" s="17">
        <v>1513.739780548</v>
      </c>
      <c r="J33" s="17">
        <v>1774.5740062460002</v>
      </c>
      <c r="K33" s="17">
        <v>2027.1782446479999</v>
      </c>
      <c r="L33" s="17">
        <v>2192.6484784139998</v>
      </c>
      <c r="M33" s="17">
        <v>2464.87317406478</v>
      </c>
      <c r="N33" s="17">
        <v>2637.9296052020004</v>
      </c>
      <c r="O33" s="17">
        <v>2918.928476913246</v>
      </c>
      <c r="P33" s="17">
        <v>2978.961563116507</v>
      </c>
      <c r="Q33" s="17">
        <v>3172.2690232349746</v>
      </c>
      <c r="R33" s="17">
        <v>3045.4583158019991</v>
      </c>
      <c r="S33" s="17">
        <v>3091.4807808678797</v>
      </c>
      <c r="T33" s="17">
        <v>2894.1088982220003</v>
      </c>
      <c r="U33" s="17">
        <v>2549.9604886439997</v>
      </c>
    </row>
    <row r="34" spans="1:21">
      <c r="A34" s="11" t="s">
        <v>36</v>
      </c>
      <c r="B34" s="17">
        <v>1008.7674694179999</v>
      </c>
      <c r="C34" s="17">
        <v>1020.6273686220001</v>
      </c>
      <c r="D34" s="17">
        <v>1015.8685368960001</v>
      </c>
      <c r="E34" s="17">
        <v>1137.7318253880001</v>
      </c>
      <c r="F34" s="17">
        <v>1152.543684536</v>
      </c>
      <c r="G34" s="17">
        <v>1144.0457446299999</v>
      </c>
      <c r="H34" s="17">
        <v>1228.1530622719999</v>
      </c>
      <c r="I34" s="17">
        <v>1365.047341278</v>
      </c>
      <c r="J34" s="17">
        <v>1456.8153897019999</v>
      </c>
      <c r="K34" s="17">
        <v>1552.8738084300001</v>
      </c>
      <c r="L34" s="17">
        <v>1659.3434759399997</v>
      </c>
      <c r="M34" s="17">
        <v>1636.422141042</v>
      </c>
      <c r="N34" s="17">
        <v>1700.758487798</v>
      </c>
      <c r="O34" s="17">
        <v>1693.0461848140003</v>
      </c>
      <c r="P34" s="17">
        <v>1936.6745398339999</v>
      </c>
      <c r="Q34" s="17">
        <v>1889.79561147</v>
      </c>
      <c r="R34" s="17">
        <v>2094.5825859659999</v>
      </c>
      <c r="S34" s="17">
        <v>1995.8096453200001</v>
      </c>
      <c r="T34" s="17">
        <v>1962.7402249240001</v>
      </c>
      <c r="U34" s="17">
        <v>1897.3271078799999</v>
      </c>
    </row>
    <row r="35" spans="1:21">
      <c r="A35" s="11" t="s">
        <v>37</v>
      </c>
      <c r="B35" s="17">
        <v>92.823430603999995</v>
      </c>
      <c r="C35" s="17">
        <v>93.813223409999992</v>
      </c>
      <c r="D35" s="17">
        <v>98.747678113999996</v>
      </c>
      <c r="E35" s="17">
        <v>105.635263162</v>
      </c>
      <c r="F35" s="17">
        <v>107.358448098</v>
      </c>
      <c r="G35" s="17">
        <v>102.22420688400001</v>
      </c>
      <c r="H35" s="17">
        <v>111.385562752</v>
      </c>
      <c r="I35" s="17">
        <v>127.33101144199999</v>
      </c>
      <c r="J35" s="17">
        <v>171.83469958977003</v>
      </c>
      <c r="K35" s="17">
        <v>182.95937968185999</v>
      </c>
      <c r="L35" s="17">
        <v>205.92126731841998</v>
      </c>
      <c r="M35" s="17">
        <v>211.70060757505701</v>
      </c>
      <c r="N35" s="17">
        <v>195.06184445636404</v>
      </c>
      <c r="O35" s="17">
        <v>246.93500424189995</v>
      </c>
      <c r="P35" s="17">
        <v>290.79671959173999</v>
      </c>
      <c r="Q35" s="17">
        <v>284.68382483302599</v>
      </c>
      <c r="R35" s="17">
        <v>293.12398348199997</v>
      </c>
      <c r="S35" s="17">
        <v>297.65804114036001</v>
      </c>
      <c r="T35" s="17">
        <v>317.49210190599996</v>
      </c>
      <c r="U35" s="17">
        <v>338.72992842600001</v>
      </c>
    </row>
    <row r="36" spans="1:21">
      <c r="A36" s="11" t="s">
        <v>38</v>
      </c>
      <c r="B36" s="17">
        <v>135.711313854</v>
      </c>
      <c r="C36" s="17">
        <v>139.68593516000001</v>
      </c>
      <c r="D36" s="17">
        <v>148.04960658799999</v>
      </c>
      <c r="E36" s="17">
        <v>148.04960658799999</v>
      </c>
      <c r="F36" s="17">
        <v>0</v>
      </c>
      <c r="G36" s="17">
        <v>0</v>
      </c>
      <c r="H36" s="17">
        <v>289.77520922400004</v>
      </c>
      <c r="I36" s="17">
        <v>274.20231685200002</v>
      </c>
      <c r="J36" s="17">
        <v>265.520895892</v>
      </c>
      <c r="K36" s="17">
        <v>281.10597209648</v>
      </c>
      <c r="L36" s="17">
        <v>269.87842268479994</v>
      </c>
      <c r="M36" s="17">
        <v>309.27474606800001</v>
      </c>
      <c r="N36" s="17">
        <v>309.64279955120003</v>
      </c>
      <c r="O36" s="17">
        <v>352.14443657309158</v>
      </c>
      <c r="P36" s="17">
        <v>262.69548671558948</v>
      </c>
      <c r="Q36" s="17">
        <v>589.88425463612509</v>
      </c>
      <c r="R36" s="17">
        <v>643.84623883999996</v>
      </c>
      <c r="S36" s="17">
        <v>604.63141183036441</v>
      </c>
      <c r="T36" s="17">
        <v>690.33034773999998</v>
      </c>
      <c r="U36" s="17">
        <v>814.88347108200003</v>
      </c>
    </row>
    <row r="37" spans="1:21">
      <c r="A37" s="11" t="s">
        <v>39</v>
      </c>
      <c r="B37" s="17">
        <v>1299.4329971200002</v>
      </c>
      <c r="C37" s="17">
        <v>1372.0716482380001</v>
      </c>
      <c r="D37" s="17">
        <v>1304.304509092</v>
      </c>
      <c r="E37" s="17">
        <v>1413.1899703439997</v>
      </c>
      <c r="F37" s="17">
        <v>1411.7121325999997</v>
      </c>
      <c r="G37" s="17">
        <v>1441.557560294</v>
      </c>
      <c r="H37" s="17">
        <v>1530.9963073040001</v>
      </c>
      <c r="I37" s="17">
        <v>1667.2709726780001</v>
      </c>
      <c r="J37" s="17">
        <v>2091.7200471860001</v>
      </c>
      <c r="K37" s="17">
        <v>2333.9220556743999</v>
      </c>
      <c r="L37" s="17">
        <v>2444.0860228699999</v>
      </c>
      <c r="M37" s="17">
        <v>2476.6596243380004</v>
      </c>
      <c r="N37" s="17">
        <v>2516.4491595579998</v>
      </c>
      <c r="O37" s="17">
        <v>2863.7943898119997</v>
      </c>
      <c r="P37" s="17">
        <v>3180.6083656960004</v>
      </c>
      <c r="Q37" s="17">
        <v>3250.8661403780002</v>
      </c>
      <c r="R37" s="17">
        <v>3369.9795561700003</v>
      </c>
      <c r="S37" s="17">
        <v>3517.544719946</v>
      </c>
      <c r="T37" s="17">
        <v>3432.0436194559998</v>
      </c>
      <c r="U37" s="17">
        <v>3431.2234325280001</v>
      </c>
    </row>
  </sheetData>
  <phoneticPr fontId="6" type="noConversion"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E1B9D-D526-A445-B699-DE87D02DC55E}">
  <dimension ref="A1:U37"/>
  <sheetViews>
    <sheetView workbookViewId="0">
      <selection activeCell="V9" sqref="V9"/>
    </sheetView>
  </sheetViews>
  <sheetFormatPr baseColWidth="10" defaultRowHeight="16"/>
  <cols>
    <col min="1" max="1" width="27.5" style="12" customWidth="1"/>
    <col min="2" max="16384" width="10.83203125" style="12"/>
  </cols>
  <sheetData>
    <row r="1" spans="1:21" ht="17">
      <c r="A1" s="20" t="s">
        <v>8</v>
      </c>
      <c r="B1" s="20">
        <v>1997</v>
      </c>
      <c r="C1" s="20">
        <v>1998</v>
      </c>
      <c r="D1" s="20">
        <v>1999</v>
      </c>
      <c r="E1" s="20">
        <v>2000</v>
      </c>
      <c r="F1" s="20">
        <v>2001</v>
      </c>
      <c r="G1" s="20">
        <v>2002</v>
      </c>
      <c r="H1" s="20">
        <v>2003</v>
      </c>
      <c r="I1" s="20">
        <v>2004</v>
      </c>
      <c r="J1" s="20">
        <v>2005</v>
      </c>
      <c r="K1" s="20">
        <v>2006</v>
      </c>
      <c r="L1" s="20">
        <v>2007</v>
      </c>
      <c r="M1" s="20">
        <v>2008</v>
      </c>
      <c r="N1" s="20">
        <v>2009</v>
      </c>
      <c r="O1" s="20">
        <v>2010</v>
      </c>
      <c r="P1" s="20">
        <v>2011</v>
      </c>
      <c r="Q1" s="20">
        <v>2012</v>
      </c>
      <c r="R1" s="20">
        <v>2013</v>
      </c>
      <c r="S1" s="20">
        <v>2014</v>
      </c>
      <c r="T1" s="20">
        <v>2015</v>
      </c>
      <c r="U1" s="20">
        <v>2016</v>
      </c>
    </row>
    <row r="2" spans="1:21">
      <c r="A2" s="12" t="s">
        <v>9</v>
      </c>
      <c r="B2" s="13">
        <v>1.81</v>
      </c>
      <c r="C2" s="13">
        <v>3.74</v>
      </c>
      <c r="D2" s="13">
        <v>7.58</v>
      </c>
      <c r="E2" s="13">
        <v>10.9</v>
      </c>
      <c r="F2" s="13">
        <v>16.739999999999998</v>
      </c>
      <c r="G2" s="13">
        <v>21</v>
      </c>
      <c r="H2" s="13">
        <v>21.19</v>
      </c>
      <c r="I2" s="13">
        <v>27.02</v>
      </c>
      <c r="J2" s="12">
        <v>32.04</v>
      </c>
      <c r="K2" s="12">
        <v>40.65</v>
      </c>
      <c r="L2" s="12">
        <v>46.64</v>
      </c>
      <c r="M2" s="12">
        <v>60.65</v>
      </c>
      <c r="N2" s="12">
        <v>69.401817454799996</v>
      </c>
      <c r="O2" s="12">
        <v>74.78532100000001</v>
      </c>
      <c r="P2" s="12">
        <v>73.560599999999994</v>
      </c>
      <c r="Q2" s="12">
        <v>92.066591020000004</v>
      </c>
      <c r="R2" s="13">
        <v>98.81</v>
      </c>
      <c r="S2" s="12">
        <v>113.70394531199999</v>
      </c>
      <c r="T2" s="13">
        <v>146.88</v>
      </c>
      <c r="U2" s="12">
        <v>162.31</v>
      </c>
    </row>
    <row r="3" spans="1:21">
      <c r="A3" s="11" t="s">
        <v>10</v>
      </c>
      <c r="B3" s="13">
        <v>2.92</v>
      </c>
      <c r="C3" s="13">
        <v>2.94</v>
      </c>
      <c r="D3" s="13">
        <v>3.09</v>
      </c>
      <c r="E3" s="13">
        <v>5.4</v>
      </c>
      <c r="F3" s="13">
        <v>7.89</v>
      </c>
      <c r="G3" s="13">
        <v>6.48</v>
      </c>
      <c r="H3" s="13">
        <v>7.26</v>
      </c>
      <c r="I3" s="13">
        <v>8.5500000000000007</v>
      </c>
      <c r="J3" s="12">
        <v>9.0399999999999991</v>
      </c>
      <c r="K3" s="12">
        <v>11.22</v>
      </c>
      <c r="L3" s="12">
        <v>14.27</v>
      </c>
      <c r="M3" s="12">
        <v>16.84</v>
      </c>
      <c r="N3" s="12">
        <v>18.12</v>
      </c>
      <c r="O3" s="12">
        <v>23.1</v>
      </c>
      <c r="P3" s="12">
        <v>26.018180000000001</v>
      </c>
      <c r="Q3" s="12">
        <v>32.58184</v>
      </c>
      <c r="R3" s="13">
        <v>37.79</v>
      </c>
      <c r="S3" s="12">
        <v>45.489100000000001</v>
      </c>
      <c r="T3" s="13">
        <v>63.98</v>
      </c>
      <c r="U3" s="12">
        <v>74.53</v>
      </c>
    </row>
    <row r="4" spans="1:21">
      <c r="A4" s="11" t="s">
        <v>11</v>
      </c>
      <c r="B4" s="13">
        <v>6.45</v>
      </c>
      <c r="C4" s="13">
        <v>6.62</v>
      </c>
      <c r="D4" s="13">
        <v>6.79</v>
      </c>
      <c r="E4" s="13">
        <v>7.72</v>
      </c>
      <c r="F4" s="13">
        <v>6.97</v>
      </c>
      <c r="G4" s="13">
        <v>7.74</v>
      </c>
      <c r="H4" s="13">
        <v>8.2799999999999994</v>
      </c>
      <c r="I4" s="13">
        <v>9.73</v>
      </c>
      <c r="J4" s="12">
        <v>9.14</v>
      </c>
      <c r="K4" s="12">
        <v>11.01</v>
      </c>
      <c r="L4" s="12">
        <v>12.05</v>
      </c>
      <c r="M4" s="12">
        <v>17.170200000000001</v>
      </c>
      <c r="N4" s="12">
        <v>23.110600000000002</v>
      </c>
      <c r="O4" s="12">
        <v>29.74</v>
      </c>
      <c r="P4" s="12">
        <v>35.090501000000003</v>
      </c>
      <c r="Q4" s="12">
        <v>45.132480000000008</v>
      </c>
      <c r="R4" s="13">
        <v>49.86</v>
      </c>
      <c r="S4" s="12">
        <v>56.075899999999997</v>
      </c>
      <c r="T4" s="13">
        <v>72.97</v>
      </c>
      <c r="U4" s="12">
        <v>70.45</v>
      </c>
    </row>
    <row r="5" spans="1:21">
      <c r="A5" s="11" t="s">
        <v>12</v>
      </c>
      <c r="B5" s="13">
        <v>0.92</v>
      </c>
      <c r="C5" s="13">
        <v>1.04</v>
      </c>
      <c r="D5" s="13">
        <v>1.0900000000000001</v>
      </c>
      <c r="E5" s="13">
        <v>1.1399999999999999</v>
      </c>
      <c r="F5" s="13">
        <v>1.58</v>
      </c>
      <c r="G5" s="13">
        <v>1.92</v>
      </c>
      <c r="H5" s="13">
        <v>2.5</v>
      </c>
      <c r="I5" s="13">
        <v>2.96</v>
      </c>
      <c r="J5" s="12">
        <v>3.24</v>
      </c>
      <c r="K5" s="12">
        <v>6.02</v>
      </c>
      <c r="L5" s="12">
        <v>6.91</v>
      </c>
      <c r="M5" s="12">
        <v>6.6</v>
      </c>
      <c r="N5" s="12">
        <v>13.76</v>
      </c>
      <c r="O5" s="12">
        <v>28.93</v>
      </c>
      <c r="P5" s="12">
        <v>31.93</v>
      </c>
      <c r="Q5" s="12">
        <v>37.39</v>
      </c>
      <c r="R5" s="13">
        <v>45.08</v>
      </c>
      <c r="S5" s="12">
        <v>50.346240000000002</v>
      </c>
      <c r="T5" s="13">
        <v>64.92</v>
      </c>
      <c r="U5" s="12">
        <v>69.349999999999994</v>
      </c>
    </row>
    <row r="6" spans="1:21">
      <c r="A6" s="11" t="s">
        <v>13</v>
      </c>
      <c r="B6" s="12">
        <v>0</v>
      </c>
      <c r="C6" s="12">
        <v>0</v>
      </c>
      <c r="D6" s="12">
        <v>0</v>
      </c>
      <c r="E6" s="13">
        <v>0.01</v>
      </c>
      <c r="F6" s="13">
        <v>0.14000000000000001</v>
      </c>
      <c r="G6" s="13">
        <v>0.22</v>
      </c>
      <c r="H6" s="13">
        <v>2.04</v>
      </c>
      <c r="I6" s="13">
        <v>4.42</v>
      </c>
      <c r="J6" s="12">
        <v>6.35</v>
      </c>
      <c r="K6" s="12">
        <v>30.53</v>
      </c>
      <c r="L6" s="12">
        <v>26.507688999999999</v>
      </c>
      <c r="M6" s="12">
        <v>30.53</v>
      </c>
      <c r="N6" s="12">
        <v>44.29</v>
      </c>
      <c r="O6" s="12">
        <v>45.32</v>
      </c>
      <c r="P6" s="12">
        <v>40.838983390943802</v>
      </c>
      <c r="Q6" s="12">
        <v>37.836847857999999</v>
      </c>
      <c r="R6" s="13">
        <v>43.51</v>
      </c>
      <c r="S6" s="12">
        <v>44.528379999999999</v>
      </c>
      <c r="T6" s="13">
        <v>39.15</v>
      </c>
      <c r="U6" s="12">
        <v>45.06</v>
      </c>
    </row>
    <row r="7" spans="1:21">
      <c r="A7" s="11"/>
    </row>
    <row r="8" spans="1:21">
      <c r="A8" s="11" t="s">
        <v>14</v>
      </c>
      <c r="B8" s="13">
        <v>20.75</v>
      </c>
      <c r="C8" s="13">
        <v>18.89</v>
      </c>
      <c r="D8" s="13">
        <v>18.75</v>
      </c>
      <c r="E8" s="13">
        <v>20.149999999999999</v>
      </c>
      <c r="F8" s="13">
        <v>18.93</v>
      </c>
      <c r="G8" s="13">
        <v>18.809999999999999</v>
      </c>
      <c r="H8" s="13">
        <v>18.82</v>
      </c>
      <c r="I8" s="13">
        <v>15.81</v>
      </c>
      <c r="J8" s="12">
        <v>14.81</v>
      </c>
      <c r="K8" s="12">
        <v>13.1</v>
      </c>
      <c r="L8" s="12">
        <v>14.24</v>
      </c>
      <c r="M8" s="12">
        <v>16.21</v>
      </c>
      <c r="N8" s="12">
        <v>16.440000000000001</v>
      </c>
      <c r="O8" s="12">
        <v>19.059999999999999</v>
      </c>
      <c r="P8" s="12">
        <v>39.070779999999999</v>
      </c>
      <c r="Q8" s="12">
        <v>63.718559999999997</v>
      </c>
      <c r="R8" s="13">
        <v>78.680000000000007</v>
      </c>
      <c r="S8" s="12">
        <v>84.001480000000015</v>
      </c>
      <c r="T8" s="13">
        <v>55.35</v>
      </c>
      <c r="U8" s="12">
        <v>50.63</v>
      </c>
    </row>
    <row r="9" spans="1:21">
      <c r="A9" s="11" t="s">
        <v>15</v>
      </c>
      <c r="B9" s="13">
        <v>2.95</v>
      </c>
      <c r="C9" s="13">
        <v>3.22</v>
      </c>
      <c r="D9" s="13">
        <v>3.04</v>
      </c>
      <c r="E9" s="13">
        <v>2.98</v>
      </c>
      <c r="F9" s="13">
        <v>3.02</v>
      </c>
      <c r="G9" s="13">
        <v>3.02</v>
      </c>
      <c r="H9" s="13">
        <v>3.08</v>
      </c>
      <c r="I9" s="13">
        <v>4</v>
      </c>
      <c r="J9" s="12">
        <v>7.65</v>
      </c>
      <c r="K9" s="12">
        <v>7.48</v>
      </c>
      <c r="L9" s="12">
        <v>9.6304289437612791</v>
      </c>
      <c r="M9" s="12">
        <v>13.83</v>
      </c>
      <c r="N9" s="12">
        <v>16.66</v>
      </c>
      <c r="O9" s="12">
        <v>22.01</v>
      </c>
      <c r="P9" s="12">
        <v>19.38</v>
      </c>
      <c r="Q9" s="12">
        <v>22.786940000000001</v>
      </c>
      <c r="R9" s="13">
        <v>24.05</v>
      </c>
      <c r="S9" s="12">
        <v>22.578400000000006</v>
      </c>
      <c r="T9" s="13">
        <v>21.34</v>
      </c>
      <c r="U9" s="12">
        <v>21.51</v>
      </c>
    </row>
    <row r="10" spans="1:21">
      <c r="A10" s="11" t="s">
        <v>16</v>
      </c>
      <c r="B10" s="13">
        <v>23.4</v>
      </c>
      <c r="C10" s="13">
        <v>23.3</v>
      </c>
      <c r="D10" s="13">
        <v>22.35</v>
      </c>
      <c r="E10" s="13">
        <v>23.04</v>
      </c>
      <c r="F10" s="13">
        <v>22.03</v>
      </c>
      <c r="G10" s="13">
        <v>20.22</v>
      </c>
      <c r="H10" s="13">
        <v>20.96</v>
      </c>
      <c r="I10" s="13">
        <v>20.34</v>
      </c>
      <c r="J10" s="12">
        <v>24.43</v>
      </c>
      <c r="K10" s="12">
        <v>24.53</v>
      </c>
      <c r="L10" s="12">
        <v>30.7</v>
      </c>
      <c r="M10" s="12">
        <v>31.47</v>
      </c>
      <c r="N10" s="12">
        <v>30</v>
      </c>
      <c r="O10" s="12">
        <v>29.9</v>
      </c>
      <c r="P10" s="12">
        <v>31</v>
      </c>
      <c r="Q10" s="12">
        <v>33.68</v>
      </c>
      <c r="R10" s="13">
        <v>34.770000000000003</v>
      </c>
      <c r="S10" s="12">
        <v>35.479999999999997</v>
      </c>
      <c r="T10" s="13">
        <v>35.82</v>
      </c>
      <c r="U10" s="12">
        <v>38.04</v>
      </c>
    </row>
    <row r="11" spans="1:21">
      <c r="A11" s="11"/>
    </row>
    <row r="12" spans="1:21">
      <c r="A12" s="11" t="s">
        <v>17</v>
      </c>
      <c r="B12" s="12">
        <v>0</v>
      </c>
      <c r="C12" s="12">
        <v>0</v>
      </c>
      <c r="D12" s="13">
        <v>1.0900000000000001</v>
      </c>
      <c r="E12" s="13">
        <v>2.54</v>
      </c>
      <c r="F12" s="13">
        <v>3.3</v>
      </c>
      <c r="G12" s="13">
        <v>4.33</v>
      </c>
      <c r="H12" s="13">
        <v>4.97</v>
      </c>
      <c r="I12" s="13">
        <v>10.69</v>
      </c>
      <c r="J12" s="12">
        <v>18.72</v>
      </c>
      <c r="K12" s="12">
        <v>22.602</v>
      </c>
      <c r="L12" s="12">
        <v>27.964320939417696</v>
      </c>
      <c r="M12" s="12">
        <v>29.998259000000001</v>
      </c>
      <c r="N12" s="12">
        <v>33.524965000000002</v>
      </c>
      <c r="O12" s="12">
        <v>45.08</v>
      </c>
      <c r="P12" s="12">
        <v>55.43394</v>
      </c>
      <c r="Q12" s="12">
        <v>64.380380000000002</v>
      </c>
      <c r="R12" s="13">
        <v>72.89</v>
      </c>
      <c r="S12" s="12">
        <v>72.42868</v>
      </c>
      <c r="T12" s="13">
        <v>77.41</v>
      </c>
      <c r="U12" s="12">
        <v>79.040000000000006</v>
      </c>
    </row>
    <row r="13" spans="1:21">
      <c r="A13" s="11" t="s">
        <v>18</v>
      </c>
      <c r="B13" s="13">
        <v>0.12</v>
      </c>
      <c r="C13" s="13">
        <v>0.17</v>
      </c>
      <c r="D13" s="13">
        <v>0.22</v>
      </c>
      <c r="E13" s="13">
        <v>0.24</v>
      </c>
      <c r="F13" s="13">
        <v>0.23</v>
      </c>
      <c r="G13" s="13">
        <v>1.01</v>
      </c>
      <c r="H13" s="13">
        <v>0.62</v>
      </c>
      <c r="I13" s="13">
        <v>3.14</v>
      </c>
      <c r="J13" s="12">
        <v>13.62</v>
      </c>
      <c r="K13" s="12">
        <v>31.3</v>
      </c>
      <c r="L13" s="12">
        <v>44.58</v>
      </c>
      <c r="M13" s="12">
        <v>63.13</v>
      </c>
      <c r="N13" s="12">
        <v>63.43</v>
      </c>
      <c r="O13" s="12">
        <v>72.14</v>
      </c>
      <c r="P13" s="12">
        <v>93.738200000000006</v>
      </c>
      <c r="Q13" s="12">
        <v>113.1407</v>
      </c>
      <c r="R13" s="13">
        <v>124.47</v>
      </c>
      <c r="S13" s="12">
        <v>127.69862000000001</v>
      </c>
      <c r="T13" s="13">
        <v>165.02</v>
      </c>
      <c r="U13" s="12">
        <v>172.73</v>
      </c>
    </row>
    <row r="14" spans="1:21">
      <c r="A14" s="11" t="s">
        <v>19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3">
        <v>0.32</v>
      </c>
      <c r="J14" s="12">
        <v>2.25</v>
      </c>
      <c r="K14" s="12">
        <v>11.89</v>
      </c>
      <c r="L14" s="12">
        <v>18.085899999999999</v>
      </c>
      <c r="M14" s="12">
        <v>17.697300000000002</v>
      </c>
      <c r="N14" s="12">
        <v>19.298200000000001</v>
      </c>
      <c r="O14" s="12">
        <v>32.619999999999997</v>
      </c>
      <c r="P14" s="12">
        <v>43.884428660000005</v>
      </c>
      <c r="Q14" s="12">
        <v>48.079687800000002</v>
      </c>
      <c r="R14" s="13">
        <v>56.72</v>
      </c>
      <c r="S14" s="12">
        <v>78.159237284</v>
      </c>
      <c r="T14" s="13">
        <v>80.349999999999994</v>
      </c>
      <c r="U14" s="12">
        <v>87.78</v>
      </c>
    </row>
    <row r="15" spans="1:21">
      <c r="A15" s="11" t="s">
        <v>20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  <c r="I15" s="13">
        <v>0.15</v>
      </c>
      <c r="J15" s="12">
        <v>0.85</v>
      </c>
      <c r="K15" s="12">
        <v>1.95</v>
      </c>
      <c r="L15" s="12">
        <v>4.0293707922985291</v>
      </c>
      <c r="M15" s="12">
        <v>7.1744640000000004</v>
      </c>
      <c r="N15" s="12">
        <v>9.767887095211222</v>
      </c>
      <c r="O15" s="12">
        <v>12.54</v>
      </c>
      <c r="P15" s="12">
        <v>20.135844312</v>
      </c>
      <c r="Q15" s="12">
        <v>24.895560000000003</v>
      </c>
      <c r="R15" s="13">
        <v>27.81</v>
      </c>
      <c r="S15" s="12">
        <v>34.463225589870703</v>
      </c>
      <c r="T15" s="13">
        <v>34.83</v>
      </c>
      <c r="U15" s="12">
        <v>39.18</v>
      </c>
    </row>
    <row r="16" spans="1:21">
      <c r="A16" s="11" t="s">
        <v>21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3">
        <v>0.6</v>
      </c>
      <c r="J16" s="12">
        <v>0.51000109999999999</v>
      </c>
      <c r="K16" s="12">
        <v>0.56999999999999995</v>
      </c>
      <c r="L16" s="12">
        <v>0.48</v>
      </c>
      <c r="M16" s="12">
        <v>1.53</v>
      </c>
      <c r="N16" s="12">
        <v>8.49</v>
      </c>
      <c r="O16" s="12">
        <v>29.1</v>
      </c>
      <c r="P16" s="12">
        <v>37.89</v>
      </c>
      <c r="Q16" s="12">
        <v>37.49</v>
      </c>
      <c r="R16" s="13">
        <v>49.39</v>
      </c>
      <c r="S16" s="12">
        <v>50.261208345174126</v>
      </c>
      <c r="T16" s="13">
        <v>45.38</v>
      </c>
      <c r="U16" s="12">
        <v>48.55</v>
      </c>
    </row>
    <row r="17" spans="1:21">
      <c r="A17" s="11" t="s">
        <v>22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  <c r="J17" s="12">
        <v>0.11</v>
      </c>
      <c r="K17" s="12">
        <v>0.68</v>
      </c>
      <c r="L17" s="12">
        <v>1.04</v>
      </c>
      <c r="M17" s="12">
        <v>2.5</v>
      </c>
      <c r="N17" s="12">
        <v>2.58</v>
      </c>
      <c r="O17" s="12">
        <v>5.27</v>
      </c>
      <c r="P17" s="12">
        <v>6.3390800000000009</v>
      </c>
      <c r="Q17" s="12">
        <v>10.039960000000002</v>
      </c>
      <c r="R17" s="13">
        <v>13.43</v>
      </c>
      <c r="S17" s="12">
        <v>15.18552</v>
      </c>
      <c r="T17" s="13">
        <v>18.02</v>
      </c>
      <c r="U17" s="12">
        <v>20.04</v>
      </c>
    </row>
    <row r="18" spans="1:21">
      <c r="A18" s="11" t="s">
        <v>23</v>
      </c>
      <c r="B18" s="13">
        <v>7.53</v>
      </c>
      <c r="C18" s="13">
        <v>6.56</v>
      </c>
      <c r="D18" s="13">
        <v>3.52</v>
      </c>
      <c r="E18" s="13">
        <v>4.53</v>
      </c>
      <c r="F18" s="13">
        <v>4.93</v>
      </c>
      <c r="G18" s="13">
        <v>4.63</v>
      </c>
      <c r="H18" s="13">
        <v>9.61</v>
      </c>
      <c r="I18" s="13">
        <v>11.71</v>
      </c>
      <c r="J18" s="12">
        <v>17.14</v>
      </c>
      <c r="K18" s="12">
        <v>22.6</v>
      </c>
      <c r="L18" s="12">
        <v>22.364859999999997</v>
      </c>
      <c r="M18" s="12">
        <v>34.499132000000003</v>
      </c>
      <c r="N18" s="12">
        <v>40.24</v>
      </c>
      <c r="O18" s="12">
        <v>47.75</v>
      </c>
      <c r="P18" s="12">
        <v>52.861911399999997</v>
      </c>
      <c r="Q18" s="12">
        <v>67.230521947999989</v>
      </c>
      <c r="R18" s="13">
        <v>68.8</v>
      </c>
      <c r="S18" s="12">
        <v>74.959654814000004</v>
      </c>
      <c r="T18" s="13">
        <v>82.32</v>
      </c>
      <c r="U18" s="12">
        <v>98.61</v>
      </c>
    </row>
    <row r="19" spans="1:21">
      <c r="A19" s="11"/>
    </row>
    <row r="20" spans="1:21">
      <c r="A20" s="11" t="s">
        <v>24</v>
      </c>
      <c r="B20" s="13">
        <v>9.5</v>
      </c>
      <c r="C20" s="13">
        <v>9.27</v>
      </c>
      <c r="D20" s="13">
        <v>10.54</v>
      </c>
      <c r="E20" s="13">
        <v>11.23</v>
      </c>
      <c r="F20" s="13">
        <v>13.11</v>
      </c>
      <c r="G20" s="13">
        <v>14.63</v>
      </c>
      <c r="H20" s="13">
        <v>16.77</v>
      </c>
      <c r="I20" s="13">
        <v>20.29</v>
      </c>
      <c r="J20" s="12">
        <v>23.71</v>
      </c>
      <c r="K20" s="12">
        <v>30.53</v>
      </c>
      <c r="L20" s="12">
        <v>33.14</v>
      </c>
      <c r="M20" s="12">
        <v>38.229999999999997</v>
      </c>
      <c r="N20" s="12">
        <v>41.5</v>
      </c>
      <c r="O20" s="12">
        <v>47.21</v>
      </c>
      <c r="P20" s="12">
        <v>54.963366145999998</v>
      </c>
      <c r="Q20" s="12">
        <v>73.918282787999999</v>
      </c>
      <c r="R20" s="13">
        <v>79.77</v>
      </c>
      <c r="S20" s="12">
        <v>76.872000000000014</v>
      </c>
      <c r="T20" s="13">
        <v>78.77</v>
      </c>
      <c r="U20" s="12">
        <v>92.75</v>
      </c>
    </row>
    <row r="21" spans="1:21">
      <c r="A21" s="11" t="s">
        <v>25</v>
      </c>
      <c r="B21" s="13">
        <v>0.66</v>
      </c>
      <c r="C21" s="13">
        <v>0.82</v>
      </c>
      <c r="D21" s="13">
        <v>0.92</v>
      </c>
      <c r="E21" s="13">
        <v>0.91</v>
      </c>
      <c r="F21" s="13">
        <v>0.76</v>
      </c>
      <c r="G21" s="13">
        <v>0.91</v>
      </c>
      <c r="H21" s="13">
        <v>0.94</v>
      </c>
      <c r="I21" s="13">
        <v>0.94</v>
      </c>
      <c r="J21" s="12">
        <v>11.11</v>
      </c>
      <c r="K21" s="12">
        <v>9.64</v>
      </c>
      <c r="L21" s="12">
        <v>9.91</v>
      </c>
      <c r="M21" s="12">
        <v>15.6</v>
      </c>
      <c r="N21" s="12">
        <v>16.52</v>
      </c>
      <c r="O21" s="12">
        <v>19.64</v>
      </c>
      <c r="P21" s="12">
        <v>24.918319999999998</v>
      </c>
      <c r="Q21" s="12">
        <v>29.279914886395318</v>
      </c>
      <c r="R21" s="13">
        <v>31.97</v>
      </c>
      <c r="S21" s="12">
        <v>40.241592883493425</v>
      </c>
      <c r="T21" s="13">
        <v>40.26</v>
      </c>
      <c r="U21" s="12">
        <v>41.5</v>
      </c>
    </row>
    <row r="22" spans="1:21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3">
        <v>0.06</v>
      </c>
      <c r="J22" s="12">
        <v>4.8499999999999996</v>
      </c>
      <c r="K22" s="12">
        <v>5.05</v>
      </c>
      <c r="L22" s="12">
        <v>7.64</v>
      </c>
      <c r="M22" s="12">
        <v>8.23</v>
      </c>
      <c r="N22" s="12">
        <v>10.23</v>
      </c>
      <c r="O22" s="12">
        <v>11.88</v>
      </c>
      <c r="P22" s="12">
        <v>15.337240000000001</v>
      </c>
      <c r="Q22" s="12">
        <v>18.788360000000001</v>
      </c>
      <c r="R22" s="13">
        <v>20.46</v>
      </c>
      <c r="S22" s="12">
        <v>24.39734</v>
      </c>
      <c r="T22" s="13">
        <v>26.51</v>
      </c>
      <c r="U22" s="12">
        <v>28.32</v>
      </c>
    </row>
    <row r="23" spans="1:21">
      <c r="A23" s="11" t="s">
        <v>27</v>
      </c>
      <c r="B23" s="13">
        <v>2.17</v>
      </c>
      <c r="C23" s="13">
        <v>2.2000000000000002</v>
      </c>
      <c r="D23" s="13">
        <v>1.71</v>
      </c>
      <c r="E23" s="13">
        <v>1.43</v>
      </c>
      <c r="F23" s="12">
        <v>0</v>
      </c>
      <c r="G23" s="12">
        <v>0</v>
      </c>
      <c r="H23" s="13">
        <v>1.26</v>
      </c>
      <c r="I23" s="13">
        <v>1.62</v>
      </c>
      <c r="J23" s="12">
        <v>2.4900000000000002</v>
      </c>
      <c r="K23" s="12">
        <v>14.46</v>
      </c>
      <c r="L23" s="12">
        <v>45.69</v>
      </c>
      <c r="M23" s="12">
        <v>53.58</v>
      </c>
      <c r="N23" s="12">
        <v>112.86</v>
      </c>
      <c r="O23" s="12">
        <v>95.71</v>
      </c>
      <c r="P23" s="12">
        <v>114.46306000000001</v>
      </c>
      <c r="Q23" s="12">
        <v>116.47574</v>
      </c>
      <c r="R23" s="13">
        <v>124.05</v>
      </c>
      <c r="S23" s="12">
        <v>133.83172000000002</v>
      </c>
      <c r="T23" s="13">
        <v>145.16</v>
      </c>
      <c r="U23" s="12">
        <v>167.79</v>
      </c>
    </row>
    <row r="24" spans="1:21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3">
        <v>0.02</v>
      </c>
      <c r="J24" s="12">
        <v>1.1200000000000001</v>
      </c>
      <c r="K24" s="12">
        <v>1.22</v>
      </c>
      <c r="L24" s="12">
        <v>1.34</v>
      </c>
      <c r="M24" s="12">
        <v>1.0129999999999999</v>
      </c>
      <c r="N24" s="12">
        <v>1.21</v>
      </c>
      <c r="O24" s="12">
        <v>1.82</v>
      </c>
      <c r="P24" s="12">
        <v>2.52732</v>
      </c>
      <c r="Q24" s="12">
        <v>3.1828599999999998</v>
      </c>
      <c r="R24" s="13">
        <v>4.55</v>
      </c>
      <c r="S24" s="12">
        <v>8.2518799999999999</v>
      </c>
      <c r="T24" s="13">
        <v>8.3699999999999992</v>
      </c>
      <c r="U24" s="12">
        <v>12.89</v>
      </c>
    </row>
    <row r="25" spans="1:21">
      <c r="A25" s="11" t="s">
        <v>29</v>
      </c>
      <c r="B25" s="13">
        <v>5.1100000000000003</v>
      </c>
      <c r="C25" s="13">
        <v>5.58</v>
      </c>
      <c r="D25" s="13">
        <v>5.0999999999999996</v>
      </c>
      <c r="E25" s="13">
        <v>5.28</v>
      </c>
      <c r="F25" s="13">
        <v>6.56</v>
      </c>
      <c r="G25" s="12">
        <v>0</v>
      </c>
      <c r="H25" s="13">
        <v>24.08</v>
      </c>
      <c r="I25" s="13">
        <v>23.89</v>
      </c>
      <c r="J25" s="12">
        <v>20.97</v>
      </c>
      <c r="K25" s="12">
        <v>23.97</v>
      </c>
      <c r="L25" s="12">
        <v>23.487000000000002</v>
      </c>
      <c r="M25" s="12">
        <v>26.78</v>
      </c>
      <c r="N25" s="12">
        <v>24.94</v>
      </c>
      <c r="O25" s="12">
        <v>29.72</v>
      </c>
      <c r="P25" s="12">
        <v>48.86</v>
      </c>
      <c r="Q25" s="12">
        <v>47.4863</v>
      </c>
      <c r="R25" s="13">
        <v>46.02</v>
      </c>
      <c r="S25" s="12">
        <v>46.00345999999999</v>
      </c>
      <c r="T25" s="13">
        <v>46</v>
      </c>
      <c r="U25" s="12">
        <v>41.29</v>
      </c>
    </row>
    <row r="26" spans="1:21">
      <c r="A26" s="11"/>
    </row>
    <row r="27" spans="1:21">
      <c r="A27" s="11" t="s">
        <v>30</v>
      </c>
      <c r="B27" s="13">
        <v>25.75</v>
      </c>
      <c r="C27" s="13">
        <v>23.99</v>
      </c>
      <c r="D27" s="13">
        <v>29.92</v>
      </c>
      <c r="E27" s="13">
        <v>33.26</v>
      </c>
      <c r="F27" s="13">
        <v>26.56</v>
      </c>
      <c r="G27" s="13">
        <v>27.33</v>
      </c>
      <c r="H27" s="13">
        <v>28.75</v>
      </c>
      <c r="I27" s="13">
        <v>30.34</v>
      </c>
      <c r="J27" s="12">
        <v>35.5</v>
      </c>
      <c r="K27" s="12">
        <v>40.049999999999997</v>
      </c>
      <c r="L27" s="12">
        <v>43.53</v>
      </c>
      <c r="M27" s="12">
        <v>48.75</v>
      </c>
      <c r="N27" s="12">
        <v>49.467500000000001</v>
      </c>
      <c r="O27" s="12">
        <v>56.59</v>
      </c>
      <c r="P27" s="12">
        <v>61.797319999999999</v>
      </c>
      <c r="Q27" s="12">
        <v>70.975619999999992</v>
      </c>
      <c r="R27" s="13">
        <v>72.19</v>
      </c>
      <c r="S27" s="12">
        <v>82.146119999999996</v>
      </c>
      <c r="T27" s="13">
        <v>88.37</v>
      </c>
      <c r="U27" s="12">
        <v>89.32</v>
      </c>
    </row>
    <row r="28" spans="1:21">
      <c r="A28" s="11" t="s">
        <v>31</v>
      </c>
      <c r="B28" s="13">
        <v>52.14</v>
      </c>
      <c r="C28" s="13">
        <v>56.84</v>
      </c>
      <c r="D28" s="13">
        <v>58.67</v>
      </c>
      <c r="E28" s="13">
        <v>58.67</v>
      </c>
      <c r="F28" s="13">
        <v>63.07</v>
      </c>
      <c r="G28" s="13">
        <v>69.959999999999994</v>
      </c>
      <c r="H28" s="13">
        <v>74.680000000000007</v>
      </c>
      <c r="I28" s="13">
        <v>80.64</v>
      </c>
      <c r="J28" s="12">
        <v>89.52</v>
      </c>
      <c r="K28" s="12">
        <v>106.08</v>
      </c>
      <c r="L28" s="12">
        <v>112.15</v>
      </c>
      <c r="M28" s="12">
        <v>108.94</v>
      </c>
      <c r="N28" s="12">
        <v>126.99</v>
      </c>
      <c r="O28" s="12">
        <v>175.39</v>
      </c>
      <c r="P28" s="12">
        <v>156.07813999999999</v>
      </c>
      <c r="Q28" s="12">
        <v>152.99799999999999</v>
      </c>
      <c r="R28" s="13">
        <v>148.30000000000001</v>
      </c>
      <c r="S28" s="12">
        <v>165.17000000000002</v>
      </c>
      <c r="T28" s="13">
        <v>170.98</v>
      </c>
      <c r="U28" s="12">
        <v>181.57</v>
      </c>
    </row>
    <row r="29" spans="1:21">
      <c r="A29" s="11" t="s">
        <v>32</v>
      </c>
      <c r="B29" s="13">
        <v>4.9800000000000004</v>
      </c>
      <c r="C29" s="13">
        <v>5.56</v>
      </c>
      <c r="D29" s="13">
        <v>6.22</v>
      </c>
      <c r="E29" s="13">
        <v>5.72</v>
      </c>
      <c r="F29" s="13">
        <v>6</v>
      </c>
      <c r="G29" s="13">
        <v>5.48</v>
      </c>
      <c r="H29" s="13">
        <v>5.45</v>
      </c>
      <c r="I29" s="13">
        <v>4.99</v>
      </c>
      <c r="J29" s="12">
        <v>5.05</v>
      </c>
      <c r="K29" s="12">
        <v>4.9800000000000004</v>
      </c>
      <c r="L29" s="12">
        <v>5.14</v>
      </c>
      <c r="M29" s="12">
        <v>4.74</v>
      </c>
      <c r="N29" s="12">
        <v>4.18</v>
      </c>
      <c r="O29" s="12">
        <v>4.1900000000000004</v>
      </c>
      <c r="P29" s="12">
        <v>4.7580400000000003</v>
      </c>
      <c r="Q29" s="12">
        <v>5.2639199999999997</v>
      </c>
      <c r="R29" s="13">
        <v>8.42</v>
      </c>
      <c r="S29" s="12">
        <v>10.616619999999999</v>
      </c>
      <c r="T29" s="13">
        <v>13.32</v>
      </c>
      <c r="U29" s="12">
        <v>17.11</v>
      </c>
    </row>
    <row r="30" spans="1:21">
      <c r="A30" s="11" t="s">
        <v>33</v>
      </c>
      <c r="B30" s="13">
        <v>5.67</v>
      </c>
      <c r="C30" s="13">
        <v>4.8899999999999997</v>
      </c>
      <c r="D30" s="13">
        <v>5.0999999999999996</v>
      </c>
      <c r="E30" s="13">
        <v>5.17</v>
      </c>
      <c r="F30" s="13">
        <v>5.29</v>
      </c>
      <c r="G30" s="13">
        <v>5.14</v>
      </c>
      <c r="H30" s="13">
        <v>5.6</v>
      </c>
      <c r="I30" s="13">
        <v>5.76</v>
      </c>
      <c r="J30" s="12">
        <v>6.12</v>
      </c>
      <c r="K30" s="12">
        <v>5.45</v>
      </c>
      <c r="L30" s="12">
        <v>5.4882770000000001</v>
      </c>
      <c r="M30" s="12">
        <v>5.2779391499999999</v>
      </c>
      <c r="N30" s="12">
        <v>4.5220284499999996</v>
      </c>
      <c r="O30" s="12">
        <v>3.6436750072463768</v>
      </c>
      <c r="P30" s="12">
        <v>4.1999136868686895</v>
      </c>
      <c r="Q30" s="12">
        <v>4.302679684000001</v>
      </c>
      <c r="R30" s="13">
        <v>4.2699999999999996</v>
      </c>
      <c r="S30" s="12">
        <v>4.6297475090120477</v>
      </c>
      <c r="T30" s="13">
        <v>6.34</v>
      </c>
      <c r="U30" s="12">
        <v>7.71</v>
      </c>
    </row>
    <row r="31" spans="1:21">
      <c r="A31" s="11" t="s">
        <v>34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0</v>
      </c>
      <c r="M31" s="12">
        <v>0</v>
      </c>
      <c r="N31" s="12">
        <v>0</v>
      </c>
      <c r="O31" s="12">
        <v>0</v>
      </c>
      <c r="P31" s="12">
        <v>0</v>
      </c>
      <c r="Q31" s="12">
        <v>0</v>
      </c>
      <c r="R31" s="12">
        <v>0</v>
      </c>
      <c r="S31" s="12">
        <v>0</v>
      </c>
      <c r="T31" s="12">
        <v>0</v>
      </c>
      <c r="U31" s="12">
        <v>0</v>
      </c>
    </row>
    <row r="32" spans="1:21">
      <c r="A32" s="11"/>
    </row>
    <row r="33" spans="1:21">
      <c r="A33" s="11" t="s">
        <v>35</v>
      </c>
      <c r="B33" s="13">
        <v>0.62</v>
      </c>
      <c r="C33" s="13">
        <v>1.92</v>
      </c>
      <c r="D33" s="13">
        <v>3.47</v>
      </c>
      <c r="E33" s="13">
        <v>6.67</v>
      </c>
      <c r="F33" s="13">
        <v>10.84</v>
      </c>
      <c r="G33" s="13">
        <v>14.01</v>
      </c>
      <c r="H33" s="13">
        <v>18.260000000000002</v>
      </c>
      <c r="I33" s="13">
        <v>32.770000000000003</v>
      </c>
      <c r="J33" s="12">
        <v>18.760000000000002</v>
      </c>
      <c r="K33" s="12">
        <v>28.43</v>
      </c>
      <c r="L33" s="12">
        <v>41.34</v>
      </c>
      <c r="M33" s="12">
        <v>51.6036</v>
      </c>
      <c r="N33" s="12">
        <v>50.009299999999996</v>
      </c>
      <c r="O33" s="12">
        <v>59.191381692046143</v>
      </c>
      <c r="P33" s="12">
        <v>62.485244198000004</v>
      </c>
      <c r="Q33" s="12">
        <v>65.971372688000002</v>
      </c>
      <c r="R33" s="13">
        <v>70.3</v>
      </c>
      <c r="S33" s="12">
        <v>74.255416518000033</v>
      </c>
      <c r="T33" s="13">
        <v>82.69</v>
      </c>
      <c r="U33" s="12">
        <v>98.22</v>
      </c>
    </row>
    <row r="34" spans="1:21">
      <c r="A34" s="11" t="s">
        <v>36</v>
      </c>
      <c r="B34" s="13">
        <v>0.64</v>
      </c>
      <c r="C34" s="13">
        <v>2.14</v>
      </c>
      <c r="D34" s="13">
        <v>0.14000000000000001</v>
      </c>
      <c r="E34" s="13">
        <v>0.85</v>
      </c>
      <c r="F34" s="13">
        <v>1.19</v>
      </c>
      <c r="G34" s="13">
        <v>2.76</v>
      </c>
      <c r="H34" s="13">
        <v>7.37</v>
      </c>
      <c r="I34" s="13">
        <v>8.5299999999999994</v>
      </c>
      <c r="J34" s="12">
        <v>9.6199999999999992</v>
      </c>
      <c r="K34" s="12">
        <v>11.97</v>
      </c>
      <c r="L34" s="12">
        <v>12.97</v>
      </c>
      <c r="M34" s="12">
        <v>12.01</v>
      </c>
      <c r="N34" s="12">
        <v>12.43</v>
      </c>
      <c r="O34" s="12">
        <v>14.42</v>
      </c>
      <c r="P34" s="12">
        <v>15.853938620000001</v>
      </c>
      <c r="Q34" s="12">
        <v>20.2805</v>
      </c>
      <c r="R34" s="13">
        <v>23.23</v>
      </c>
      <c r="S34" s="12">
        <v>25.198340000000005</v>
      </c>
      <c r="T34" s="13">
        <v>26.04</v>
      </c>
      <c r="U34" s="12">
        <v>26.4</v>
      </c>
    </row>
    <row r="35" spans="1:21">
      <c r="A35" s="11" t="s">
        <v>37</v>
      </c>
      <c r="B35" s="13">
        <v>2.2000000000000002</v>
      </c>
      <c r="C35" s="13">
        <v>2.68</v>
      </c>
      <c r="D35" s="13">
        <v>3.47</v>
      </c>
      <c r="E35" s="13">
        <v>3.91</v>
      </c>
      <c r="F35" s="13">
        <v>5.85</v>
      </c>
      <c r="G35" s="13">
        <v>11.27</v>
      </c>
      <c r="H35" s="13">
        <v>15.15</v>
      </c>
      <c r="I35" s="13">
        <v>17.91</v>
      </c>
      <c r="J35" s="12">
        <v>11.016900000000001</v>
      </c>
      <c r="K35" s="12">
        <v>13.273400000000001</v>
      </c>
      <c r="L35" s="12">
        <v>14.303999999999998</v>
      </c>
      <c r="M35" s="12">
        <v>22.9023</v>
      </c>
      <c r="N35" s="12">
        <v>24.5566</v>
      </c>
      <c r="O35" s="12">
        <v>23.722999999999999</v>
      </c>
      <c r="P35" s="12">
        <v>32.052660000000003</v>
      </c>
      <c r="Q35" s="12">
        <v>40.113999999999997</v>
      </c>
      <c r="R35" s="13">
        <v>41.56</v>
      </c>
      <c r="S35" s="12">
        <v>40.593633799999999</v>
      </c>
      <c r="T35" s="13">
        <v>44.38</v>
      </c>
      <c r="U35" s="12">
        <v>46.25</v>
      </c>
    </row>
    <row r="36" spans="1:21">
      <c r="A36" s="11" t="s">
        <v>38</v>
      </c>
      <c r="B36" s="13">
        <v>0.03</v>
      </c>
      <c r="C36" s="13">
        <v>0.11</v>
      </c>
      <c r="D36" s="13">
        <v>0.12</v>
      </c>
      <c r="E36" s="13">
        <v>0.12</v>
      </c>
      <c r="F36" s="12">
        <v>0</v>
      </c>
      <c r="G36" s="12">
        <v>0</v>
      </c>
      <c r="H36" s="13">
        <v>10.1</v>
      </c>
      <c r="I36" s="13">
        <v>6.77</v>
      </c>
      <c r="J36" s="12">
        <v>6.63</v>
      </c>
      <c r="K36" s="12">
        <v>7.94</v>
      </c>
      <c r="L36" s="12">
        <v>8.99</v>
      </c>
      <c r="M36" s="12">
        <v>11</v>
      </c>
      <c r="N36" s="12">
        <v>11.977400000000001</v>
      </c>
      <c r="O36" s="12">
        <v>15.475059848550723</v>
      </c>
      <c r="P36" s="12">
        <v>18.577682240000001</v>
      </c>
      <c r="Q36" s="12">
        <v>20.480651158000001</v>
      </c>
      <c r="R36" s="13">
        <v>19.57</v>
      </c>
      <c r="S36" s="12">
        <v>17.881140980033674</v>
      </c>
      <c r="T36" s="13">
        <v>20.65</v>
      </c>
      <c r="U36" s="12">
        <v>22.4</v>
      </c>
    </row>
    <row r="37" spans="1:21">
      <c r="A37" s="11" t="s">
        <v>39</v>
      </c>
      <c r="B37" s="13">
        <v>19.34</v>
      </c>
      <c r="C37" s="13">
        <v>20.29</v>
      </c>
      <c r="D37" s="13">
        <v>22.29</v>
      </c>
      <c r="E37" s="13">
        <v>23.44</v>
      </c>
      <c r="F37" s="13">
        <v>34.64</v>
      </c>
      <c r="G37" s="13">
        <v>34.57</v>
      </c>
      <c r="H37" s="13">
        <v>40.549999999999997</v>
      </c>
      <c r="I37" s="13">
        <v>54.01</v>
      </c>
      <c r="J37" s="12">
        <v>56.04</v>
      </c>
      <c r="K37" s="12">
        <v>65.040000000000006</v>
      </c>
      <c r="L37" s="12">
        <v>69.81</v>
      </c>
      <c r="M37" s="12">
        <v>69.84</v>
      </c>
      <c r="N37" s="12">
        <v>67.930000000000007</v>
      </c>
      <c r="O37" s="12">
        <v>80.150043478260869</v>
      </c>
      <c r="P37" s="12">
        <v>95.022420000000011</v>
      </c>
      <c r="Q37" s="12">
        <v>101.95046000000001</v>
      </c>
      <c r="R37" s="13">
        <v>127.41</v>
      </c>
      <c r="S37" s="12">
        <v>169.86833999999999</v>
      </c>
      <c r="T37" s="13">
        <v>145.84</v>
      </c>
      <c r="U37" s="12">
        <v>132.38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59</vt:i4>
      </vt:variant>
    </vt:vector>
  </HeadingPairs>
  <TitlesOfParts>
    <vt:vector size="59" baseType="lpstr">
      <vt:lpstr>Atkinson</vt:lpstr>
      <vt:lpstr>Private consumption expenditure</vt:lpstr>
      <vt:lpstr>Durables-urban</vt:lpstr>
      <vt:lpstr>Durables-rural</vt:lpstr>
      <vt:lpstr>Population</vt:lpstr>
      <vt:lpstr>Urban population</vt:lpstr>
      <vt:lpstr>Rural population</vt:lpstr>
      <vt:lpstr>Employed population</vt:lpstr>
      <vt:lpstr>Unemployment</vt:lpstr>
      <vt:lpstr>Wage</vt:lpstr>
      <vt:lpstr>Wage-domestic labor industry</vt:lpstr>
      <vt:lpstr>Wage-social welfare industry</vt:lpstr>
      <vt:lpstr>Capital formation</vt:lpstr>
      <vt:lpstr>Public exp on edu-local</vt:lpstr>
      <vt:lpstr>Public exp on health-local</vt:lpstr>
      <vt:lpstr>Public exp on transport-local</vt:lpstr>
      <vt:lpstr>Public exp on edu-central</vt:lpstr>
      <vt:lpstr>Public exp on health-central</vt:lpstr>
      <vt:lpstr>Public exp on transport-central</vt:lpstr>
      <vt:lpstr>Public exp on edu-local&amp;central</vt:lpstr>
      <vt:lpstr>Pub exp on health-local&amp;central</vt:lpstr>
      <vt:lpstr>Pub exp on trans-local&amp;central</vt:lpstr>
      <vt:lpstr>Private exp on edu-urban</vt:lpstr>
      <vt:lpstr>Private exp on health-urban</vt:lpstr>
      <vt:lpstr>Private exp on transport-urban</vt:lpstr>
      <vt:lpstr>Private exp on edu-rural</vt:lpstr>
      <vt:lpstr>Private exp on health-rural</vt:lpstr>
      <vt:lpstr>Private exp on transport-rural</vt:lpstr>
      <vt:lpstr>GDP</vt:lpstr>
      <vt:lpstr>Cost of transport accidents</vt:lpstr>
      <vt:lpstr>Divorce</vt:lpstr>
      <vt:lpstr>Cost of crime</vt:lpstr>
      <vt:lpstr>Change of forests</vt:lpstr>
      <vt:lpstr>Change of wetlands</vt:lpstr>
      <vt:lpstr>Working hours</vt:lpstr>
      <vt:lpstr>Domestic labor time-man</vt:lpstr>
      <vt:lpstr>Domestic labor time-woman</vt:lpstr>
      <vt:lpstr>Family care time-man</vt:lpstr>
      <vt:lpstr>Family care time-woman</vt:lpstr>
      <vt:lpstr>Volunteer time-man1</vt:lpstr>
      <vt:lpstr>Volunteer time-woman1</vt:lpstr>
      <vt:lpstr>Volunteer time-man2</vt:lpstr>
      <vt:lpstr>Volunteer time-woman2</vt:lpstr>
      <vt:lpstr>Population-man</vt:lpstr>
      <vt:lpstr>Population-15-64-man</vt:lpstr>
      <vt:lpstr>Population-woman</vt:lpstr>
      <vt:lpstr>Population-15-64-woman</vt:lpstr>
      <vt:lpstr>Cost of natural disaster</vt:lpstr>
      <vt:lpstr>Waste water</vt:lpstr>
      <vt:lpstr>SO2</vt:lpstr>
      <vt:lpstr>Smoke and dust</vt:lpstr>
      <vt:lpstr>Gen. ind. solid waste disposal</vt:lpstr>
      <vt:lpstr>Gen. ind. solid waste storage</vt:lpstr>
      <vt:lpstr>Hazardous solid waste disposal</vt:lpstr>
      <vt:lpstr>Hazardous solid waste storage</vt:lpstr>
      <vt:lpstr>Household undisposal solidwaste</vt:lpstr>
      <vt:lpstr>Coal consumption</vt:lpstr>
      <vt:lpstr>Oil consumption</vt:lpstr>
      <vt:lpstr>Natural gas consumption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 tian</dc:creator>
  <cp:lastModifiedBy>William Fang</cp:lastModifiedBy>
  <dcterms:created xsi:type="dcterms:W3CDTF">2018-08-31T23:45:07Z</dcterms:created>
  <dcterms:modified xsi:type="dcterms:W3CDTF">2025-09-27T07:12:03Z</dcterms:modified>
</cp:coreProperties>
</file>